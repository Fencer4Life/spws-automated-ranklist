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Mezczyzn - szabla/"/>
    </mc:Choice>
  </mc:AlternateContent>
  <xr:revisionPtr revIDLastSave="932" documentId="8_{7DCFD9FF-8A32-4034-AFB0-C083BCE09D45}" xr6:coauthVersionLast="47" xr6:coauthVersionMax="47" xr10:uidLastSave="{38DD9D50-46CF-4055-9BEA-9A9A82DB4B30}"/>
  <bookViews>
    <workbookView xWindow="-109" yWindow="-109" windowWidth="26301" windowHeight="14169" tabRatio="956" activeTab="10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9" l="1"/>
  <c r="B16" i="19"/>
  <c r="B15" i="19"/>
  <c r="B14" i="19"/>
  <c r="B13" i="19"/>
  <c r="B12" i="19"/>
  <c r="B11" i="19"/>
  <c r="B10" i="19"/>
  <c r="B9" i="19"/>
  <c r="B8" i="19"/>
  <c r="B7" i="19"/>
  <c r="B6" i="19"/>
  <c r="B11" i="29"/>
  <c r="B13" i="29"/>
  <c r="B10" i="29"/>
  <c r="B9" i="29"/>
  <c r="B8" i="29"/>
  <c r="B7" i="29"/>
  <c r="B6" i="2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4" i="20"/>
  <c r="AE14" i="20" s="1"/>
  <c r="AD16" i="20"/>
  <c r="AE16" i="20" s="1"/>
  <c r="AD15" i="20"/>
  <c r="AE15" i="20" s="1"/>
  <c r="AD10" i="20"/>
  <c r="AE10" i="20" s="1"/>
  <c r="AD9" i="20"/>
  <c r="AE9" i="20" s="1"/>
  <c r="AD12" i="20"/>
  <c r="AE12" i="20" s="1"/>
  <c r="AD13" i="20"/>
  <c r="AE13" i="20" s="1"/>
  <c r="AD11" i="20"/>
  <c r="AE11" i="20" s="1"/>
  <c r="AD8" i="20"/>
  <c r="AE8" i="20" s="1"/>
  <c r="AD6" i="20"/>
  <c r="AE6" i="20" s="1"/>
  <c r="AD7" i="20"/>
  <c r="AE7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K298" i="37"/>
  <c r="J298" i="37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K294" i="37"/>
  <c r="J294" i="37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K290" i="37"/>
  <c r="J290" i="37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K274" i="37"/>
  <c r="J274" i="37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K270" i="37"/>
  <c r="J270" i="37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K256" i="37"/>
  <c r="J256" i="37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K250" i="37"/>
  <c r="J250" i="37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K240" i="37"/>
  <c r="J240" i="37"/>
  <c r="I240" i="37"/>
  <c r="M240" i="37" s="1"/>
  <c r="J239" i="37"/>
  <c r="K239" i="37" s="1"/>
  <c r="I239" i="37"/>
  <c r="M239" i="37" s="1"/>
  <c r="K238" i="37"/>
  <c r="J238" i="37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K224" i="37"/>
  <c r="J224" i="37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K218" i="37"/>
  <c r="J218" i="37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K208" i="37"/>
  <c r="J208" i="37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K192" i="37"/>
  <c r="J192" i="37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K186" i="37"/>
  <c r="J186" i="37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K176" i="37"/>
  <c r="J176" i="37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J162" i="37"/>
  <c r="K162" i="37" s="1"/>
  <c r="I162" i="37"/>
  <c r="M162" i="37" s="1"/>
  <c r="M161" i="37"/>
  <c r="J161" i="37"/>
  <c r="K161" i="37" s="1"/>
  <c r="I161" i="37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K152" i="37"/>
  <c r="J152" i="37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M141" i="37"/>
  <c r="J141" i="37"/>
  <c r="K141" i="37" s="1"/>
  <c r="I141" i="37"/>
  <c r="K140" i="37"/>
  <c r="J140" i="37"/>
  <c r="I140" i="37"/>
  <c r="M140" i="37" s="1"/>
  <c r="A140" i="37" s="1"/>
  <c r="B140" i="37"/>
  <c r="M139" i="37"/>
  <c r="A139" i="37" s="1"/>
  <c r="J139" i="37"/>
  <c r="K139" i="37" s="1"/>
  <c r="I139" i="37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A137" i="37" s="1"/>
  <c r="B137" i="37"/>
  <c r="K136" i="37"/>
  <c r="J136" i="37"/>
  <c r="I136" i="37"/>
  <c r="M136" i="37" s="1"/>
  <c r="A136" i="37" s="1"/>
  <c r="B136" i="37"/>
  <c r="K135" i="37"/>
  <c r="J135" i="37"/>
  <c r="I135" i="37"/>
  <c r="M135" i="37" s="1"/>
  <c r="A135" i="37" s="1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J132" i="37"/>
  <c r="K132" i="37" s="1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K128" i="37"/>
  <c r="J128" i="37"/>
  <c r="I128" i="37"/>
  <c r="M128" i="37" s="1"/>
  <c r="A128" i="37" s="1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K125" i="37"/>
  <c r="J125" i="37"/>
  <c r="I125" i="37"/>
  <c r="M125" i="37" s="1"/>
  <c r="A125" i="37" s="1"/>
  <c r="B125" i="37"/>
  <c r="J124" i="37"/>
  <c r="K124" i="37" s="1"/>
  <c r="I124" i="37"/>
  <c r="M124" i="37" s="1"/>
  <c r="A124" i="37" s="1"/>
  <c r="B124" i="37"/>
  <c r="K123" i="37"/>
  <c r="J123" i="37"/>
  <c r="I123" i="37"/>
  <c r="M123" i="37" s="1"/>
  <c r="A123" i="37" s="1"/>
  <c r="B123" i="37"/>
  <c r="J122" i="37"/>
  <c r="K122" i="37" s="1"/>
  <c r="I122" i="37"/>
  <c r="M122" i="37" s="1"/>
  <c r="A122" i="37" s="1"/>
  <c r="B122" i="37"/>
  <c r="M121" i="37"/>
  <c r="A121" i="37" s="1"/>
  <c r="K121" i="37"/>
  <c r="J121" i="37"/>
  <c r="I121" i="37"/>
  <c r="B121" i="37"/>
  <c r="K120" i="37"/>
  <c r="J120" i="37"/>
  <c r="I120" i="37"/>
  <c r="M120" i="37" s="1"/>
  <c r="A120" i="37" s="1"/>
  <c r="B120" i="37"/>
  <c r="J119" i="37"/>
  <c r="K119" i="37" s="1"/>
  <c r="I119" i="37"/>
  <c r="M119" i="37" s="1"/>
  <c r="A119" i="37" s="1"/>
  <c r="B119" i="37"/>
  <c r="J118" i="37"/>
  <c r="K118" i="37" s="1"/>
  <c r="I118" i="37"/>
  <c r="M118" i="37" s="1"/>
  <c r="A118" i="37" s="1"/>
  <c r="B118" i="37"/>
  <c r="J117" i="37"/>
  <c r="K117" i="37" s="1"/>
  <c r="I117" i="37"/>
  <c r="M117" i="37" s="1"/>
  <c r="A117" i="37" s="1"/>
  <c r="B117" i="37"/>
  <c r="J116" i="37"/>
  <c r="K116" i="37" s="1"/>
  <c r="I116" i="37"/>
  <c r="M116" i="37" s="1"/>
  <c r="A116" i="37" s="1"/>
  <c r="B116" i="37"/>
  <c r="J115" i="37"/>
  <c r="K115" i="37" s="1"/>
  <c r="I115" i="37"/>
  <c r="M115" i="37" s="1"/>
  <c r="A115" i="37" s="1"/>
  <c r="B115" i="37"/>
  <c r="J114" i="37"/>
  <c r="K114" i="37" s="1"/>
  <c r="I114" i="37"/>
  <c r="M114" i="37" s="1"/>
  <c r="A114" i="37" s="1"/>
  <c r="B114" i="37"/>
  <c r="J113" i="37"/>
  <c r="K113" i="37" s="1"/>
  <c r="I113" i="37"/>
  <c r="M113" i="37" s="1"/>
  <c r="A113" i="37" s="1"/>
  <c r="B113" i="37"/>
  <c r="K112" i="37"/>
  <c r="J112" i="37"/>
  <c r="I112" i="37"/>
  <c r="M112" i="37" s="1"/>
  <c r="A112" i="37" s="1"/>
  <c r="B112" i="37"/>
  <c r="K111" i="37"/>
  <c r="J111" i="37"/>
  <c r="I111" i="37"/>
  <c r="M111" i="37" s="1"/>
  <c r="A111" i="37" s="1"/>
  <c r="B111" i="37"/>
  <c r="J110" i="37"/>
  <c r="K110" i="37" s="1"/>
  <c r="I110" i="37"/>
  <c r="M110" i="37" s="1"/>
  <c r="A110" i="37" s="1"/>
  <c r="B110" i="37"/>
  <c r="M109" i="37"/>
  <c r="A109" i="37" s="1"/>
  <c r="J109" i="37"/>
  <c r="K109" i="37" s="1"/>
  <c r="I109" i="37"/>
  <c r="B109" i="37"/>
  <c r="K108" i="37"/>
  <c r="J108" i="37"/>
  <c r="I108" i="37"/>
  <c r="M108" i="37" s="1"/>
  <c r="A108" i="37" s="1"/>
  <c r="B108" i="37"/>
  <c r="K107" i="37"/>
  <c r="J107" i="37"/>
  <c r="I107" i="37"/>
  <c r="M107" i="37" s="1"/>
  <c r="A107" i="37" s="1"/>
  <c r="B107" i="37"/>
  <c r="J106" i="37"/>
  <c r="K106" i="37" s="1"/>
  <c r="I106" i="37"/>
  <c r="M106" i="37" s="1"/>
  <c r="A106" i="37" s="1"/>
  <c r="B106" i="37"/>
  <c r="J105" i="37"/>
  <c r="K105" i="37" s="1"/>
  <c r="I105" i="37"/>
  <c r="M105" i="37" s="1"/>
  <c r="A105" i="37" s="1"/>
  <c r="B105" i="37"/>
  <c r="K104" i="37"/>
  <c r="J104" i="37"/>
  <c r="I104" i="37"/>
  <c r="M104" i="37" s="1"/>
  <c r="A104" i="37" s="1"/>
  <c r="B104" i="37"/>
  <c r="K103" i="37"/>
  <c r="J103" i="37"/>
  <c r="I103" i="37"/>
  <c r="M103" i="37" s="1"/>
  <c r="A103" i="37" s="1"/>
  <c r="B103" i="37"/>
  <c r="J102" i="37"/>
  <c r="K102" i="37" s="1"/>
  <c r="I102" i="37"/>
  <c r="M102" i="37" s="1"/>
  <c r="A102" i="37" s="1"/>
  <c r="B102" i="37"/>
  <c r="J101" i="37"/>
  <c r="K101" i="37" s="1"/>
  <c r="I101" i="37"/>
  <c r="M101" i="37" s="1"/>
  <c r="A101" i="37" s="1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J97" i="37"/>
  <c r="K97" i="37" s="1"/>
  <c r="I97" i="37"/>
  <c r="M97" i="37" s="1"/>
  <c r="A97" i="37" s="1"/>
  <c r="B97" i="37"/>
  <c r="J96" i="37"/>
  <c r="K96" i="37" s="1"/>
  <c r="I96" i="37"/>
  <c r="M96" i="37" s="1"/>
  <c r="A96" i="37" s="1"/>
  <c r="B96" i="37"/>
  <c r="K95" i="37"/>
  <c r="J95" i="37"/>
  <c r="I95" i="37"/>
  <c r="M95" i="37" s="1"/>
  <c r="A95" i="37" s="1"/>
  <c r="B95" i="37"/>
  <c r="J94" i="37"/>
  <c r="K94" i="37" s="1"/>
  <c r="I94" i="37"/>
  <c r="M94" i="37" s="1"/>
  <c r="A94" i="37" s="1"/>
  <c r="B94" i="37"/>
  <c r="M93" i="37"/>
  <c r="J93" i="37"/>
  <c r="K93" i="37" s="1"/>
  <c r="I93" i="37"/>
  <c r="B93" i="37"/>
  <c r="A93" i="37"/>
  <c r="J92" i="37"/>
  <c r="K92" i="37" s="1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M89" i="37"/>
  <c r="A89" i="37" s="1"/>
  <c r="J89" i="37"/>
  <c r="K89" i="37" s="1"/>
  <c r="I89" i="37"/>
  <c r="B89" i="37"/>
  <c r="K88" i="37"/>
  <c r="J88" i="37"/>
  <c r="I88" i="37"/>
  <c r="M88" i="37" s="1"/>
  <c r="A88" i="37" s="1"/>
  <c r="B88" i="37"/>
  <c r="K87" i="37"/>
  <c r="J87" i="37"/>
  <c r="I87" i="37"/>
  <c r="M87" i="37" s="1"/>
  <c r="A87" i="37" s="1"/>
  <c r="B87" i="37"/>
  <c r="J86" i="37"/>
  <c r="K86" i="37" s="1"/>
  <c r="I86" i="37"/>
  <c r="M86" i="37" s="1"/>
  <c r="A86" i="37" s="1"/>
  <c r="B86" i="37"/>
  <c r="J85" i="37"/>
  <c r="K85" i="37" s="1"/>
  <c r="I85" i="37"/>
  <c r="M85" i="37" s="1"/>
  <c r="A85" i="37" s="1"/>
  <c r="B85" i="37"/>
  <c r="M84" i="37"/>
  <c r="A84" i="37" s="1"/>
  <c r="J84" i="37"/>
  <c r="K84" i="37" s="1"/>
  <c r="I84" i="37"/>
  <c r="B84" i="37"/>
  <c r="K83" i="37"/>
  <c r="J83" i="37"/>
  <c r="I83" i="37"/>
  <c r="M83" i="37" s="1"/>
  <c r="A83" i="37" s="1"/>
  <c r="B83" i="37"/>
  <c r="J82" i="37"/>
  <c r="K82" i="37" s="1"/>
  <c r="I82" i="37"/>
  <c r="M82" i="37" s="1"/>
  <c r="A82" i="37" s="1"/>
  <c r="B82" i="37"/>
  <c r="M81" i="37"/>
  <c r="A81" i="37" s="1"/>
  <c r="J81" i="37"/>
  <c r="K81" i="37" s="1"/>
  <c r="I81" i="37"/>
  <c r="B81" i="37"/>
  <c r="K80" i="37"/>
  <c r="J80" i="37"/>
  <c r="I80" i="37"/>
  <c r="M80" i="37" s="1"/>
  <c r="A80" i="37" s="1"/>
  <c r="B80" i="37"/>
  <c r="J79" i="37"/>
  <c r="K79" i="37" s="1"/>
  <c r="I79" i="37"/>
  <c r="M79" i="37" s="1"/>
  <c r="A79" i="37" s="1"/>
  <c r="B79" i="37"/>
  <c r="J78" i="37"/>
  <c r="K78" i="37" s="1"/>
  <c r="I78" i="37"/>
  <c r="M78" i="37" s="1"/>
  <c r="A78" i="37" s="1"/>
  <c r="B78" i="37"/>
  <c r="M77" i="37"/>
  <c r="J77" i="37"/>
  <c r="K77" i="37" s="1"/>
  <c r="I77" i="37"/>
  <c r="B77" i="37"/>
  <c r="A77" i="37"/>
  <c r="M76" i="37"/>
  <c r="A76" i="37" s="1"/>
  <c r="J76" i="37"/>
  <c r="K76" i="37" s="1"/>
  <c r="I76" i="37"/>
  <c r="B76" i="37"/>
  <c r="J75" i="37"/>
  <c r="K75" i="37" s="1"/>
  <c r="I75" i="37"/>
  <c r="M75" i="37" s="1"/>
  <c r="A75" i="37" s="1"/>
  <c r="B75" i="37"/>
  <c r="J74" i="37"/>
  <c r="K74" i="37" s="1"/>
  <c r="I74" i="37"/>
  <c r="M74" i="37" s="1"/>
  <c r="A74" i="37" s="1"/>
  <c r="B74" i="37"/>
  <c r="J73" i="37"/>
  <c r="K73" i="37" s="1"/>
  <c r="I73" i="37"/>
  <c r="M73" i="37" s="1"/>
  <c r="A73" i="37" s="1"/>
  <c r="B73" i="37"/>
  <c r="M72" i="37"/>
  <c r="A72" i="37" s="1"/>
  <c r="K72" i="37"/>
  <c r="J72" i="37"/>
  <c r="I72" i="37"/>
  <c r="B72" i="37"/>
  <c r="K71" i="37"/>
  <c r="J71" i="37"/>
  <c r="I71" i="37"/>
  <c r="M71" i="37" s="1"/>
  <c r="A71" i="37" s="1"/>
  <c r="B71" i="37"/>
  <c r="J70" i="37"/>
  <c r="K70" i="37" s="1"/>
  <c r="I70" i="37"/>
  <c r="M70" i="37" s="1"/>
  <c r="A70" i="37" s="1"/>
  <c r="B70" i="37"/>
  <c r="J69" i="37"/>
  <c r="K69" i="37" s="1"/>
  <c r="I69" i="37"/>
  <c r="M69" i="37" s="1"/>
  <c r="A69" i="37" s="1"/>
  <c r="B69" i="37"/>
  <c r="M68" i="37"/>
  <c r="A68" i="37" s="1"/>
  <c r="J68" i="37"/>
  <c r="K68" i="37" s="1"/>
  <c r="I68" i="37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J65" i="37"/>
  <c r="K65" i="37" s="1"/>
  <c r="I65" i="37"/>
  <c r="M65" i="37" s="1"/>
  <c r="A65" i="37" s="1"/>
  <c r="B65" i="37"/>
  <c r="J64" i="37"/>
  <c r="K64" i="37" s="1"/>
  <c r="I64" i="37"/>
  <c r="M64" i="37" s="1"/>
  <c r="A64" i="37" s="1"/>
  <c r="B64" i="37"/>
  <c r="K63" i="37"/>
  <c r="J63" i="37"/>
  <c r="I63" i="37"/>
  <c r="M63" i="37" s="1"/>
  <c r="A63" i="37" s="1"/>
  <c r="B63" i="37"/>
  <c r="J62" i="37"/>
  <c r="K62" i="37" s="1"/>
  <c r="I62" i="37"/>
  <c r="M62" i="37" s="1"/>
  <c r="A62" i="37" s="1"/>
  <c r="B62" i="37"/>
  <c r="J61" i="37"/>
  <c r="K61" i="37" s="1"/>
  <c r="I61" i="37"/>
  <c r="M61" i="37" s="1"/>
  <c r="A61" i="37" s="1"/>
  <c r="B61" i="37"/>
  <c r="J60" i="37"/>
  <c r="K60" i="37" s="1"/>
  <c r="I60" i="37"/>
  <c r="M60" i="37" s="1"/>
  <c r="A60" i="37" s="1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M57" i="37"/>
  <c r="A57" i="37" s="1"/>
  <c r="J57" i="37"/>
  <c r="K57" i="37" s="1"/>
  <c r="I57" i="37"/>
  <c r="B57" i="37"/>
  <c r="K56" i="37"/>
  <c r="J56" i="37"/>
  <c r="I56" i="37"/>
  <c r="M56" i="37" s="1"/>
  <c r="A56" i="37" s="1"/>
  <c r="B56" i="37"/>
  <c r="K55" i="37"/>
  <c r="J55" i="37"/>
  <c r="I55" i="37"/>
  <c r="M55" i="37" s="1"/>
  <c r="A55" i="37" s="1"/>
  <c r="B55" i="37"/>
  <c r="J54" i="37"/>
  <c r="K54" i="37" s="1"/>
  <c r="I54" i="37"/>
  <c r="M54" i="37" s="1"/>
  <c r="A54" i="37" s="1"/>
  <c r="B54" i="37"/>
  <c r="J53" i="37"/>
  <c r="K53" i="37" s="1"/>
  <c r="I53" i="37"/>
  <c r="M53" i="37" s="1"/>
  <c r="A53" i="37" s="1"/>
  <c r="B53" i="37"/>
  <c r="M52" i="37"/>
  <c r="A52" i="37" s="1"/>
  <c r="J52" i="37"/>
  <c r="K52" i="37" s="1"/>
  <c r="I52" i="37"/>
  <c r="B52" i="37"/>
  <c r="J51" i="37"/>
  <c r="K51" i="37" s="1"/>
  <c r="I51" i="37"/>
  <c r="M51" i="37" s="1"/>
  <c r="A51" i="37" s="1"/>
  <c r="B51" i="37"/>
  <c r="J50" i="37"/>
  <c r="K50" i="37" s="1"/>
  <c r="I50" i="37"/>
  <c r="M50" i="37" s="1"/>
  <c r="A50" i="37" s="1"/>
  <c r="B50" i="37"/>
  <c r="M49" i="37"/>
  <c r="J49" i="37"/>
  <c r="K49" i="37" s="1"/>
  <c r="I49" i="37"/>
  <c r="B49" i="37"/>
  <c r="A49" i="37"/>
  <c r="K48" i="37"/>
  <c r="J48" i="37"/>
  <c r="I48" i="37"/>
  <c r="M48" i="37" s="1"/>
  <c r="A48" i="37" s="1"/>
  <c r="B48" i="37"/>
  <c r="J47" i="37"/>
  <c r="K47" i="37" s="1"/>
  <c r="I47" i="37"/>
  <c r="M47" i="37" s="1"/>
  <c r="A47" i="37" s="1"/>
  <c r="B47" i="37"/>
  <c r="J46" i="37"/>
  <c r="K46" i="37" s="1"/>
  <c r="I46" i="37"/>
  <c r="M46" i="37" s="1"/>
  <c r="A46" i="37" s="1"/>
  <c r="B46" i="37"/>
  <c r="J45" i="37"/>
  <c r="K45" i="37" s="1"/>
  <c r="I45" i="37"/>
  <c r="M45" i="37" s="1"/>
  <c r="A45" i="37" s="1"/>
  <c r="B45" i="37"/>
  <c r="M44" i="37"/>
  <c r="A44" i="37" s="1"/>
  <c r="J44" i="37"/>
  <c r="K44" i="37" s="1"/>
  <c r="I44" i="37"/>
  <c r="B44" i="37"/>
  <c r="J43" i="37"/>
  <c r="K43" i="37" s="1"/>
  <c r="I43" i="37"/>
  <c r="M43" i="37" s="1"/>
  <c r="A43" i="37" s="1"/>
  <c r="B43" i="37"/>
  <c r="J42" i="37"/>
  <c r="K42" i="37" s="1"/>
  <c r="I42" i="37"/>
  <c r="M42" i="37" s="1"/>
  <c r="A42" i="37" s="1"/>
  <c r="B42" i="37"/>
  <c r="J41" i="37"/>
  <c r="K41" i="37" s="1"/>
  <c r="I41" i="37"/>
  <c r="M41" i="37" s="1"/>
  <c r="A41" i="37" s="1"/>
  <c r="B41" i="37"/>
  <c r="M40" i="37"/>
  <c r="A40" i="37" s="1"/>
  <c r="K40" i="37"/>
  <c r="J40" i="37"/>
  <c r="I40" i="37"/>
  <c r="B40" i="37"/>
  <c r="K39" i="37"/>
  <c r="J39" i="37"/>
  <c r="I39" i="37"/>
  <c r="M39" i="37" s="1"/>
  <c r="A39" i="37" s="1"/>
  <c r="B39" i="37"/>
  <c r="J38" i="37"/>
  <c r="K38" i="37" s="1"/>
  <c r="I38" i="37"/>
  <c r="M38" i="37" s="1"/>
  <c r="A38" i="37" s="1"/>
  <c r="B38" i="37"/>
  <c r="J37" i="37"/>
  <c r="K37" i="37" s="1"/>
  <c r="I37" i="37"/>
  <c r="M37" i="37" s="1"/>
  <c r="A37" i="37" s="1"/>
  <c r="B37" i="37"/>
  <c r="M36" i="37"/>
  <c r="A36" i="37" s="1"/>
  <c r="J36" i="37"/>
  <c r="K36" i="37" s="1"/>
  <c r="I36" i="37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J33" i="37"/>
  <c r="K33" i="37" s="1"/>
  <c r="I33" i="37"/>
  <c r="M33" i="37" s="1"/>
  <c r="A33" i="37" s="1"/>
  <c r="B33" i="37"/>
  <c r="J32" i="37"/>
  <c r="K32" i="37" s="1"/>
  <c r="I32" i="37"/>
  <c r="M32" i="37" s="1"/>
  <c r="A32" i="37" s="1"/>
  <c r="B32" i="37"/>
  <c r="K31" i="37"/>
  <c r="J31" i="37"/>
  <c r="I31" i="37"/>
  <c r="M31" i="37" s="1"/>
  <c r="A31" i="37" s="1"/>
  <c r="B31" i="37"/>
  <c r="J30" i="37"/>
  <c r="K30" i="37" s="1"/>
  <c r="I30" i="37"/>
  <c r="M30" i="37" s="1"/>
  <c r="A30" i="37" s="1"/>
  <c r="B30" i="37"/>
  <c r="J29" i="37"/>
  <c r="K29" i="37" s="1"/>
  <c r="I29" i="37"/>
  <c r="M29" i="37" s="1"/>
  <c r="A29" i="37" s="1"/>
  <c r="B29" i="37"/>
  <c r="M28" i="37"/>
  <c r="A28" i="37" s="1"/>
  <c r="J28" i="37"/>
  <c r="K28" i="37" s="1"/>
  <c r="I28" i="37"/>
  <c r="B28" i="37"/>
  <c r="J27" i="37"/>
  <c r="K27" i="37" s="1"/>
  <c r="I27" i="37"/>
  <c r="M27" i="37" s="1"/>
  <c r="A27" i="37" s="1"/>
  <c r="B27" i="37"/>
  <c r="J26" i="37"/>
  <c r="K26" i="37" s="1"/>
  <c r="I26" i="37"/>
  <c r="M26" i="37" s="1"/>
  <c r="A26" i="37" s="1"/>
  <c r="B26" i="37"/>
  <c r="M25" i="37"/>
  <c r="A25" i="37" s="1"/>
  <c r="J25" i="37"/>
  <c r="K25" i="37" s="1"/>
  <c r="I25" i="37"/>
  <c r="B25" i="37"/>
  <c r="K24" i="37"/>
  <c r="J24" i="37"/>
  <c r="I24" i="37"/>
  <c r="M24" i="37" s="1"/>
  <c r="A24" i="37" s="1"/>
  <c r="B24" i="37"/>
  <c r="K23" i="37"/>
  <c r="J23" i="37"/>
  <c r="I23" i="37"/>
  <c r="M23" i="37" s="1"/>
  <c r="A23" i="37" s="1"/>
  <c r="B23" i="37"/>
  <c r="J22" i="37"/>
  <c r="K22" i="37" s="1"/>
  <c r="I22" i="37"/>
  <c r="M22" i="37" s="1"/>
  <c r="A22" i="37" s="1"/>
  <c r="B22" i="37"/>
  <c r="J21" i="37"/>
  <c r="K21" i="37" s="1"/>
  <c r="I21" i="37"/>
  <c r="M21" i="37" s="1"/>
  <c r="A21" i="37" s="1"/>
  <c r="B21" i="37"/>
  <c r="M20" i="37"/>
  <c r="A20" i="37" s="1"/>
  <c r="J20" i="37"/>
  <c r="K20" i="37" s="1"/>
  <c r="I20" i="37"/>
  <c r="B20" i="37"/>
  <c r="J19" i="37"/>
  <c r="K19" i="37" s="1"/>
  <c r="I19" i="37"/>
  <c r="M19" i="37" s="1"/>
  <c r="A19" i="37" s="1"/>
  <c r="B19" i="37"/>
  <c r="J18" i="37"/>
  <c r="K18" i="37" s="1"/>
  <c r="I18" i="37"/>
  <c r="M18" i="37" s="1"/>
  <c r="A18" i="37" s="1"/>
  <c r="B18" i="37"/>
  <c r="M17" i="37"/>
  <c r="A17" i="37" s="1"/>
  <c r="J17" i="37"/>
  <c r="K17" i="37" s="1"/>
  <c r="I17" i="37"/>
  <c r="B17" i="37"/>
  <c r="AI16" i="37"/>
  <c r="M16" i="37"/>
  <c r="A16" i="37" s="1"/>
  <c r="J16" i="37"/>
  <c r="K16" i="37" s="1"/>
  <c r="I16" i="37"/>
  <c r="B16" i="37"/>
  <c r="J15" i="37"/>
  <c r="K15" i="37" s="1"/>
  <c r="I15" i="37"/>
  <c r="B15" i="37"/>
  <c r="AI14" i="37"/>
  <c r="J14" i="37"/>
  <c r="K14" i="37" s="1"/>
  <c r="I14" i="37"/>
  <c r="M14" i="37" s="1"/>
  <c r="A14" i="37" s="1"/>
  <c r="B14" i="37"/>
  <c r="AI13" i="37"/>
  <c r="J13" i="37"/>
  <c r="K13" i="37" s="1"/>
  <c r="I13" i="37"/>
  <c r="B13" i="37"/>
  <c r="AI12" i="37"/>
  <c r="J12" i="37"/>
  <c r="K12" i="37" s="1"/>
  <c r="I12" i="37"/>
  <c r="M12" i="37" s="1"/>
  <c r="A12" i="37" s="1"/>
  <c r="B12" i="37"/>
  <c r="J11" i="37"/>
  <c r="K11" i="37" s="1"/>
  <c r="I11" i="37"/>
  <c r="B11" i="37"/>
  <c r="K10" i="37"/>
  <c r="M10" i="37" s="1"/>
  <c r="A10" i="37" s="1"/>
  <c r="J10" i="37"/>
  <c r="I10" i="37"/>
  <c r="B10" i="37"/>
  <c r="J9" i="37"/>
  <c r="K9" i="37" s="1"/>
  <c r="I9" i="37"/>
  <c r="M9" i="37" s="1"/>
  <c r="A9" i="37" s="1"/>
  <c r="B9" i="37"/>
  <c r="K8" i="37"/>
  <c r="J8" i="37"/>
  <c r="I8" i="37"/>
  <c r="B8" i="37"/>
  <c r="J7" i="37"/>
  <c r="K7" i="37" s="1"/>
  <c r="I7" i="37"/>
  <c r="M7" i="37" s="1"/>
  <c r="A7" i="37" s="1"/>
  <c r="B7" i="37"/>
  <c r="J6" i="37"/>
  <c r="K6" i="37" s="1"/>
  <c r="I6" i="37"/>
  <c r="B6" i="37"/>
  <c r="K2" i="37"/>
  <c r="L7" i="37" s="1"/>
  <c r="A10" i="16"/>
  <c r="B10" i="16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4" i="20"/>
  <c r="AW14" i="20" s="1"/>
  <c r="AV10" i="20"/>
  <c r="AW10" i="20" s="1"/>
  <c r="AV15" i="20"/>
  <c r="AW15" i="20" s="1"/>
  <c r="AV13" i="20"/>
  <c r="AW13" i="20" s="1"/>
  <c r="AV9" i="20"/>
  <c r="AW9" i="20" s="1"/>
  <c r="AV16" i="20"/>
  <c r="AW16" i="20" s="1"/>
  <c r="AV12" i="20"/>
  <c r="AW12" i="20" s="1"/>
  <c r="AV11" i="20"/>
  <c r="AW11" i="20" s="1"/>
  <c r="AV6" i="20"/>
  <c r="AW6" i="20" s="1"/>
  <c r="AV8" i="20"/>
  <c r="AW8" i="20" s="1"/>
  <c r="AV7" i="20"/>
  <c r="AW7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4" i="20"/>
  <c r="AU14" i="20" s="1"/>
  <c r="AT10" i="20"/>
  <c r="AU10" i="20" s="1"/>
  <c r="AT15" i="20"/>
  <c r="AU15" i="20" s="1"/>
  <c r="AT13" i="20"/>
  <c r="AU13" i="20" s="1"/>
  <c r="AT9" i="20"/>
  <c r="AU9" i="20" s="1"/>
  <c r="AT16" i="20"/>
  <c r="AU16" i="20" s="1"/>
  <c r="AT12" i="20"/>
  <c r="AU12" i="20" s="1"/>
  <c r="AT11" i="20"/>
  <c r="AU11" i="20" s="1"/>
  <c r="AT6" i="20"/>
  <c r="AU6" i="20" s="1"/>
  <c r="AT8" i="20"/>
  <c r="AU8" i="20" s="1"/>
  <c r="AT7" i="20"/>
  <c r="AU7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4" i="20"/>
  <c r="AS14" i="20" s="1"/>
  <c r="AR10" i="20"/>
  <c r="AS10" i="20" s="1"/>
  <c r="AR15" i="20"/>
  <c r="AS15" i="20" s="1"/>
  <c r="AR13" i="20"/>
  <c r="AS13" i="20" s="1"/>
  <c r="AR9" i="20"/>
  <c r="AS9" i="20" s="1"/>
  <c r="AR16" i="20"/>
  <c r="AS16" i="20" s="1"/>
  <c r="AR12" i="20"/>
  <c r="AS12" i="20" s="1"/>
  <c r="AR11" i="20"/>
  <c r="AS11" i="20" s="1"/>
  <c r="AR6" i="20"/>
  <c r="AS6" i="20" s="1"/>
  <c r="AR8" i="20"/>
  <c r="AS8" i="20" s="1"/>
  <c r="AR7" i="20"/>
  <c r="AS7" i="20" s="1"/>
  <c r="AP10" i="20"/>
  <c r="AP15" i="20"/>
  <c r="AP13" i="20"/>
  <c r="AP16" i="20"/>
  <c r="AP12" i="20"/>
  <c r="AP11" i="20"/>
  <c r="AP6" i="20"/>
  <c r="AP8" i="20"/>
  <c r="AP7" i="20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4" i="20"/>
  <c r="AO14" i="20" s="1"/>
  <c r="AN10" i="20"/>
  <c r="AO10" i="20" s="1"/>
  <c r="AN15" i="20"/>
  <c r="AO15" i="20" s="1"/>
  <c r="AN13" i="20"/>
  <c r="AO13" i="20" s="1"/>
  <c r="AN9" i="20"/>
  <c r="AO9" i="20" s="1"/>
  <c r="AN16" i="20"/>
  <c r="AO16" i="20" s="1"/>
  <c r="AN12" i="20"/>
  <c r="AO12" i="20" s="1"/>
  <c r="AN11" i="20"/>
  <c r="AO11" i="20" s="1"/>
  <c r="AN6" i="20"/>
  <c r="AO6" i="20" s="1"/>
  <c r="AN8" i="20"/>
  <c r="AO8" i="20" s="1"/>
  <c r="AN7" i="20"/>
  <c r="AO7" i="20" s="1"/>
  <c r="B147" i="28"/>
  <c r="B146" i="28"/>
  <c r="B145" i="28"/>
  <c r="B144" i="28"/>
  <c r="B143" i="28"/>
  <c r="B142" i="28"/>
  <c r="B141" i="28"/>
  <c r="B140" i="28"/>
  <c r="B139" i="28"/>
  <c r="B138" i="28"/>
  <c r="B137" i="28"/>
  <c r="B136" i="28"/>
  <c r="B135" i="28"/>
  <c r="B134" i="28"/>
  <c r="B133" i="28"/>
  <c r="B132" i="28"/>
  <c r="B131" i="28"/>
  <c r="B130" i="28"/>
  <c r="B129" i="28"/>
  <c r="B128" i="28"/>
  <c r="B127" i="28"/>
  <c r="B126" i="28"/>
  <c r="B125" i="28"/>
  <c r="B124" i="28"/>
  <c r="B123" i="28"/>
  <c r="B122" i="28"/>
  <c r="B121" i="28"/>
  <c r="B120" i="28"/>
  <c r="B119" i="28"/>
  <c r="B118" i="28"/>
  <c r="B117" i="28"/>
  <c r="B116" i="28"/>
  <c r="B115" i="28"/>
  <c r="B114" i="28"/>
  <c r="B113" i="28"/>
  <c r="B112" i="28"/>
  <c r="B111" i="28"/>
  <c r="B110" i="28"/>
  <c r="B109" i="28"/>
  <c r="B108" i="28"/>
  <c r="B107" i="28"/>
  <c r="B106" i="28"/>
  <c r="B105" i="28"/>
  <c r="B104" i="28"/>
  <c r="B103" i="28"/>
  <c r="B102" i="28"/>
  <c r="B101" i="28"/>
  <c r="B100" i="28"/>
  <c r="B99" i="28"/>
  <c r="B98" i="28"/>
  <c r="B97" i="28"/>
  <c r="B96" i="28"/>
  <c r="B95" i="28"/>
  <c r="B94" i="28"/>
  <c r="B93" i="28"/>
  <c r="B92" i="28"/>
  <c r="B91" i="28"/>
  <c r="B90" i="28"/>
  <c r="B89" i="28"/>
  <c r="B88" i="28"/>
  <c r="B87" i="28"/>
  <c r="B86" i="28"/>
  <c r="B85" i="28"/>
  <c r="B84" i="28"/>
  <c r="B83" i="28"/>
  <c r="B82" i="28"/>
  <c r="B81" i="28"/>
  <c r="B80" i="28"/>
  <c r="B79" i="28"/>
  <c r="B78" i="28"/>
  <c r="B77" i="28"/>
  <c r="B76" i="28"/>
  <c r="B75" i="28"/>
  <c r="B74" i="28"/>
  <c r="B73" i="28"/>
  <c r="B72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B52" i="28"/>
  <c r="M305" i="36"/>
  <c r="J305" i="36"/>
  <c r="K305" i="36" s="1"/>
  <c r="I305" i="36"/>
  <c r="J304" i="36"/>
  <c r="K304" i="36" s="1"/>
  <c r="I304" i="36"/>
  <c r="M304" i="36" s="1"/>
  <c r="M303" i="36"/>
  <c r="J303" i="36"/>
  <c r="K303" i="36" s="1"/>
  <c r="I303" i="36"/>
  <c r="J302" i="36"/>
  <c r="K302" i="36" s="1"/>
  <c r="I302" i="36"/>
  <c r="M302" i="36" s="1"/>
  <c r="M301" i="36"/>
  <c r="J301" i="36"/>
  <c r="K301" i="36" s="1"/>
  <c r="I301" i="36"/>
  <c r="J300" i="36"/>
  <c r="K300" i="36" s="1"/>
  <c r="I300" i="36"/>
  <c r="M300" i="36" s="1"/>
  <c r="M299" i="36"/>
  <c r="J299" i="36"/>
  <c r="K299" i="36" s="1"/>
  <c r="I299" i="36"/>
  <c r="J298" i="36"/>
  <c r="K298" i="36" s="1"/>
  <c r="I298" i="36"/>
  <c r="M298" i="36" s="1"/>
  <c r="M297" i="36"/>
  <c r="J297" i="36"/>
  <c r="K297" i="36" s="1"/>
  <c r="I297" i="36"/>
  <c r="J296" i="36"/>
  <c r="K296" i="36" s="1"/>
  <c r="I296" i="36"/>
  <c r="M296" i="36" s="1"/>
  <c r="M295" i="36"/>
  <c r="J295" i="36"/>
  <c r="K295" i="36" s="1"/>
  <c r="I295" i="36"/>
  <c r="J294" i="36"/>
  <c r="K294" i="36" s="1"/>
  <c r="I294" i="36"/>
  <c r="M294" i="36" s="1"/>
  <c r="M293" i="36"/>
  <c r="J293" i="36"/>
  <c r="K293" i="36" s="1"/>
  <c r="I293" i="36"/>
  <c r="J292" i="36"/>
  <c r="K292" i="36" s="1"/>
  <c r="I292" i="36"/>
  <c r="M292" i="36" s="1"/>
  <c r="M291" i="36"/>
  <c r="J291" i="36"/>
  <c r="K291" i="36" s="1"/>
  <c r="I291" i="36"/>
  <c r="J290" i="36"/>
  <c r="K290" i="36" s="1"/>
  <c r="I290" i="36"/>
  <c r="M290" i="36" s="1"/>
  <c r="M289" i="36"/>
  <c r="J289" i="36"/>
  <c r="K289" i="36" s="1"/>
  <c r="I289" i="36"/>
  <c r="J288" i="36"/>
  <c r="K288" i="36" s="1"/>
  <c r="I288" i="36"/>
  <c r="M288" i="36" s="1"/>
  <c r="M287" i="36"/>
  <c r="J287" i="36"/>
  <c r="K287" i="36" s="1"/>
  <c r="I287" i="36"/>
  <c r="J286" i="36"/>
  <c r="K286" i="36" s="1"/>
  <c r="I286" i="36"/>
  <c r="M286" i="36" s="1"/>
  <c r="M285" i="36"/>
  <c r="J285" i="36"/>
  <c r="K285" i="36" s="1"/>
  <c r="I285" i="36"/>
  <c r="J284" i="36"/>
  <c r="K284" i="36" s="1"/>
  <c r="I284" i="36"/>
  <c r="M284" i="36" s="1"/>
  <c r="M283" i="36"/>
  <c r="J283" i="36"/>
  <c r="K283" i="36" s="1"/>
  <c r="I283" i="36"/>
  <c r="J282" i="36"/>
  <c r="K282" i="36" s="1"/>
  <c r="I282" i="36"/>
  <c r="M282" i="36" s="1"/>
  <c r="M281" i="36"/>
  <c r="J281" i="36"/>
  <c r="K281" i="36" s="1"/>
  <c r="I281" i="36"/>
  <c r="J280" i="36"/>
  <c r="K280" i="36" s="1"/>
  <c r="I280" i="36"/>
  <c r="M280" i="36" s="1"/>
  <c r="M279" i="36"/>
  <c r="J279" i="36"/>
  <c r="K279" i="36" s="1"/>
  <c r="I279" i="36"/>
  <c r="J278" i="36"/>
  <c r="K278" i="36" s="1"/>
  <c r="I278" i="36"/>
  <c r="M278" i="36" s="1"/>
  <c r="M277" i="36"/>
  <c r="J277" i="36"/>
  <c r="K277" i="36" s="1"/>
  <c r="I277" i="36"/>
  <c r="J276" i="36"/>
  <c r="K276" i="36" s="1"/>
  <c r="I276" i="36"/>
  <c r="M276" i="36" s="1"/>
  <c r="M275" i="36"/>
  <c r="J275" i="36"/>
  <c r="K275" i="36" s="1"/>
  <c r="I275" i="36"/>
  <c r="J274" i="36"/>
  <c r="K274" i="36" s="1"/>
  <c r="I274" i="36"/>
  <c r="M274" i="36" s="1"/>
  <c r="M273" i="36"/>
  <c r="J273" i="36"/>
  <c r="K273" i="36" s="1"/>
  <c r="I273" i="36"/>
  <c r="J272" i="36"/>
  <c r="K272" i="36" s="1"/>
  <c r="I272" i="36"/>
  <c r="M272" i="36" s="1"/>
  <c r="M271" i="36"/>
  <c r="J271" i="36"/>
  <c r="K271" i="36" s="1"/>
  <c r="I271" i="36"/>
  <c r="J270" i="36"/>
  <c r="K270" i="36" s="1"/>
  <c r="I270" i="36"/>
  <c r="M270" i="36" s="1"/>
  <c r="M269" i="36"/>
  <c r="J269" i="36"/>
  <c r="K269" i="36" s="1"/>
  <c r="I269" i="36"/>
  <c r="J268" i="36"/>
  <c r="K268" i="36" s="1"/>
  <c r="I268" i="36"/>
  <c r="M268" i="36" s="1"/>
  <c r="M267" i="36"/>
  <c r="J267" i="36"/>
  <c r="K267" i="36" s="1"/>
  <c r="I267" i="36"/>
  <c r="J266" i="36"/>
  <c r="K266" i="36" s="1"/>
  <c r="I266" i="36"/>
  <c r="M266" i="36" s="1"/>
  <c r="M265" i="36"/>
  <c r="J265" i="36"/>
  <c r="K265" i="36" s="1"/>
  <c r="I265" i="36"/>
  <c r="J264" i="36"/>
  <c r="K264" i="36" s="1"/>
  <c r="I264" i="36"/>
  <c r="M264" i="36" s="1"/>
  <c r="M263" i="36"/>
  <c r="J263" i="36"/>
  <c r="K263" i="36" s="1"/>
  <c r="I263" i="36"/>
  <c r="J262" i="36"/>
  <c r="K262" i="36" s="1"/>
  <c r="I262" i="36"/>
  <c r="M262" i="36" s="1"/>
  <c r="M261" i="36"/>
  <c r="J261" i="36"/>
  <c r="K261" i="36" s="1"/>
  <c r="I261" i="36"/>
  <c r="J260" i="36"/>
  <c r="K260" i="36" s="1"/>
  <c r="I260" i="36"/>
  <c r="M260" i="36" s="1"/>
  <c r="M259" i="36"/>
  <c r="J259" i="36"/>
  <c r="K259" i="36" s="1"/>
  <c r="I259" i="36"/>
  <c r="J258" i="36"/>
  <c r="K258" i="36" s="1"/>
  <c r="I258" i="36"/>
  <c r="M258" i="36" s="1"/>
  <c r="M257" i="36"/>
  <c r="J257" i="36"/>
  <c r="K257" i="36" s="1"/>
  <c r="I257" i="36"/>
  <c r="J256" i="36"/>
  <c r="K256" i="36" s="1"/>
  <c r="I256" i="36"/>
  <c r="M256" i="36" s="1"/>
  <c r="M255" i="36"/>
  <c r="J255" i="36"/>
  <c r="K255" i="36" s="1"/>
  <c r="I255" i="36"/>
  <c r="J254" i="36"/>
  <c r="K254" i="36" s="1"/>
  <c r="I254" i="36"/>
  <c r="M254" i="36" s="1"/>
  <c r="M253" i="36"/>
  <c r="J253" i="36"/>
  <c r="K253" i="36" s="1"/>
  <c r="I253" i="36"/>
  <c r="J252" i="36"/>
  <c r="K252" i="36" s="1"/>
  <c r="I252" i="36"/>
  <c r="M252" i="36" s="1"/>
  <c r="M251" i="36"/>
  <c r="J251" i="36"/>
  <c r="K251" i="36" s="1"/>
  <c r="I251" i="36"/>
  <c r="J250" i="36"/>
  <c r="K250" i="36" s="1"/>
  <c r="I250" i="36"/>
  <c r="M250" i="36" s="1"/>
  <c r="M249" i="36"/>
  <c r="J249" i="36"/>
  <c r="K249" i="36" s="1"/>
  <c r="I249" i="36"/>
  <c r="J248" i="36"/>
  <c r="K248" i="36" s="1"/>
  <c r="I248" i="36"/>
  <c r="M248" i="36" s="1"/>
  <c r="M247" i="36"/>
  <c r="J247" i="36"/>
  <c r="K247" i="36" s="1"/>
  <c r="I247" i="36"/>
  <c r="J246" i="36"/>
  <c r="K246" i="36" s="1"/>
  <c r="I246" i="36"/>
  <c r="M246" i="36" s="1"/>
  <c r="M245" i="36"/>
  <c r="J245" i="36"/>
  <c r="K245" i="36" s="1"/>
  <c r="I245" i="36"/>
  <c r="J244" i="36"/>
  <c r="K244" i="36" s="1"/>
  <c r="I244" i="36"/>
  <c r="M244" i="36" s="1"/>
  <c r="M243" i="36"/>
  <c r="J243" i="36"/>
  <c r="K243" i="36" s="1"/>
  <c r="I243" i="36"/>
  <c r="J242" i="36"/>
  <c r="K242" i="36" s="1"/>
  <c r="I242" i="36"/>
  <c r="M242" i="36" s="1"/>
  <c r="M241" i="36"/>
  <c r="J241" i="36"/>
  <c r="K241" i="36" s="1"/>
  <c r="I241" i="36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M237" i="36"/>
  <c r="J237" i="36"/>
  <c r="K237" i="36" s="1"/>
  <c r="I237" i="36"/>
  <c r="J236" i="36"/>
  <c r="K236" i="36" s="1"/>
  <c r="I236" i="36"/>
  <c r="M236" i="36" s="1"/>
  <c r="M235" i="36"/>
  <c r="J235" i="36"/>
  <c r="K235" i="36" s="1"/>
  <c r="I235" i="36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J227" i="36"/>
  <c r="K227" i="36" s="1"/>
  <c r="I227" i="36"/>
  <c r="M227" i="36" s="1"/>
  <c r="M226" i="36"/>
  <c r="J226" i="36"/>
  <c r="K226" i="36" s="1"/>
  <c r="I226" i="36"/>
  <c r="J225" i="36"/>
  <c r="K225" i="36" s="1"/>
  <c r="I225" i="36"/>
  <c r="M225" i="36" s="1"/>
  <c r="J224" i="36"/>
  <c r="K224" i="36" s="1"/>
  <c r="I224" i="36"/>
  <c r="M224" i="36" s="1"/>
  <c r="M223" i="36"/>
  <c r="J223" i="36"/>
  <c r="K223" i="36" s="1"/>
  <c r="I223" i="36"/>
  <c r="M222" i="36"/>
  <c r="J222" i="36"/>
  <c r="K222" i="36" s="1"/>
  <c r="I222" i="36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M218" i="36"/>
  <c r="J218" i="36"/>
  <c r="K218" i="36" s="1"/>
  <c r="I218" i="36"/>
  <c r="J217" i="36"/>
  <c r="K217" i="36" s="1"/>
  <c r="I217" i="36"/>
  <c r="M217" i="36" s="1"/>
  <c r="J216" i="36"/>
  <c r="K216" i="36" s="1"/>
  <c r="I216" i="36"/>
  <c r="M216" i="36" s="1"/>
  <c r="M215" i="36"/>
  <c r="J215" i="36"/>
  <c r="K215" i="36" s="1"/>
  <c r="I215" i="36"/>
  <c r="M214" i="36"/>
  <c r="J214" i="36"/>
  <c r="K214" i="36" s="1"/>
  <c r="I214" i="36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M210" i="36"/>
  <c r="J210" i="36"/>
  <c r="K210" i="36" s="1"/>
  <c r="I210" i="36"/>
  <c r="J209" i="36"/>
  <c r="K209" i="36" s="1"/>
  <c r="I209" i="36"/>
  <c r="M209" i="36" s="1"/>
  <c r="J208" i="36"/>
  <c r="K208" i="36" s="1"/>
  <c r="I208" i="36"/>
  <c r="M208" i="36" s="1"/>
  <c r="M207" i="36"/>
  <c r="J207" i="36"/>
  <c r="K207" i="36" s="1"/>
  <c r="I207" i="36"/>
  <c r="M206" i="36"/>
  <c r="J206" i="36"/>
  <c r="K206" i="36" s="1"/>
  <c r="I206" i="36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M202" i="36"/>
  <c r="J202" i="36"/>
  <c r="K202" i="36" s="1"/>
  <c r="I202" i="36"/>
  <c r="J201" i="36"/>
  <c r="K201" i="36" s="1"/>
  <c r="I201" i="36"/>
  <c r="M201" i="36" s="1"/>
  <c r="J200" i="36"/>
  <c r="K200" i="36" s="1"/>
  <c r="I200" i="36"/>
  <c r="M200" i="36" s="1"/>
  <c r="M199" i="36"/>
  <c r="J199" i="36"/>
  <c r="K199" i="36" s="1"/>
  <c r="I199" i="36"/>
  <c r="M198" i="36"/>
  <c r="J198" i="36"/>
  <c r="K198" i="36" s="1"/>
  <c r="I198" i="36"/>
  <c r="J197" i="36"/>
  <c r="K197" i="36" s="1"/>
  <c r="I197" i="36"/>
  <c r="M197" i="36" s="1"/>
  <c r="J196" i="36"/>
  <c r="K196" i="36" s="1"/>
  <c r="I196" i="36"/>
  <c r="M196" i="36" s="1"/>
  <c r="J195" i="36"/>
  <c r="K195" i="36" s="1"/>
  <c r="I195" i="36"/>
  <c r="M195" i="36" s="1"/>
  <c r="M194" i="36"/>
  <c r="J194" i="36"/>
  <c r="K194" i="36" s="1"/>
  <c r="I194" i="36"/>
  <c r="J193" i="36"/>
  <c r="K193" i="36" s="1"/>
  <c r="I193" i="36"/>
  <c r="M193" i="36" s="1"/>
  <c r="J192" i="36"/>
  <c r="K192" i="36" s="1"/>
  <c r="I192" i="36"/>
  <c r="M192" i="36" s="1"/>
  <c r="M191" i="36"/>
  <c r="J191" i="36"/>
  <c r="K191" i="36" s="1"/>
  <c r="I191" i="36"/>
  <c r="M190" i="36"/>
  <c r="J190" i="36"/>
  <c r="K190" i="36" s="1"/>
  <c r="I190" i="36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M186" i="36"/>
  <c r="J186" i="36"/>
  <c r="K186" i="36" s="1"/>
  <c r="I186" i="36"/>
  <c r="J185" i="36"/>
  <c r="K185" i="36" s="1"/>
  <c r="I185" i="36"/>
  <c r="M185" i="36" s="1"/>
  <c r="J184" i="36"/>
  <c r="K184" i="36" s="1"/>
  <c r="I184" i="36"/>
  <c r="M184" i="36" s="1"/>
  <c r="M183" i="36"/>
  <c r="J183" i="36"/>
  <c r="K183" i="36" s="1"/>
  <c r="I183" i="36"/>
  <c r="M182" i="36"/>
  <c r="J182" i="36"/>
  <c r="K182" i="36" s="1"/>
  <c r="I182" i="36"/>
  <c r="J181" i="36"/>
  <c r="K181" i="36" s="1"/>
  <c r="I181" i="36"/>
  <c r="M181" i="36" s="1"/>
  <c r="J180" i="36"/>
  <c r="K180" i="36" s="1"/>
  <c r="I180" i="36"/>
  <c r="M180" i="36" s="1"/>
  <c r="J179" i="36"/>
  <c r="K179" i="36" s="1"/>
  <c r="I179" i="36"/>
  <c r="M179" i="36" s="1"/>
  <c r="M178" i="36"/>
  <c r="J178" i="36"/>
  <c r="K178" i="36" s="1"/>
  <c r="I178" i="36"/>
  <c r="J177" i="36"/>
  <c r="K177" i="36" s="1"/>
  <c r="I177" i="36"/>
  <c r="M177" i="36" s="1"/>
  <c r="J176" i="36"/>
  <c r="K176" i="36" s="1"/>
  <c r="I176" i="36"/>
  <c r="M176" i="36" s="1"/>
  <c r="M175" i="36"/>
  <c r="J175" i="36"/>
  <c r="K175" i="36" s="1"/>
  <c r="I175" i="36"/>
  <c r="M174" i="36"/>
  <c r="J174" i="36"/>
  <c r="K174" i="36" s="1"/>
  <c r="I174" i="36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M170" i="36"/>
  <c r="J170" i="36"/>
  <c r="K170" i="36" s="1"/>
  <c r="I170" i="36"/>
  <c r="J169" i="36"/>
  <c r="K169" i="36" s="1"/>
  <c r="I169" i="36"/>
  <c r="M169" i="36" s="1"/>
  <c r="J168" i="36"/>
  <c r="K168" i="36" s="1"/>
  <c r="I168" i="36"/>
  <c r="M168" i="36" s="1"/>
  <c r="M167" i="36"/>
  <c r="J167" i="36"/>
  <c r="K167" i="36" s="1"/>
  <c r="I167" i="36"/>
  <c r="M166" i="36"/>
  <c r="J166" i="36"/>
  <c r="K166" i="36" s="1"/>
  <c r="I166" i="36"/>
  <c r="J165" i="36"/>
  <c r="K165" i="36" s="1"/>
  <c r="I165" i="36"/>
  <c r="M165" i="36" s="1"/>
  <c r="J164" i="36"/>
  <c r="K164" i="36" s="1"/>
  <c r="I164" i="36"/>
  <c r="M164" i="36" s="1"/>
  <c r="J163" i="36"/>
  <c r="K163" i="36" s="1"/>
  <c r="I163" i="36"/>
  <c r="M163" i="36" s="1"/>
  <c r="M162" i="36"/>
  <c r="J162" i="36"/>
  <c r="K162" i="36" s="1"/>
  <c r="I162" i="36"/>
  <c r="J161" i="36"/>
  <c r="K161" i="36" s="1"/>
  <c r="I161" i="36"/>
  <c r="M161" i="36" s="1"/>
  <c r="J160" i="36"/>
  <c r="K160" i="36" s="1"/>
  <c r="I160" i="36"/>
  <c r="M160" i="36" s="1"/>
  <c r="M159" i="36"/>
  <c r="J159" i="36"/>
  <c r="K159" i="36" s="1"/>
  <c r="I159" i="36"/>
  <c r="M158" i="36"/>
  <c r="J158" i="36"/>
  <c r="K158" i="36" s="1"/>
  <c r="I158" i="36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M154" i="36"/>
  <c r="J154" i="36"/>
  <c r="K154" i="36" s="1"/>
  <c r="I154" i="36"/>
  <c r="J153" i="36"/>
  <c r="K153" i="36" s="1"/>
  <c r="I153" i="36"/>
  <c r="M153" i="36" s="1"/>
  <c r="J152" i="36"/>
  <c r="K152" i="36" s="1"/>
  <c r="I152" i="36"/>
  <c r="M152" i="36" s="1"/>
  <c r="M151" i="36"/>
  <c r="J151" i="36"/>
  <c r="K151" i="36" s="1"/>
  <c r="I151" i="36"/>
  <c r="M150" i="36"/>
  <c r="J150" i="36"/>
  <c r="K150" i="36" s="1"/>
  <c r="I150" i="36"/>
  <c r="J149" i="36"/>
  <c r="K149" i="36" s="1"/>
  <c r="I149" i="36"/>
  <c r="M149" i="36" s="1"/>
  <c r="J148" i="36"/>
  <c r="K148" i="36" s="1"/>
  <c r="I148" i="36"/>
  <c r="M148" i="36" s="1"/>
  <c r="J147" i="36"/>
  <c r="K147" i="36" s="1"/>
  <c r="I147" i="36"/>
  <c r="M147" i="36" s="1"/>
  <c r="M146" i="36"/>
  <c r="J146" i="36"/>
  <c r="K146" i="36" s="1"/>
  <c r="I146" i="36"/>
  <c r="J145" i="36"/>
  <c r="K145" i="36" s="1"/>
  <c r="I145" i="36"/>
  <c r="M145" i="36" s="1"/>
  <c r="J144" i="36"/>
  <c r="K144" i="36" s="1"/>
  <c r="I144" i="36"/>
  <c r="M144" i="36" s="1"/>
  <c r="M143" i="36"/>
  <c r="J143" i="36"/>
  <c r="K143" i="36" s="1"/>
  <c r="I143" i="36"/>
  <c r="M142" i="36"/>
  <c r="J142" i="36"/>
  <c r="K142" i="36" s="1"/>
  <c r="I142" i="36"/>
  <c r="J141" i="36"/>
  <c r="K141" i="36" s="1"/>
  <c r="I141" i="36"/>
  <c r="M141" i="36" s="1"/>
  <c r="J140" i="36"/>
  <c r="K140" i="36" s="1"/>
  <c r="I140" i="36"/>
  <c r="M140" i="36" s="1"/>
  <c r="A140" i="36" s="1"/>
  <c r="B140" i="36"/>
  <c r="M139" i="36"/>
  <c r="J139" i="36"/>
  <c r="K139" i="36" s="1"/>
  <c r="I139" i="36"/>
  <c r="B139" i="36"/>
  <c r="A139" i="36"/>
  <c r="M138" i="36"/>
  <c r="J138" i="36"/>
  <c r="K138" i="36" s="1"/>
  <c r="I138" i="36"/>
  <c r="B138" i="36"/>
  <c r="A138" i="36"/>
  <c r="M137" i="36"/>
  <c r="A137" i="36" s="1"/>
  <c r="J137" i="36"/>
  <c r="K137" i="36" s="1"/>
  <c r="I137" i="36"/>
  <c r="B137" i="36"/>
  <c r="M136" i="36"/>
  <c r="A136" i="36" s="1"/>
  <c r="J136" i="36"/>
  <c r="K136" i="36" s="1"/>
  <c r="I136" i="36"/>
  <c r="B136" i="36"/>
  <c r="J135" i="36"/>
  <c r="K135" i="36" s="1"/>
  <c r="I135" i="36"/>
  <c r="M135" i="36" s="1"/>
  <c r="A135" i="36" s="1"/>
  <c r="B135" i="36"/>
  <c r="M134" i="36"/>
  <c r="J134" i="36"/>
  <c r="K134" i="36" s="1"/>
  <c r="I134" i="36"/>
  <c r="B134" i="36"/>
  <c r="A134" i="36"/>
  <c r="M133" i="36"/>
  <c r="A133" i="36" s="1"/>
  <c r="J133" i="36"/>
  <c r="K133" i="36" s="1"/>
  <c r="I133" i="36"/>
  <c r="B133" i="36"/>
  <c r="M132" i="36"/>
  <c r="A132" i="36" s="1"/>
  <c r="J132" i="36"/>
  <c r="K132" i="36" s="1"/>
  <c r="I132" i="36"/>
  <c r="B132" i="36"/>
  <c r="J131" i="36"/>
  <c r="K131" i="36" s="1"/>
  <c r="I131" i="36"/>
  <c r="M131" i="36" s="1"/>
  <c r="A131" i="36" s="1"/>
  <c r="B131" i="36"/>
  <c r="M130" i="36"/>
  <c r="J130" i="36"/>
  <c r="K130" i="36" s="1"/>
  <c r="I130" i="36"/>
  <c r="B130" i="36"/>
  <c r="A130" i="36"/>
  <c r="M129" i="36"/>
  <c r="A129" i="36" s="1"/>
  <c r="J129" i="36"/>
  <c r="K129" i="36" s="1"/>
  <c r="I129" i="36"/>
  <c r="B129" i="36"/>
  <c r="M128" i="36"/>
  <c r="A128" i="36" s="1"/>
  <c r="J128" i="36"/>
  <c r="K128" i="36" s="1"/>
  <c r="I128" i="36"/>
  <c r="B128" i="36"/>
  <c r="J127" i="36"/>
  <c r="K127" i="36" s="1"/>
  <c r="I127" i="36"/>
  <c r="M127" i="36" s="1"/>
  <c r="A127" i="36" s="1"/>
  <c r="B127" i="36"/>
  <c r="M126" i="36"/>
  <c r="J126" i="36"/>
  <c r="K126" i="36" s="1"/>
  <c r="I126" i="36"/>
  <c r="B126" i="36"/>
  <c r="A126" i="36"/>
  <c r="M125" i="36"/>
  <c r="A125" i="36" s="1"/>
  <c r="J125" i="36"/>
  <c r="K125" i="36" s="1"/>
  <c r="I125" i="36"/>
  <c r="B125" i="36"/>
  <c r="M124" i="36"/>
  <c r="A124" i="36" s="1"/>
  <c r="J124" i="36"/>
  <c r="K124" i="36" s="1"/>
  <c r="I124" i="36"/>
  <c r="B124" i="36"/>
  <c r="J123" i="36"/>
  <c r="K123" i="36" s="1"/>
  <c r="I123" i="36"/>
  <c r="M123" i="36" s="1"/>
  <c r="A123" i="36" s="1"/>
  <c r="B123" i="36"/>
  <c r="M122" i="36"/>
  <c r="J122" i="36"/>
  <c r="K122" i="36" s="1"/>
  <c r="I122" i="36"/>
  <c r="B122" i="36"/>
  <c r="A122" i="36"/>
  <c r="M121" i="36"/>
  <c r="A121" i="36" s="1"/>
  <c r="J121" i="36"/>
  <c r="K121" i="36" s="1"/>
  <c r="I121" i="36"/>
  <c r="B121" i="36"/>
  <c r="M120" i="36"/>
  <c r="A120" i="36" s="1"/>
  <c r="J120" i="36"/>
  <c r="K120" i="36" s="1"/>
  <c r="I120" i="36"/>
  <c r="B120" i="36"/>
  <c r="J119" i="36"/>
  <c r="K119" i="36" s="1"/>
  <c r="I119" i="36"/>
  <c r="M119" i="36" s="1"/>
  <c r="A119" i="36" s="1"/>
  <c r="B119" i="36"/>
  <c r="M118" i="36"/>
  <c r="J118" i="36"/>
  <c r="K118" i="36" s="1"/>
  <c r="I118" i="36"/>
  <c r="B118" i="36"/>
  <c r="A118" i="36"/>
  <c r="M117" i="36"/>
  <c r="A117" i="36" s="1"/>
  <c r="J117" i="36"/>
  <c r="K117" i="36" s="1"/>
  <c r="I117" i="36"/>
  <c r="B117" i="36"/>
  <c r="M116" i="36"/>
  <c r="A116" i="36" s="1"/>
  <c r="J116" i="36"/>
  <c r="K116" i="36" s="1"/>
  <c r="I116" i="36"/>
  <c r="B116" i="36"/>
  <c r="J115" i="36"/>
  <c r="K115" i="36" s="1"/>
  <c r="I115" i="36"/>
  <c r="M115" i="36" s="1"/>
  <c r="A115" i="36" s="1"/>
  <c r="B115" i="36"/>
  <c r="M114" i="36"/>
  <c r="J114" i="36"/>
  <c r="K114" i="36" s="1"/>
  <c r="I114" i="36"/>
  <c r="B114" i="36"/>
  <c r="A114" i="36"/>
  <c r="M113" i="36"/>
  <c r="A113" i="36" s="1"/>
  <c r="J113" i="36"/>
  <c r="K113" i="36" s="1"/>
  <c r="I113" i="36"/>
  <c r="B113" i="36"/>
  <c r="M112" i="36"/>
  <c r="A112" i="36" s="1"/>
  <c r="J112" i="36"/>
  <c r="K112" i="36" s="1"/>
  <c r="I112" i="36"/>
  <c r="B112" i="36"/>
  <c r="J111" i="36"/>
  <c r="K111" i="36" s="1"/>
  <c r="I111" i="36"/>
  <c r="M111" i="36" s="1"/>
  <c r="A111" i="36" s="1"/>
  <c r="B111" i="36"/>
  <c r="M110" i="36"/>
  <c r="J110" i="36"/>
  <c r="K110" i="36" s="1"/>
  <c r="I110" i="36"/>
  <c r="B110" i="36"/>
  <c r="A110" i="36"/>
  <c r="M109" i="36"/>
  <c r="A109" i="36" s="1"/>
  <c r="J109" i="36"/>
  <c r="K109" i="36" s="1"/>
  <c r="I109" i="36"/>
  <c r="B109" i="36"/>
  <c r="M108" i="36"/>
  <c r="A108" i="36" s="1"/>
  <c r="J108" i="36"/>
  <c r="K108" i="36" s="1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M105" i="36"/>
  <c r="A105" i="36" s="1"/>
  <c r="J105" i="36"/>
  <c r="K105" i="36" s="1"/>
  <c r="I105" i="36"/>
  <c r="B105" i="36"/>
  <c r="M104" i="36"/>
  <c r="A104" i="36" s="1"/>
  <c r="J104" i="36"/>
  <c r="K104" i="36" s="1"/>
  <c r="I104" i="36"/>
  <c r="B104" i="36"/>
  <c r="K103" i="36"/>
  <c r="J103" i="36"/>
  <c r="I103" i="36"/>
  <c r="M103" i="36" s="1"/>
  <c r="A103" i="36" s="1"/>
  <c r="B103" i="36"/>
  <c r="J102" i="36"/>
  <c r="K102" i="36" s="1"/>
  <c r="I102" i="36"/>
  <c r="M102" i="36" s="1"/>
  <c r="A102" i="36" s="1"/>
  <c r="B102" i="36"/>
  <c r="M101" i="36"/>
  <c r="A101" i="36" s="1"/>
  <c r="J101" i="36"/>
  <c r="K101" i="36" s="1"/>
  <c r="I101" i="36"/>
  <c r="B101" i="36"/>
  <c r="M100" i="36"/>
  <c r="A100" i="36" s="1"/>
  <c r="J100" i="36"/>
  <c r="K100" i="36" s="1"/>
  <c r="I100" i="36"/>
  <c r="B100" i="36"/>
  <c r="K99" i="36"/>
  <c r="J99" i="36"/>
  <c r="I99" i="36"/>
  <c r="M99" i="36" s="1"/>
  <c r="A99" i="36" s="1"/>
  <c r="B99" i="36"/>
  <c r="J98" i="36"/>
  <c r="K98" i="36" s="1"/>
  <c r="I98" i="36"/>
  <c r="M98" i="36" s="1"/>
  <c r="A98" i="36" s="1"/>
  <c r="B98" i="36"/>
  <c r="M97" i="36"/>
  <c r="A97" i="36" s="1"/>
  <c r="J97" i="36"/>
  <c r="K97" i="36" s="1"/>
  <c r="I97" i="36"/>
  <c r="B97" i="36"/>
  <c r="M96" i="36"/>
  <c r="A96" i="36" s="1"/>
  <c r="J96" i="36"/>
  <c r="K96" i="36" s="1"/>
  <c r="I96" i="36"/>
  <c r="B96" i="36"/>
  <c r="K95" i="36"/>
  <c r="J95" i="36"/>
  <c r="I95" i="36"/>
  <c r="M95" i="36" s="1"/>
  <c r="A95" i="36" s="1"/>
  <c r="B95" i="36"/>
  <c r="J94" i="36"/>
  <c r="K94" i="36" s="1"/>
  <c r="I94" i="36"/>
  <c r="M94" i="36" s="1"/>
  <c r="A94" i="36" s="1"/>
  <c r="B94" i="36"/>
  <c r="M93" i="36"/>
  <c r="A93" i="36" s="1"/>
  <c r="J93" i="36"/>
  <c r="K93" i="36" s="1"/>
  <c r="I93" i="36"/>
  <c r="B93" i="36"/>
  <c r="M92" i="36"/>
  <c r="A92" i="36" s="1"/>
  <c r="J92" i="36"/>
  <c r="K92" i="36" s="1"/>
  <c r="I92" i="36"/>
  <c r="B92" i="36"/>
  <c r="K91" i="36"/>
  <c r="J91" i="36"/>
  <c r="I91" i="36"/>
  <c r="M91" i="36" s="1"/>
  <c r="A91" i="36" s="1"/>
  <c r="B91" i="36"/>
  <c r="J90" i="36"/>
  <c r="K90" i="36" s="1"/>
  <c r="I90" i="36"/>
  <c r="M90" i="36" s="1"/>
  <c r="A90" i="36" s="1"/>
  <c r="B90" i="36"/>
  <c r="M89" i="36"/>
  <c r="A89" i="36" s="1"/>
  <c r="J89" i="36"/>
  <c r="K89" i="36" s="1"/>
  <c r="I89" i="36"/>
  <c r="B89" i="36"/>
  <c r="M88" i="36"/>
  <c r="A88" i="36" s="1"/>
  <c r="J88" i="36"/>
  <c r="K88" i="36" s="1"/>
  <c r="I88" i="36"/>
  <c r="B88" i="36"/>
  <c r="K87" i="36"/>
  <c r="J87" i="36"/>
  <c r="I87" i="36"/>
  <c r="M87" i="36" s="1"/>
  <c r="A87" i="36" s="1"/>
  <c r="B87" i="36"/>
  <c r="J86" i="36"/>
  <c r="K86" i="36" s="1"/>
  <c r="I86" i="36"/>
  <c r="M86" i="36" s="1"/>
  <c r="A86" i="36" s="1"/>
  <c r="B86" i="36"/>
  <c r="M85" i="36"/>
  <c r="A85" i="36" s="1"/>
  <c r="J85" i="36"/>
  <c r="K85" i="36" s="1"/>
  <c r="I85" i="36"/>
  <c r="B85" i="36"/>
  <c r="M84" i="36"/>
  <c r="A84" i="36" s="1"/>
  <c r="J84" i="36"/>
  <c r="K84" i="36" s="1"/>
  <c r="I84" i="36"/>
  <c r="B84" i="36"/>
  <c r="K83" i="36"/>
  <c r="J83" i="36"/>
  <c r="I83" i="36"/>
  <c r="M83" i="36" s="1"/>
  <c r="A83" i="36" s="1"/>
  <c r="B83" i="36"/>
  <c r="J82" i="36"/>
  <c r="K82" i="36" s="1"/>
  <c r="I82" i="36"/>
  <c r="M82" i="36" s="1"/>
  <c r="A82" i="36" s="1"/>
  <c r="B82" i="36"/>
  <c r="M81" i="36"/>
  <c r="A81" i="36" s="1"/>
  <c r="J81" i="36"/>
  <c r="K81" i="36" s="1"/>
  <c r="I81" i="36"/>
  <c r="B81" i="36"/>
  <c r="M80" i="36"/>
  <c r="A80" i="36" s="1"/>
  <c r="J80" i="36"/>
  <c r="K80" i="36" s="1"/>
  <c r="I80" i="36"/>
  <c r="B80" i="36"/>
  <c r="K79" i="36"/>
  <c r="J79" i="36"/>
  <c r="I79" i="36"/>
  <c r="M79" i="36" s="1"/>
  <c r="A79" i="36" s="1"/>
  <c r="B79" i="36"/>
  <c r="J78" i="36"/>
  <c r="K78" i="36" s="1"/>
  <c r="I78" i="36"/>
  <c r="M78" i="36" s="1"/>
  <c r="A78" i="36" s="1"/>
  <c r="B78" i="36"/>
  <c r="M77" i="36"/>
  <c r="A77" i="36" s="1"/>
  <c r="J77" i="36"/>
  <c r="K77" i="36" s="1"/>
  <c r="I77" i="36"/>
  <c r="B77" i="36"/>
  <c r="M76" i="36"/>
  <c r="A76" i="36" s="1"/>
  <c r="J76" i="36"/>
  <c r="K76" i="36" s="1"/>
  <c r="I76" i="36"/>
  <c r="B76" i="36"/>
  <c r="K75" i="36"/>
  <c r="J75" i="36"/>
  <c r="I75" i="36"/>
  <c r="M75" i="36" s="1"/>
  <c r="A75" i="36" s="1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M72" i="36"/>
  <c r="A72" i="36" s="1"/>
  <c r="J72" i="36"/>
  <c r="K72" i="36" s="1"/>
  <c r="I72" i="36"/>
  <c r="B72" i="36"/>
  <c r="K71" i="36"/>
  <c r="J71" i="36"/>
  <c r="I71" i="36"/>
  <c r="M71" i="36" s="1"/>
  <c r="A71" i="36" s="1"/>
  <c r="B71" i="36"/>
  <c r="J70" i="36"/>
  <c r="K70" i="36" s="1"/>
  <c r="I70" i="36"/>
  <c r="M70" i="36" s="1"/>
  <c r="A70" i="36" s="1"/>
  <c r="B70" i="36"/>
  <c r="M69" i="36"/>
  <c r="A69" i="36" s="1"/>
  <c r="J69" i="36"/>
  <c r="K69" i="36" s="1"/>
  <c r="I69" i="36"/>
  <c r="B69" i="36"/>
  <c r="M68" i="36"/>
  <c r="A68" i="36" s="1"/>
  <c r="J68" i="36"/>
  <c r="K68" i="36" s="1"/>
  <c r="I68" i="36"/>
  <c r="B68" i="36"/>
  <c r="K67" i="36"/>
  <c r="J67" i="36"/>
  <c r="I67" i="36"/>
  <c r="M67" i="36" s="1"/>
  <c r="A67" i="36" s="1"/>
  <c r="B67" i="36"/>
  <c r="J66" i="36"/>
  <c r="K66" i="36" s="1"/>
  <c r="I66" i="36"/>
  <c r="M66" i="36" s="1"/>
  <c r="A66" i="36" s="1"/>
  <c r="B66" i="36"/>
  <c r="M65" i="36"/>
  <c r="A65" i="36" s="1"/>
  <c r="J65" i="36"/>
  <c r="K65" i="36" s="1"/>
  <c r="I65" i="36"/>
  <c r="B65" i="36"/>
  <c r="M64" i="36"/>
  <c r="A64" i="36" s="1"/>
  <c r="J64" i="36"/>
  <c r="K64" i="36" s="1"/>
  <c r="I64" i="36"/>
  <c r="B64" i="36"/>
  <c r="K63" i="36"/>
  <c r="J63" i="36"/>
  <c r="I63" i="36"/>
  <c r="M63" i="36" s="1"/>
  <c r="A63" i="36" s="1"/>
  <c r="B63" i="36"/>
  <c r="J62" i="36"/>
  <c r="K62" i="36" s="1"/>
  <c r="I62" i="36"/>
  <c r="M62" i="36" s="1"/>
  <c r="A62" i="36" s="1"/>
  <c r="B62" i="36"/>
  <c r="M61" i="36"/>
  <c r="A61" i="36" s="1"/>
  <c r="J61" i="36"/>
  <c r="K61" i="36" s="1"/>
  <c r="I61" i="36"/>
  <c r="B61" i="36"/>
  <c r="M60" i="36"/>
  <c r="A60" i="36" s="1"/>
  <c r="J60" i="36"/>
  <c r="K60" i="36" s="1"/>
  <c r="I60" i="36"/>
  <c r="B60" i="36"/>
  <c r="K59" i="36"/>
  <c r="J59" i="36"/>
  <c r="I59" i="36"/>
  <c r="M59" i="36" s="1"/>
  <c r="A59" i="36" s="1"/>
  <c r="B59" i="36"/>
  <c r="J58" i="36"/>
  <c r="K58" i="36" s="1"/>
  <c r="I58" i="36"/>
  <c r="M58" i="36" s="1"/>
  <c r="A58" i="36" s="1"/>
  <c r="B58" i="36"/>
  <c r="M57" i="36"/>
  <c r="A57" i="36" s="1"/>
  <c r="J57" i="36"/>
  <c r="K57" i="36" s="1"/>
  <c r="I57" i="36"/>
  <c r="B57" i="36"/>
  <c r="M56" i="36"/>
  <c r="A56" i="36" s="1"/>
  <c r="J56" i="36"/>
  <c r="K56" i="36" s="1"/>
  <c r="I56" i="36"/>
  <c r="B56" i="36"/>
  <c r="K55" i="36"/>
  <c r="J55" i="36"/>
  <c r="I55" i="36"/>
  <c r="M55" i="36" s="1"/>
  <c r="A55" i="36" s="1"/>
  <c r="B55" i="36"/>
  <c r="J54" i="36"/>
  <c r="K54" i="36" s="1"/>
  <c r="I54" i="36"/>
  <c r="M54" i="36" s="1"/>
  <c r="A54" i="36" s="1"/>
  <c r="B54" i="36"/>
  <c r="M53" i="36"/>
  <c r="A53" i="36" s="1"/>
  <c r="J53" i="36"/>
  <c r="K53" i="36" s="1"/>
  <c r="I53" i="36"/>
  <c r="B53" i="36"/>
  <c r="M52" i="36"/>
  <c r="A52" i="36" s="1"/>
  <c r="J52" i="36"/>
  <c r="K52" i="36" s="1"/>
  <c r="I52" i="36"/>
  <c r="B52" i="36"/>
  <c r="K51" i="36"/>
  <c r="J51" i="36"/>
  <c r="I51" i="36"/>
  <c r="M51" i="36" s="1"/>
  <c r="A51" i="36" s="1"/>
  <c r="B51" i="36"/>
  <c r="J50" i="36"/>
  <c r="K50" i="36" s="1"/>
  <c r="I50" i="36"/>
  <c r="M50" i="36" s="1"/>
  <c r="A50" i="36" s="1"/>
  <c r="B50" i="36"/>
  <c r="M49" i="36"/>
  <c r="A49" i="36" s="1"/>
  <c r="J49" i="36"/>
  <c r="K49" i="36" s="1"/>
  <c r="I49" i="36"/>
  <c r="B49" i="36"/>
  <c r="M48" i="36"/>
  <c r="A48" i="36" s="1"/>
  <c r="J48" i="36"/>
  <c r="K48" i="36" s="1"/>
  <c r="I48" i="36"/>
  <c r="B48" i="36"/>
  <c r="K47" i="36"/>
  <c r="J47" i="36"/>
  <c r="I47" i="36"/>
  <c r="M47" i="36" s="1"/>
  <c r="A47" i="36" s="1"/>
  <c r="B47" i="36"/>
  <c r="J46" i="36"/>
  <c r="K46" i="36" s="1"/>
  <c r="I46" i="36"/>
  <c r="M46" i="36" s="1"/>
  <c r="A46" i="36" s="1"/>
  <c r="B46" i="36"/>
  <c r="M45" i="36"/>
  <c r="A45" i="36" s="1"/>
  <c r="J45" i="36"/>
  <c r="K45" i="36" s="1"/>
  <c r="I45" i="36"/>
  <c r="B45" i="36"/>
  <c r="M44" i="36"/>
  <c r="A44" i="36" s="1"/>
  <c r="J44" i="36"/>
  <c r="K44" i="36" s="1"/>
  <c r="I44" i="36"/>
  <c r="B44" i="36"/>
  <c r="M43" i="36"/>
  <c r="A43" i="36" s="1"/>
  <c r="K43" i="36"/>
  <c r="J43" i="36"/>
  <c r="I43" i="36"/>
  <c r="B43" i="36"/>
  <c r="J42" i="36"/>
  <c r="K42" i="36" s="1"/>
  <c r="I42" i="36"/>
  <c r="M42" i="36" s="1"/>
  <c r="A42" i="36" s="1"/>
  <c r="B42" i="36"/>
  <c r="M41" i="36"/>
  <c r="A41" i="36" s="1"/>
  <c r="J41" i="36"/>
  <c r="K41" i="36" s="1"/>
  <c r="I41" i="36"/>
  <c r="B41" i="36"/>
  <c r="M40" i="36"/>
  <c r="A40" i="36" s="1"/>
  <c r="J40" i="36"/>
  <c r="K40" i="36" s="1"/>
  <c r="I40" i="36"/>
  <c r="B40" i="36"/>
  <c r="M39" i="36"/>
  <c r="A39" i="36" s="1"/>
  <c r="K39" i="36"/>
  <c r="J39" i="36"/>
  <c r="I39" i="36"/>
  <c r="B39" i="36"/>
  <c r="J38" i="36"/>
  <c r="K38" i="36" s="1"/>
  <c r="I38" i="36"/>
  <c r="M38" i="36" s="1"/>
  <c r="A38" i="36" s="1"/>
  <c r="B38" i="36"/>
  <c r="M37" i="36"/>
  <c r="A37" i="36" s="1"/>
  <c r="J37" i="36"/>
  <c r="K37" i="36" s="1"/>
  <c r="I37" i="36"/>
  <c r="B37" i="36"/>
  <c r="M36" i="36"/>
  <c r="A36" i="36" s="1"/>
  <c r="J36" i="36"/>
  <c r="K36" i="36" s="1"/>
  <c r="I36" i="36"/>
  <c r="B36" i="36"/>
  <c r="M35" i="36"/>
  <c r="A35" i="36" s="1"/>
  <c r="K35" i="36"/>
  <c r="J35" i="36"/>
  <c r="I35" i="36"/>
  <c r="B35" i="36"/>
  <c r="J34" i="36"/>
  <c r="K34" i="36" s="1"/>
  <c r="I34" i="36"/>
  <c r="M34" i="36" s="1"/>
  <c r="A34" i="36" s="1"/>
  <c r="B34" i="36"/>
  <c r="M33" i="36"/>
  <c r="A33" i="36" s="1"/>
  <c r="J33" i="36"/>
  <c r="K33" i="36" s="1"/>
  <c r="I33" i="36"/>
  <c r="B33" i="36"/>
  <c r="M32" i="36"/>
  <c r="A32" i="36" s="1"/>
  <c r="J32" i="36"/>
  <c r="K32" i="36" s="1"/>
  <c r="I32" i="36"/>
  <c r="B32" i="36"/>
  <c r="M31" i="36"/>
  <c r="A31" i="36" s="1"/>
  <c r="K31" i="36"/>
  <c r="J31" i="36"/>
  <c r="I31" i="36"/>
  <c r="B31" i="36"/>
  <c r="J30" i="36"/>
  <c r="K30" i="36" s="1"/>
  <c r="I30" i="36"/>
  <c r="M30" i="36" s="1"/>
  <c r="A30" i="36" s="1"/>
  <c r="B30" i="36"/>
  <c r="M29" i="36"/>
  <c r="A29" i="36" s="1"/>
  <c r="J29" i="36"/>
  <c r="K29" i="36" s="1"/>
  <c r="I29" i="36"/>
  <c r="B29" i="36"/>
  <c r="M28" i="36"/>
  <c r="A28" i="36" s="1"/>
  <c r="J28" i="36"/>
  <c r="K28" i="36" s="1"/>
  <c r="I28" i="36"/>
  <c r="B28" i="36"/>
  <c r="M27" i="36"/>
  <c r="A27" i="36" s="1"/>
  <c r="K27" i="36"/>
  <c r="J27" i="36"/>
  <c r="I27" i="36"/>
  <c r="B27" i="36"/>
  <c r="J26" i="36"/>
  <c r="K26" i="36" s="1"/>
  <c r="I26" i="36"/>
  <c r="M26" i="36" s="1"/>
  <c r="A26" i="36" s="1"/>
  <c r="B26" i="36"/>
  <c r="M25" i="36"/>
  <c r="A25" i="36" s="1"/>
  <c r="J25" i="36"/>
  <c r="K25" i="36" s="1"/>
  <c r="I25" i="36"/>
  <c r="B25" i="36"/>
  <c r="M24" i="36"/>
  <c r="A24" i="36" s="1"/>
  <c r="J24" i="36"/>
  <c r="K24" i="36" s="1"/>
  <c r="I24" i="36"/>
  <c r="B24" i="36"/>
  <c r="M23" i="36"/>
  <c r="A23" i="36" s="1"/>
  <c r="K23" i="36"/>
  <c r="J23" i="36"/>
  <c r="I23" i="36"/>
  <c r="B23" i="36"/>
  <c r="J22" i="36"/>
  <c r="K22" i="36" s="1"/>
  <c r="I22" i="36"/>
  <c r="M22" i="36" s="1"/>
  <c r="A22" i="36" s="1"/>
  <c r="B22" i="36"/>
  <c r="M21" i="36"/>
  <c r="A21" i="36" s="1"/>
  <c r="J21" i="36"/>
  <c r="K21" i="36" s="1"/>
  <c r="I21" i="36"/>
  <c r="B21" i="36"/>
  <c r="M20" i="36"/>
  <c r="A20" i="36" s="1"/>
  <c r="J20" i="36"/>
  <c r="K20" i="36" s="1"/>
  <c r="I20" i="36"/>
  <c r="B20" i="36"/>
  <c r="M19" i="36"/>
  <c r="A19" i="36" s="1"/>
  <c r="K19" i="36"/>
  <c r="J19" i="36"/>
  <c r="I19" i="36"/>
  <c r="B19" i="36"/>
  <c r="J18" i="36"/>
  <c r="K18" i="36" s="1"/>
  <c r="I18" i="36"/>
  <c r="M18" i="36" s="1"/>
  <c r="A18" i="36" s="1"/>
  <c r="B18" i="36"/>
  <c r="M17" i="36"/>
  <c r="A17" i="36" s="1"/>
  <c r="J17" i="36"/>
  <c r="K17" i="36" s="1"/>
  <c r="I17" i="36"/>
  <c r="B17" i="36"/>
  <c r="AI16" i="36"/>
  <c r="M16" i="36"/>
  <c r="K16" i="36"/>
  <c r="J16" i="36"/>
  <c r="I16" i="36"/>
  <c r="B16" i="36"/>
  <c r="A16" i="36"/>
  <c r="K15" i="36"/>
  <c r="J15" i="36"/>
  <c r="I15" i="36"/>
  <c r="M15" i="36" s="1"/>
  <c r="A15" i="36" s="1"/>
  <c r="B15" i="36"/>
  <c r="AI14" i="36"/>
  <c r="M14" i="36"/>
  <c r="A14" i="36" s="1"/>
  <c r="K14" i="36"/>
  <c r="J14" i="36"/>
  <c r="I14" i="36"/>
  <c r="B14" i="36"/>
  <c r="AI13" i="36"/>
  <c r="J13" i="36"/>
  <c r="K13" i="36" s="1"/>
  <c r="I13" i="36"/>
  <c r="M13" i="36" s="1"/>
  <c r="A13" i="36" s="1"/>
  <c r="B13" i="36"/>
  <c r="AI12" i="36"/>
  <c r="J12" i="36"/>
  <c r="K12" i="36" s="1"/>
  <c r="I12" i="36"/>
  <c r="M12" i="36" s="1"/>
  <c r="A12" i="36" s="1"/>
  <c r="B12" i="36"/>
  <c r="M11" i="36"/>
  <c r="A11" i="36" s="1"/>
  <c r="J11" i="36"/>
  <c r="K11" i="36" s="1"/>
  <c r="I11" i="36"/>
  <c r="B11" i="36"/>
  <c r="M10" i="36"/>
  <c r="A10" i="36" s="1"/>
  <c r="J10" i="36"/>
  <c r="K10" i="36" s="1"/>
  <c r="I10" i="36"/>
  <c r="B10" i="36"/>
  <c r="K9" i="36"/>
  <c r="J9" i="36"/>
  <c r="I9" i="36"/>
  <c r="M9" i="36" s="1"/>
  <c r="A9" i="36" s="1"/>
  <c r="B9" i="36"/>
  <c r="K8" i="36"/>
  <c r="J8" i="36"/>
  <c r="I8" i="36"/>
  <c r="M8" i="36" s="1"/>
  <c r="A8" i="36" s="1"/>
  <c r="B8" i="36"/>
  <c r="J7" i="36"/>
  <c r="K7" i="36" s="1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M304" i="35"/>
  <c r="J304" i="35"/>
  <c r="K304" i="35" s="1"/>
  <c r="I304" i="35"/>
  <c r="M303" i="35"/>
  <c r="K303" i="35"/>
  <c r="J303" i="35"/>
  <c r="I303" i="35"/>
  <c r="M302" i="35"/>
  <c r="J302" i="35"/>
  <c r="K302" i="35" s="1"/>
  <c r="I302" i="35"/>
  <c r="M301" i="35"/>
  <c r="J301" i="35"/>
  <c r="K301" i="35" s="1"/>
  <c r="I301" i="35"/>
  <c r="M300" i="35"/>
  <c r="J300" i="35"/>
  <c r="K300" i="35" s="1"/>
  <c r="I300" i="35"/>
  <c r="M299" i="35"/>
  <c r="J299" i="35"/>
  <c r="K299" i="35" s="1"/>
  <c r="I299" i="35"/>
  <c r="M298" i="35"/>
  <c r="J298" i="35"/>
  <c r="K298" i="35" s="1"/>
  <c r="I298" i="35"/>
  <c r="M297" i="35"/>
  <c r="J297" i="35"/>
  <c r="K297" i="35" s="1"/>
  <c r="I297" i="35"/>
  <c r="M296" i="35"/>
  <c r="J296" i="35"/>
  <c r="K296" i="35" s="1"/>
  <c r="I296" i="35"/>
  <c r="M295" i="35"/>
  <c r="J295" i="35"/>
  <c r="K295" i="35" s="1"/>
  <c r="I295" i="35"/>
  <c r="M294" i="35"/>
  <c r="J294" i="35"/>
  <c r="K294" i="35" s="1"/>
  <c r="I294" i="35"/>
  <c r="M293" i="35"/>
  <c r="J293" i="35"/>
  <c r="K293" i="35" s="1"/>
  <c r="I293" i="35"/>
  <c r="M292" i="35"/>
  <c r="J292" i="35"/>
  <c r="K292" i="35" s="1"/>
  <c r="I292" i="35"/>
  <c r="M291" i="35"/>
  <c r="K291" i="35"/>
  <c r="J291" i="35"/>
  <c r="I291" i="35"/>
  <c r="M290" i="35"/>
  <c r="J290" i="35"/>
  <c r="K290" i="35" s="1"/>
  <c r="I290" i="35"/>
  <c r="M289" i="35"/>
  <c r="J289" i="35"/>
  <c r="K289" i="35" s="1"/>
  <c r="I289" i="35"/>
  <c r="M288" i="35"/>
  <c r="J288" i="35"/>
  <c r="K288" i="35" s="1"/>
  <c r="I288" i="35"/>
  <c r="M287" i="35"/>
  <c r="K287" i="35"/>
  <c r="J287" i="35"/>
  <c r="I287" i="35"/>
  <c r="M286" i="35"/>
  <c r="J286" i="35"/>
  <c r="K286" i="35" s="1"/>
  <c r="I286" i="35"/>
  <c r="M285" i="35"/>
  <c r="J285" i="35"/>
  <c r="K285" i="35" s="1"/>
  <c r="I285" i="35"/>
  <c r="M284" i="35"/>
  <c r="J284" i="35"/>
  <c r="K284" i="35" s="1"/>
  <c r="I284" i="35"/>
  <c r="M283" i="35"/>
  <c r="J283" i="35"/>
  <c r="K283" i="35" s="1"/>
  <c r="I283" i="35"/>
  <c r="M282" i="35"/>
  <c r="J282" i="35"/>
  <c r="K282" i="35" s="1"/>
  <c r="I282" i="35"/>
  <c r="M281" i="35"/>
  <c r="K281" i="35"/>
  <c r="J281" i="35"/>
  <c r="I281" i="35"/>
  <c r="M280" i="35"/>
  <c r="J280" i="35"/>
  <c r="K280" i="35" s="1"/>
  <c r="I280" i="35"/>
  <c r="M279" i="35"/>
  <c r="J279" i="35"/>
  <c r="K279" i="35" s="1"/>
  <c r="I279" i="35"/>
  <c r="M278" i="35"/>
  <c r="J278" i="35"/>
  <c r="K278" i="35" s="1"/>
  <c r="I278" i="35"/>
  <c r="M277" i="35"/>
  <c r="J277" i="35"/>
  <c r="K277" i="35" s="1"/>
  <c r="I277" i="35"/>
  <c r="M276" i="35"/>
  <c r="J276" i="35"/>
  <c r="K276" i="35" s="1"/>
  <c r="I276" i="35"/>
  <c r="M275" i="35"/>
  <c r="K275" i="35"/>
  <c r="J275" i="35"/>
  <c r="I275" i="35"/>
  <c r="M274" i="35"/>
  <c r="J274" i="35"/>
  <c r="K274" i="35" s="1"/>
  <c r="I274" i="35"/>
  <c r="M273" i="35"/>
  <c r="J273" i="35"/>
  <c r="K273" i="35" s="1"/>
  <c r="I273" i="35"/>
  <c r="M272" i="35"/>
  <c r="J272" i="35"/>
  <c r="K272" i="35" s="1"/>
  <c r="I272" i="35"/>
  <c r="M271" i="35"/>
  <c r="K271" i="35"/>
  <c r="J271" i="35"/>
  <c r="I271" i="35"/>
  <c r="M270" i="35"/>
  <c r="J270" i="35"/>
  <c r="K270" i="35" s="1"/>
  <c r="I270" i="35"/>
  <c r="M269" i="35"/>
  <c r="J269" i="35"/>
  <c r="K269" i="35" s="1"/>
  <c r="I269" i="35"/>
  <c r="M268" i="35"/>
  <c r="J268" i="35"/>
  <c r="K268" i="35" s="1"/>
  <c r="I268" i="35"/>
  <c r="M267" i="35"/>
  <c r="J267" i="35"/>
  <c r="K267" i="35" s="1"/>
  <c r="I267" i="35"/>
  <c r="M266" i="35"/>
  <c r="J266" i="35"/>
  <c r="K266" i="35" s="1"/>
  <c r="I266" i="35"/>
  <c r="M265" i="35"/>
  <c r="K265" i="35"/>
  <c r="J265" i="35"/>
  <c r="I265" i="35"/>
  <c r="M264" i="35"/>
  <c r="J264" i="35"/>
  <c r="K264" i="35" s="1"/>
  <c r="I264" i="35"/>
  <c r="M263" i="35"/>
  <c r="J263" i="35"/>
  <c r="K263" i="35" s="1"/>
  <c r="I263" i="35"/>
  <c r="M262" i="35"/>
  <c r="J262" i="35"/>
  <c r="K262" i="35" s="1"/>
  <c r="I262" i="35"/>
  <c r="M261" i="35"/>
  <c r="J261" i="35"/>
  <c r="K261" i="35" s="1"/>
  <c r="I261" i="35"/>
  <c r="M260" i="35"/>
  <c r="J260" i="35"/>
  <c r="K260" i="35" s="1"/>
  <c r="I260" i="35"/>
  <c r="M259" i="35"/>
  <c r="K259" i="35"/>
  <c r="J259" i="35"/>
  <c r="I259" i="35"/>
  <c r="M258" i="35"/>
  <c r="J258" i="35"/>
  <c r="K258" i="35" s="1"/>
  <c r="I258" i="35"/>
  <c r="M257" i="35"/>
  <c r="J257" i="35"/>
  <c r="K257" i="35" s="1"/>
  <c r="I257" i="35"/>
  <c r="M256" i="35"/>
  <c r="J256" i="35"/>
  <c r="K256" i="35" s="1"/>
  <c r="I256" i="35"/>
  <c r="M255" i="35"/>
  <c r="K255" i="35"/>
  <c r="J255" i="35"/>
  <c r="I255" i="35"/>
  <c r="M254" i="35"/>
  <c r="J254" i="35"/>
  <c r="K254" i="35" s="1"/>
  <c r="I254" i="35"/>
  <c r="M253" i="35"/>
  <c r="J253" i="35"/>
  <c r="K253" i="35" s="1"/>
  <c r="I253" i="35"/>
  <c r="M252" i="35"/>
  <c r="J252" i="35"/>
  <c r="K252" i="35" s="1"/>
  <c r="I252" i="35"/>
  <c r="M251" i="35"/>
  <c r="J251" i="35"/>
  <c r="K251" i="35" s="1"/>
  <c r="I251" i="35"/>
  <c r="M250" i="35"/>
  <c r="J250" i="35"/>
  <c r="K250" i="35" s="1"/>
  <c r="I250" i="35"/>
  <c r="M249" i="35"/>
  <c r="K249" i="35"/>
  <c r="J249" i="35"/>
  <c r="I249" i="35"/>
  <c r="M248" i="35"/>
  <c r="J248" i="35"/>
  <c r="K248" i="35" s="1"/>
  <c r="I248" i="35"/>
  <c r="M247" i="35"/>
  <c r="J247" i="35"/>
  <c r="K247" i="35" s="1"/>
  <c r="I247" i="35"/>
  <c r="M246" i="35"/>
  <c r="J246" i="35"/>
  <c r="K246" i="35" s="1"/>
  <c r="I246" i="35"/>
  <c r="M245" i="35"/>
  <c r="J245" i="35"/>
  <c r="K245" i="35" s="1"/>
  <c r="I245" i="35"/>
  <c r="M244" i="35"/>
  <c r="J244" i="35"/>
  <c r="K244" i="35" s="1"/>
  <c r="I244" i="35"/>
  <c r="M243" i="35"/>
  <c r="K243" i="35"/>
  <c r="J243" i="35"/>
  <c r="I243" i="35"/>
  <c r="M242" i="35"/>
  <c r="J242" i="35"/>
  <c r="K242" i="35" s="1"/>
  <c r="I242" i="35"/>
  <c r="M241" i="35"/>
  <c r="J241" i="35"/>
  <c r="K241" i="35" s="1"/>
  <c r="I241" i="35"/>
  <c r="M240" i="35"/>
  <c r="J240" i="35"/>
  <c r="K240" i="35" s="1"/>
  <c r="I240" i="35"/>
  <c r="M239" i="35"/>
  <c r="K239" i="35"/>
  <c r="J239" i="35"/>
  <c r="I239" i="35"/>
  <c r="M238" i="35"/>
  <c r="J238" i="35"/>
  <c r="K238" i="35" s="1"/>
  <c r="I238" i="35"/>
  <c r="M237" i="35"/>
  <c r="J237" i="35"/>
  <c r="K237" i="35" s="1"/>
  <c r="I237" i="35"/>
  <c r="M236" i="35"/>
  <c r="J236" i="35"/>
  <c r="K236" i="35" s="1"/>
  <c r="I236" i="35"/>
  <c r="M235" i="35"/>
  <c r="J235" i="35"/>
  <c r="K235" i="35" s="1"/>
  <c r="I235" i="35"/>
  <c r="M234" i="35"/>
  <c r="J234" i="35"/>
  <c r="K234" i="35" s="1"/>
  <c r="I234" i="35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M230" i="35"/>
  <c r="J230" i="35"/>
  <c r="K230" i="35" s="1"/>
  <c r="I230" i="35"/>
  <c r="M229" i="35"/>
  <c r="K229" i="35"/>
  <c r="J229" i="35"/>
  <c r="I229" i="35"/>
  <c r="M228" i="35"/>
  <c r="J228" i="35"/>
  <c r="K228" i="35" s="1"/>
  <c r="I228" i="35"/>
  <c r="M227" i="35"/>
  <c r="J227" i="35"/>
  <c r="K227" i="35" s="1"/>
  <c r="I227" i="35"/>
  <c r="J226" i="35"/>
  <c r="K226" i="35" s="1"/>
  <c r="I226" i="35"/>
  <c r="M226" i="35" s="1"/>
  <c r="M225" i="35"/>
  <c r="K225" i="35"/>
  <c r="J225" i="35"/>
  <c r="I225" i="35"/>
  <c r="J224" i="35"/>
  <c r="K224" i="35" s="1"/>
  <c r="I224" i="35"/>
  <c r="M224" i="35" s="1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J220" i="35"/>
  <c r="K220" i="35" s="1"/>
  <c r="I220" i="35"/>
  <c r="J219" i="35"/>
  <c r="K219" i="35" s="1"/>
  <c r="I219" i="35"/>
  <c r="M219" i="35" s="1"/>
  <c r="M218" i="35"/>
  <c r="J218" i="35"/>
  <c r="K218" i="35" s="1"/>
  <c r="I218" i="35"/>
  <c r="J217" i="35"/>
  <c r="K217" i="35" s="1"/>
  <c r="I217" i="35"/>
  <c r="M217" i="35" s="1"/>
  <c r="M216" i="35"/>
  <c r="J216" i="35"/>
  <c r="K216" i="35" s="1"/>
  <c r="I216" i="35"/>
  <c r="M215" i="35"/>
  <c r="J215" i="35"/>
  <c r="K215" i="35" s="1"/>
  <c r="I215" i="35"/>
  <c r="J214" i="35"/>
  <c r="K214" i="35" s="1"/>
  <c r="I214" i="35"/>
  <c r="M214" i="35" s="1"/>
  <c r="M213" i="35"/>
  <c r="K213" i="35"/>
  <c r="J213" i="35"/>
  <c r="I213" i="35"/>
  <c r="J212" i="35"/>
  <c r="K212" i="35" s="1"/>
  <c r="I212" i="35"/>
  <c r="M212" i="35" s="1"/>
  <c r="M211" i="35"/>
  <c r="K211" i="35"/>
  <c r="J211" i="35"/>
  <c r="I211" i="35"/>
  <c r="J210" i="35"/>
  <c r="K210" i="35" s="1"/>
  <c r="I210" i="35"/>
  <c r="M210" i="35" s="1"/>
  <c r="M209" i="35"/>
  <c r="K209" i="35"/>
  <c r="J209" i="35"/>
  <c r="I209" i="35"/>
  <c r="J208" i="35"/>
  <c r="K208" i="35" s="1"/>
  <c r="I208" i="35"/>
  <c r="M208" i="35" s="1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M204" i="35"/>
  <c r="J204" i="35"/>
  <c r="K204" i="35" s="1"/>
  <c r="I204" i="35"/>
  <c r="J203" i="35"/>
  <c r="K203" i="35" s="1"/>
  <c r="I203" i="35"/>
  <c r="M203" i="35" s="1"/>
  <c r="M202" i="35"/>
  <c r="J202" i="35"/>
  <c r="K202" i="35" s="1"/>
  <c r="I202" i="35"/>
  <c r="J201" i="35"/>
  <c r="K201" i="35" s="1"/>
  <c r="I201" i="35"/>
  <c r="M201" i="35" s="1"/>
  <c r="M200" i="35"/>
  <c r="J200" i="35"/>
  <c r="K200" i="35" s="1"/>
  <c r="I200" i="35"/>
  <c r="M199" i="35"/>
  <c r="J199" i="35"/>
  <c r="K199" i="35" s="1"/>
  <c r="I199" i="35"/>
  <c r="J198" i="35"/>
  <c r="K198" i="35" s="1"/>
  <c r="I198" i="35"/>
  <c r="M198" i="35" s="1"/>
  <c r="M197" i="35"/>
  <c r="K197" i="35"/>
  <c r="J197" i="35"/>
  <c r="I197" i="35"/>
  <c r="J196" i="35"/>
  <c r="K196" i="35" s="1"/>
  <c r="I196" i="35"/>
  <c r="M196" i="35" s="1"/>
  <c r="M195" i="35"/>
  <c r="K195" i="35"/>
  <c r="J195" i="35"/>
  <c r="I195" i="35"/>
  <c r="J194" i="35"/>
  <c r="K194" i="35" s="1"/>
  <c r="I194" i="35"/>
  <c r="M194" i="35" s="1"/>
  <c r="M193" i="35"/>
  <c r="K193" i="35"/>
  <c r="J193" i="35"/>
  <c r="I193" i="35"/>
  <c r="J192" i="35"/>
  <c r="K192" i="35" s="1"/>
  <c r="I192" i="35"/>
  <c r="M192" i="35" s="1"/>
  <c r="J191" i="35"/>
  <c r="K191" i="35" s="1"/>
  <c r="I191" i="35"/>
  <c r="M191" i="35" s="1"/>
  <c r="M190" i="35"/>
  <c r="J190" i="35"/>
  <c r="K190" i="35" s="1"/>
  <c r="I190" i="35"/>
  <c r="J189" i="35"/>
  <c r="K189" i="35" s="1"/>
  <c r="I189" i="35"/>
  <c r="M189" i="35" s="1"/>
  <c r="M188" i="35"/>
  <c r="J188" i="35"/>
  <c r="K188" i="35" s="1"/>
  <c r="I188" i="35"/>
  <c r="J187" i="35"/>
  <c r="K187" i="35" s="1"/>
  <c r="I187" i="35"/>
  <c r="M187" i="35" s="1"/>
  <c r="M186" i="35"/>
  <c r="J186" i="35"/>
  <c r="K186" i="35" s="1"/>
  <c r="I186" i="35"/>
  <c r="J185" i="35"/>
  <c r="K185" i="35" s="1"/>
  <c r="I185" i="35"/>
  <c r="M185" i="35" s="1"/>
  <c r="M184" i="35"/>
  <c r="J184" i="35"/>
  <c r="K184" i="35" s="1"/>
  <c r="I184" i="35"/>
  <c r="M183" i="35"/>
  <c r="J183" i="35"/>
  <c r="K183" i="35" s="1"/>
  <c r="I183" i="35"/>
  <c r="J182" i="35"/>
  <c r="K182" i="35" s="1"/>
  <c r="I182" i="35"/>
  <c r="M182" i="35" s="1"/>
  <c r="M181" i="35"/>
  <c r="K181" i="35"/>
  <c r="J181" i="35"/>
  <c r="I181" i="35"/>
  <c r="J180" i="35"/>
  <c r="K180" i="35" s="1"/>
  <c r="I180" i="35"/>
  <c r="M180" i="35" s="1"/>
  <c r="M179" i="35"/>
  <c r="K179" i="35"/>
  <c r="J179" i="35"/>
  <c r="I179" i="35"/>
  <c r="J178" i="35"/>
  <c r="K178" i="35" s="1"/>
  <c r="I178" i="35"/>
  <c r="M178" i="35" s="1"/>
  <c r="M177" i="35"/>
  <c r="K177" i="35"/>
  <c r="J177" i="35"/>
  <c r="I177" i="35"/>
  <c r="J176" i="35"/>
  <c r="K176" i="35" s="1"/>
  <c r="I176" i="35"/>
  <c r="M176" i="35" s="1"/>
  <c r="J175" i="35"/>
  <c r="K175" i="35" s="1"/>
  <c r="I175" i="35"/>
  <c r="M175" i="35" s="1"/>
  <c r="M174" i="35"/>
  <c r="J174" i="35"/>
  <c r="K174" i="35" s="1"/>
  <c r="I174" i="35"/>
  <c r="J173" i="35"/>
  <c r="K173" i="35" s="1"/>
  <c r="I173" i="35"/>
  <c r="M173" i="35" s="1"/>
  <c r="M172" i="35"/>
  <c r="J172" i="35"/>
  <c r="K172" i="35" s="1"/>
  <c r="I172" i="35"/>
  <c r="J171" i="35"/>
  <c r="K171" i="35" s="1"/>
  <c r="I171" i="35"/>
  <c r="M171" i="35" s="1"/>
  <c r="M170" i="35"/>
  <c r="J170" i="35"/>
  <c r="K170" i="35" s="1"/>
  <c r="I170" i="35"/>
  <c r="J169" i="35"/>
  <c r="K169" i="35" s="1"/>
  <c r="I169" i="35"/>
  <c r="M169" i="35" s="1"/>
  <c r="M168" i="35"/>
  <c r="J168" i="35"/>
  <c r="K168" i="35" s="1"/>
  <c r="I168" i="35"/>
  <c r="M167" i="35"/>
  <c r="J167" i="35"/>
  <c r="K167" i="35" s="1"/>
  <c r="I167" i="35"/>
  <c r="J166" i="35"/>
  <c r="K166" i="35" s="1"/>
  <c r="I166" i="35"/>
  <c r="M166" i="35" s="1"/>
  <c r="M165" i="35"/>
  <c r="K165" i="35"/>
  <c r="J165" i="35"/>
  <c r="I165" i="35"/>
  <c r="J164" i="35"/>
  <c r="K164" i="35" s="1"/>
  <c r="I164" i="35"/>
  <c r="M164" i="35" s="1"/>
  <c r="M163" i="35"/>
  <c r="K163" i="35"/>
  <c r="J163" i="35"/>
  <c r="I163" i="35"/>
  <c r="J162" i="35"/>
  <c r="K162" i="35" s="1"/>
  <c r="I162" i="35"/>
  <c r="M162" i="35" s="1"/>
  <c r="M161" i="35"/>
  <c r="K161" i="35"/>
  <c r="J161" i="35"/>
  <c r="I161" i="35"/>
  <c r="J160" i="35"/>
  <c r="K160" i="35" s="1"/>
  <c r="I160" i="35"/>
  <c r="M160" i="35" s="1"/>
  <c r="J159" i="35"/>
  <c r="K159" i="35" s="1"/>
  <c r="I159" i="35"/>
  <c r="M159" i="35" s="1"/>
  <c r="M158" i="35"/>
  <c r="J158" i="35"/>
  <c r="K158" i="35" s="1"/>
  <c r="I158" i="35"/>
  <c r="J157" i="35"/>
  <c r="K157" i="35" s="1"/>
  <c r="I157" i="35"/>
  <c r="M157" i="35" s="1"/>
  <c r="M156" i="35"/>
  <c r="J156" i="35"/>
  <c r="K156" i="35" s="1"/>
  <c r="I156" i="35"/>
  <c r="J155" i="35"/>
  <c r="K155" i="35" s="1"/>
  <c r="I155" i="35"/>
  <c r="M155" i="35" s="1"/>
  <c r="M154" i="35"/>
  <c r="J154" i="35"/>
  <c r="K154" i="35" s="1"/>
  <c r="I154" i="35"/>
  <c r="J153" i="35"/>
  <c r="K153" i="35" s="1"/>
  <c r="I153" i="35"/>
  <c r="M153" i="35" s="1"/>
  <c r="M152" i="35"/>
  <c r="J152" i="35"/>
  <c r="K152" i="35" s="1"/>
  <c r="I152" i="35"/>
  <c r="M151" i="35"/>
  <c r="J151" i="35"/>
  <c r="K151" i="35" s="1"/>
  <c r="I151" i="35"/>
  <c r="J150" i="35"/>
  <c r="K150" i="35" s="1"/>
  <c r="I150" i="35"/>
  <c r="M150" i="35" s="1"/>
  <c r="M149" i="35"/>
  <c r="K149" i="35"/>
  <c r="J149" i="35"/>
  <c r="I149" i="35"/>
  <c r="J148" i="35"/>
  <c r="K148" i="35" s="1"/>
  <c r="I148" i="35"/>
  <c r="M148" i="35" s="1"/>
  <c r="M147" i="35"/>
  <c r="K147" i="35"/>
  <c r="J147" i="35"/>
  <c r="I147" i="35"/>
  <c r="J146" i="35"/>
  <c r="K146" i="35" s="1"/>
  <c r="I146" i="35"/>
  <c r="M146" i="35" s="1"/>
  <c r="M145" i="35"/>
  <c r="K145" i="35"/>
  <c r="J145" i="35"/>
  <c r="I145" i="35"/>
  <c r="J144" i="35"/>
  <c r="K144" i="35" s="1"/>
  <c r="I144" i="35"/>
  <c r="M144" i="35" s="1"/>
  <c r="J143" i="35"/>
  <c r="K143" i="35" s="1"/>
  <c r="I143" i="35"/>
  <c r="M143" i="35" s="1"/>
  <c r="M142" i="35"/>
  <c r="J142" i="35"/>
  <c r="K142" i="35" s="1"/>
  <c r="I142" i="35"/>
  <c r="J141" i="35"/>
  <c r="K141" i="35" s="1"/>
  <c r="I141" i="35"/>
  <c r="M141" i="35" s="1"/>
  <c r="M140" i="35"/>
  <c r="J140" i="35"/>
  <c r="K140" i="35" s="1"/>
  <c r="I140" i="35"/>
  <c r="J139" i="35"/>
  <c r="K139" i="35" s="1"/>
  <c r="I139" i="35"/>
  <c r="M139" i="35" s="1"/>
  <c r="M138" i="35"/>
  <c r="J138" i="35"/>
  <c r="K138" i="35" s="1"/>
  <c r="I138" i="35"/>
  <c r="J137" i="35"/>
  <c r="K137" i="35" s="1"/>
  <c r="I137" i="35"/>
  <c r="M137" i="35" s="1"/>
  <c r="M136" i="35"/>
  <c r="J136" i="35"/>
  <c r="K136" i="35" s="1"/>
  <c r="I136" i="35"/>
  <c r="M135" i="35"/>
  <c r="J135" i="35"/>
  <c r="K135" i="35" s="1"/>
  <c r="I135" i="35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M131" i="35"/>
  <c r="J131" i="35"/>
  <c r="K131" i="35" s="1"/>
  <c r="I131" i="35"/>
  <c r="J130" i="35"/>
  <c r="K130" i="35" s="1"/>
  <c r="I130" i="35"/>
  <c r="M130" i="35" s="1"/>
  <c r="M129" i="35"/>
  <c r="J129" i="35"/>
  <c r="K129" i="35" s="1"/>
  <c r="I129" i="35"/>
  <c r="J128" i="35"/>
  <c r="K128" i="35" s="1"/>
  <c r="I128" i="35"/>
  <c r="M128" i="35" s="1"/>
  <c r="M127" i="35"/>
  <c r="J127" i="35"/>
  <c r="K127" i="35" s="1"/>
  <c r="I127" i="35"/>
  <c r="J126" i="35"/>
  <c r="K126" i="35" s="1"/>
  <c r="I126" i="35"/>
  <c r="M126" i="35" s="1"/>
  <c r="M125" i="35"/>
  <c r="J125" i="35"/>
  <c r="K125" i="35" s="1"/>
  <c r="I125" i="35"/>
  <c r="J124" i="35"/>
  <c r="K124" i="35" s="1"/>
  <c r="I124" i="35"/>
  <c r="M124" i="35" s="1"/>
  <c r="M123" i="35"/>
  <c r="J123" i="35"/>
  <c r="K123" i="35" s="1"/>
  <c r="I123" i="35"/>
  <c r="J122" i="35"/>
  <c r="K122" i="35" s="1"/>
  <c r="I122" i="35"/>
  <c r="M122" i="35" s="1"/>
  <c r="M121" i="35"/>
  <c r="J121" i="35"/>
  <c r="K121" i="35" s="1"/>
  <c r="I121" i="35"/>
  <c r="K120" i="35"/>
  <c r="J120" i="35"/>
  <c r="I120" i="35"/>
  <c r="M120" i="35" s="1"/>
  <c r="M119" i="35"/>
  <c r="J119" i="35"/>
  <c r="K119" i="35" s="1"/>
  <c r="I119" i="35"/>
  <c r="J118" i="35"/>
  <c r="K118" i="35" s="1"/>
  <c r="I118" i="35"/>
  <c r="M118" i="35" s="1"/>
  <c r="M117" i="35"/>
  <c r="J117" i="35"/>
  <c r="K117" i="35" s="1"/>
  <c r="I117" i="35"/>
  <c r="J116" i="35"/>
  <c r="K116" i="35" s="1"/>
  <c r="I116" i="35"/>
  <c r="M116" i="35" s="1"/>
  <c r="M115" i="35"/>
  <c r="J115" i="35"/>
  <c r="K115" i="35" s="1"/>
  <c r="I115" i="35"/>
  <c r="K114" i="35"/>
  <c r="J114" i="35"/>
  <c r="I114" i="35"/>
  <c r="M114" i="35" s="1"/>
  <c r="M113" i="35"/>
  <c r="J113" i="35"/>
  <c r="K113" i="35" s="1"/>
  <c r="I113" i="35"/>
  <c r="K112" i="35"/>
  <c r="J112" i="35"/>
  <c r="I112" i="35"/>
  <c r="M112" i="35" s="1"/>
  <c r="M111" i="35"/>
  <c r="J111" i="35"/>
  <c r="K111" i="35" s="1"/>
  <c r="I111" i="35"/>
  <c r="K110" i="35"/>
  <c r="J110" i="35"/>
  <c r="I110" i="35"/>
  <c r="M110" i="35" s="1"/>
  <c r="M109" i="35"/>
  <c r="J109" i="35"/>
  <c r="K109" i="35" s="1"/>
  <c r="I109" i="35"/>
  <c r="J108" i="35"/>
  <c r="K108" i="35" s="1"/>
  <c r="I108" i="35"/>
  <c r="M108" i="35" s="1"/>
  <c r="M107" i="35"/>
  <c r="J107" i="35"/>
  <c r="K107" i="35" s="1"/>
  <c r="I107" i="35"/>
  <c r="K106" i="35"/>
  <c r="J106" i="35"/>
  <c r="I106" i="35"/>
  <c r="M106" i="35" s="1"/>
  <c r="M105" i="35"/>
  <c r="J105" i="35"/>
  <c r="K105" i="35" s="1"/>
  <c r="I105" i="35"/>
  <c r="K104" i="35"/>
  <c r="J104" i="35"/>
  <c r="I104" i="35"/>
  <c r="M104" i="35" s="1"/>
  <c r="M103" i="35"/>
  <c r="J103" i="35"/>
  <c r="K103" i="35" s="1"/>
  <c r="I103" i="35"/>
  <c r="K102" i="35"/>
  <c r="J102" i="35"/>
  <c r="I102" i="35"/>
  <c r="M102" i="35" s="1"/>
  <c r="M101" i="35"/>
  <c r="J101" i="35"/>
  <c r="K101" i="35" s="1"/>
  <c r="I101" i="35"/>
  <c r="J100" i="35"/>
  <c r="K100" i="35" s="1"/>
  <c r="I100" i="35"/>
  <c r="M100" i="35" s="1"/>
  <c r="M99" i="35"/>
  <c r="J99" i="35"/>
  <c r="K99" i="35" s="1"/>
  <c r="I99" i="35"/>
  <c r="K98" i="35"/>
  <c r="J98" i="35"/>
  <c r="I98" i="35"/>
  <c r="M98" i="35" s="1"/>
  <c r="M97" i="35"/>
  <c r="J97" i="35"/>
  <c r="K97" i="35" s="1"/>
  <c r="I97" i="35"/>
  <c r="K96" i="35"/>
  <c r="J96" i="35"/>
  <c r="I96" i="35"/>
  <c r="M96" i="35" s="1"/>
  <c r="M95" i="35"/>
  <c r="J95" i="35"/>
  <c r="K95" i="35" s="1"/>
  <c r="I95" i="35"/>
  <c r="K94" i="35"/>
  <c r="J94" i="35"/>
  <c r="I94" i="35"/>
  <c r="M94" i="35" s="1"/>
  <c r="M93" i="35"/>
  <c r="J93" i="35"/>
  <c r="K93" i="35" s="1"/>
  <c r="I93" i="35"/>
  <c r="J92" i="35"/>
  <c r="K92" i="35" s="1"/>
  <c r="I92" i="35"/>
  <c r="M92" i="35" s="1"/>
  <c r="M91" i="35"/>
  <c r="J91" i="35"/>
  <c r="K91" i="35" s="1"/>
  <c r="I91" i="35"/>
  <c r="K90" i="35"/>
  <c r="J90" i="35"/>
  <c r="I90" i="35"/>
  <c r="M90" i="35" s="1"/>
  <c r="M89" i="35"/>
  <c r="J89" i="35"/>
  <c r="K89" i="35" s="1"/>
  <c r="I89" i="35"/>
  <c r="K88" i="35"/>
  <c r="J88" i="35"/>
  <c r="I88" i="35"/>
  <c r="M88" i="35" s="1"/>
  <c r="M87" i="35"/>
  <c r="J87" i="35"/>
  <c r="K87" i="35" s="1"/>
  <c r="I87" i="35"/>
  <c r="K86" i="35"/>
  <c r="J86" i="35"/>
  <c r="I86" i="35"/>
  <c r="M86" i="35" s="1"/>
  <c r="M85" i="35"/>
  <c r="J85" i="35"/>
  <c r="K85" i="35" s="1"/>
  <c r="I85" i="35"/>
  <c r="J84" i="35"/>
  <c r="K84" i="35" s="1"/>
  <c r="I84" i="35"/>
  <c r="M84" i="35" s="1"/>
  <c r="M83" i="35"/>
  <c r="J83" i="35"/>
  <c r="K83" i="35" s="1"/>
  <c r="I83" i="35"/>
  <c r="K82" i="35"/>
  <c r="J82" i="35"/>
  <c r="I82" i="35"/>
  <c r="M82" i="35" s="1"/>
  <c r="M81" i="35"/>
  <c r="J81" i="35"/>
  <c r="K81" i="35" s="1"/>
  <c r="I81" i="35"/>
  <c r="K80" i="35"/>
  <c r="J80" i="35"/>
  <c r="I80" i="35"/>
  <c r="M80" i="35" s="1"/>
  <c r="M79" i="35"/>
  <c r="J79" i="35"/>
  <c r="K79" i="35" s="1"/>
  <c r="I79" i="35"/>
  <c r="K78" i="35"/>
  <c r="J78" i="35"/>
  <c r="I78" i="35"/>
  <c r="M78" i="35" s="1"/>
  <c r="M77" i="35"/>
  <c r="J77" i="35"/>
  <c r="K77" i="35" s="1"/>
  <c r="I77" i="35"/>
  <c r="J76" i="35"/>
  <c r="K76" i="35" s="1"/>
  <c r="I76" i="35"/>
  <c r="M76" i="35" s="1"/>
  <c r="M75" i="35"/>
  <c r="J75" i="35"/>
  <c r="K75" i="35" s="1"/>
  <c r="I75" i="35"/>
  <c r="K74" i="35"/>
  <c r="J74" i="35"/>
  <c r="I74" i="35"/>
  <c r="M74" i="35" s="1"/>
  <c r="M73" i="35"/>
  <c r="J73" i="35"/>
  <c r="K73" i="35" s="1"/>
  <c r="I73" i="35"/>
  <c r="K72" i="35"/>
  <c r="J72" i="35"/>
  <c r="I72" i="35"/>
  <c r="M72" i="35" s="1"/>
  <c r="M71" i="35"/>
  <c r="J71" i="35"/>
  <c r="K71" i="35" s="1"/>
  <c r="I71" i="35"/>
  <c r="K70" i="35"/>
  <c r="J70" i="35"/>
  <c r="I70" i="35"/>
  <c r="M70" i="35" s="1"/>
  <c r="M69" i="35"/>
  <c r="J69" i="35"/>
  <c r="K69" i="35" s="1"/>
  <c r="I69" i="35"/>
  <c r="J68" i="35"/>
  <c r="K68" i="35" s="1"/>
  <c r="I68" i="35"/>
  <c r="M68" i="35" s="1"/>
  <c r="M67" i="35"/>
  <c r="J67" i="35"/>
  <c r="K67" i="35" s="1"/>
  <c r="I67" i="35"/>
  <c r="K66" i="35"/>
  <c r="J66" i="35"/>
  <c r="I66" i="35"/>
  <c r="M66" i="35" s="1"/>
  <c r="M65" i="35"/>
  <c r="J65" i="35"/>
  <c r="K65" i="35" s="1"/>
  <c r="I65" i="35"/>
  <c r="B65" i="35"/>
  <c r="M64" i="35"/>
  <c r="K64" i="35"/>
  <c r="J64" i="35"/>
  <c r="I64" i="35"/>
  <c r="B64" i="35"/>
  <c r="K63" i="35"/>
  <c r="J63" i="35"/>
  <c r="I63" i="35"/>
  <c r="M63" i="35" s="1"/>
  <c r="B63" i="35"/>
  <c r="M62" i="35"/>
  <c r="K62" i="35"/>
  <c r="J62" i="35"/>
  <c r="I62" i="35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J58" i="35"/>
  <c r="K58" i="35" s="1"/>
  <c r="I58" i="35"/>
  <c r="M58" i="35" s="1"/>
  <c r="B58" i="35"/>
  <c r="M57" i="35"/>
  <c r="J57" i="35"/>
  <c r="K57" i="35" s="1"/>
  <c r="I57" i="35"/>
  <c r="B57" i="35"/>
  <c r="M56" i="35"/>
  <c r="K56" i="35"/>
  <c r="J56" i="35"/>
  <c r="I56" i="35"/>
  <c r="B56" i="35"/>
  <c r="K55" i="35"/>
  <c r="J55" i="35"/>
  <c r="I55" i="35"/>
  <c r="M55" i="35" s="1"/>
  <c r="B55" i="35"/>
  <c r="M54" i="35"/>
  <c r="K54" i="35"/>
  <c r="J54" i="35"/>
  <c r="I54" i="35"/>
  <c r="B54" i="35"/>
  <c r="K53" i="35"/>
  <c r="J53" i="35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J50" i="35"/>
  <c r="K50" i="35" s="1"/>
  <c r="I50" i="35"/>
  <c r="M50" i="35" s="1"/>
  <c r="B50" i="35"/>
  <c r="M49" i="35"/>
  <c r="J49" i="35"/>
  <c r="K49" i="35" s="1"/>
  <c r="I49" i="35"/>
  <c r="B49" i="35"/>
  <c r="M48" i="35"/>
  <c r="K48" i="35"/>
  <c r="J48" i="35"/>
  <c r="I48" i="35"/>
  <c r="B48" i="35"/>
  <c r="K47" i="35"/>
  <c r="J47" i="35"/>
  <c r="I47" i="35"/>
  <c r="M47" i="35" s="1"/>
  <c r="B47" i="35"/>
  <c r="U46" i="35"/>
  <c r="T46" i="35"/>
  <c r="R46" i="35"/>
  <c r="K46" i="35"/>
  <c r="J46" i="35"/>
  <c r="I46" i="35"/>
  <c r="M46" i="35" s="1"/>
  <c r="B46" i="35"/>
  <c r="M45" i="35"/>
  <c r="K45" i="35"/>
  <c r="J45" i="35"/>
  <c r="I45" i="35"/>
  <c r="B45" i="35"/>
  <c r="K44" i="35"/>
  <c r="J44" i="35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J41" i="35"/>
  <c r="K41" i="35" s="1"/>
  <c r="I41" i="35"/>
  <c r="M41" i="35" s="1"/>
  <c r="B41" i="35"/>
  <c r="M40" i="35"/>
  <c r="J40" i="35"/>
  <c r="K40" i="35" s="1"/>
  <c r="I40" i="35"/>
  <c r="B40" i="35"/>
  <c r="M39" i="35"/>
  <c r="K39" i="35"/>
  <c r="J39" i="35"/>
  <c r="I39" i="35"/>
  <c r="B39" i="35"/>
  <c r="K38" i="35"/>
  <c r="J38" i="35"/>
  <c r="I38" i="35"/>
  <c r="M38" i="35" s="1"/>
  <c r="B38" i="35"/>
  <c r="M37" i="35"/>
  <c r="A37" i="35" s="1"/>
  <c r="K37" i="35"/>
  <c r="J37" i="35"/>
  <c r="I37" i="35"/>
  <c r="B37" i="35"/>
  <c r="M36" i="35"/>
  <c r="A36" i="35" s="1"/>
  <c r="K36" i="35"/>
  <c r="J36" i="35"/>
  <c r="I36" i="35"/>
  <c r="B36" i="35"/>
  <c r="J35" i="35"/>
  <c r="K35" i="35" s="1"/>
  <c r="I35" i="35"/>
  <c r="M35" i="35" s="1"/>
  <c r="A35" i="35" s="1"/>
  <c r="B35" i="35"/>
  <c r="K34" i="35"/>
  <c r="J34" i="35"/>
  <c r="I34" i="35"/>
  <c r="M34" i="35" s="1"/>
  <c r="B34" i="35"/>
  <c r="A34" i="35"/>
  <c r="M33" i="35"/>
  <c r="A33" i="35" s="1"/>
  <c r="K33" i="35"/>
  <c r="J33" i="35"/>
  <c r="I33" i="35"/>
  <c r="B33" i="35"/>
  <c r="M32" i="35"/>
  <c r="A32" i="35" s="1"/>
  <c r="K32" i="35"/>
  <c r="J32" i="35"/>
  <c r="I32" i="35"/>
  <c r="B32" i="35"/>
  <c r="J31" i="35"/>
  <c r="K31" i="35" s="1"/>
  <c r="I31" i="35"/>
  <c r="M31" i="35" s="1"/>
  <c r="A31" i="35" s="1"/>
  <c r="B31" i="35"/>
  <c r="K30" i="35"/>
  <c r="J30" i="35"/>
  <c r="I30" i="35"/>
  <c r="M30" i="35" s="1"/>
  <c r="A30" i="35" s="1"/>
  <c r="B30" i="35"/>
  <c r="M29" i="35"/>
  <c r="A29" i="35" s="1"/>
  <c r="K29" i="35"/>
  <c r="J29" i="35"/>
  <c r="I29" i="35"/>
  <c r="B29" i="35"/>
  <c r="M28" i="35"/>
  <c r="A28" i="35" s="1"/>
  <c r="K28" i="35"/>
  <c r="J28" i="35"/>
  <c r="I28" i="35"/>
  <c r="B28" i="35"/>
  <c r="J27" i="35"/>
  <c r="K27" i="35" s="1"/>
  <c r="I27" i="35"/>
  <c r="M27" i="35" s="1"/>
  <c r="A27" i="35" s="1"/>
  <c r="B27" i="35"/>
  <c r="K26" i="35"/>
  <c r="J26" i="35"/>
  <c r="I26" i="35"/>
  <c r="M26" i="35" s="1"/>
  <c r="B26" i="35"/>
  <c r="A26" i="35"/>
  <c r="M25" i="35"/>
  <c r="A25" i="35" s="1"/>
  <c r="K25" i="35"/>
  <c r="J25" i="35"/>
  <c r="I25" i="35"/>
  <c r="B25" i="35"/>
  <c r="M24" i="35"/>
  <c r="A24" i="35" s="1"/>
  <c r="K24" i="35"/>
  <c r="J24" i="35"/>
  <c r="I24" i="35"/>
  <c r="B24" i="35"/>
  <c r="J23" i="35"/>
  <c r="K23" i="35" s="1"/>
  <c r="I23" i="35"/>
  <c r="M23" i="35" s="1"/>
  <c r="A23" i="35" s="1"/>
  <c r="B23" i="35"/>
  <c r="M22" i="35"/>
  <c r="K22" i="35"/>
  <c r="J22" i="35"/>
  <c r="I22" i="35"/>
  <c r="B22" i="35"/>
  <c r="A22" i="35"/>
  <c r="M21" i="35"/>
  <c r="A21" i="35" s="1"/>
  <c r="K21" i="35"/>
  <c r="J21" i="35"/>
  <c r="I21" i="35"/>
  <c r="B21" i="35"/>
  <c r="M20" i="35"/>
  <c r="A20" i="35" s="1"/>
  <c r="K20" i="35"/>
  <c r="J20" i="35"/>
  <c r="I20" i="35"/>
  <c r="B20" i="35"/>
  <c r="J19" i="35"/>
  <c r="K19" i="35" s="1"/>
  <c r="I19" i="35"/>
  <c r="M19" i="35" s="1"/>
  <c r="A19" i="35" s="1"/>
  <c r="B19" i="35"/>
  <c r="M18" i="35"/>
  <c r="K18" i="35"/>
  <c r="J18" i="35"/>
  <c r="I18" i="35"/>
  <c r="B18" i="35"/>
  <c r="A18" i="35"/>
  <c r="M17" i="35"/>
  <c r="A17" i="35" s="1"/>
  <c r="K17" i="35"/>
  <c r="J17" i="35"/>
  <c r="I17" i="35"/>
  <c r="B17" i="35"/>
  <c r="AI16" i="35"/>
  <c r="M16" i="35"/>
  <c r="A16" i="35" s="1"/>
  <c r="K16" i="35"/>
  <c r="J16" i="35"/>
  <c r="I16" i="35"/>
  <c r="B16" i="35"/>
  <c r="K15" i="35"/>
  <c r="J15" i="35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K13" i="35"/>
  <c r="J13" i="35"/>
  <c r="I13" i="35"/>
  <c r="M13" i="35" s="1"/>
  <c r="A13" i="35" s="1"/>
  <c r="B13" i="35"/>
  <c r="AI12" i="35"/>
  <c r="M12" i="35"/>
  <c r="K12" i="35"/>
  <c r="J12" i="35"/>
  <c r="I12" i="35"/>
  <c r="B12" i="35"/>
  <c r="A12" i="35"/>
  <c r="M11" i="35"/>
  <c r="A11" i="35" s="1"/>
  <c r="K11" i="35"/>
  <c r="J11" i="35"/>
  <c r="I11" i="35"/>
  <c r="B11" i="35"/>
  <c r="M10" i="35"/>
  <c r="A10" i="35" s="1"/>
  <c r="K10" i="35"/>
  <c r="J10" i="35"/>
  <c r="I10" i="35"/>
  <c r="B10" i="35"/>
  <c r="J9" i="35"/>
  <c r="K9" i="35" s="1"/>
  <c r="I9" i="35"/>
  <c r="M9" i="35" s="1"/>
  <c r="A9" i="35" s="1"/>
  <c r="B9" i="35"/>
  <c r="J8" i="35"/>
  <c r="K8" i="35" s="1"/>
  <c r="I8" i="35"/>
  <c r="M8" i="35" s="1"/>
  <c r="A8" i="35" s="1"/>
  <c r="B8" i="35"/>
  <c r="K7" i="35"/>
  <c r="J7" i="35"/>
  <c r="I7" i="35"/>
  <c r="M7" i="35" s="1"/>
  <c r="A7" i="35" s="1"/>
  <c r="B7" i="35"/>
  <c r="M6" i="35"/>
  <c r="K6" i="35"/>
  <c r="J6" i="35"/>
  <c r="I6" i="35"/>
  <c r="B6" i="35"/>
  <c r="A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M235" i="34"/>
  <c r="K235" i="34"/>
  <c r="J235" i="34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K231" i="34"/>
  <c r="J231" i="34"/>
  <c r="I231" i="34"/>
  <c r="M231" i="34" s="1"/>
  <c r="J230" i="34"/>
  <c r="K230" i="34" s="1"/>
  <c r="I230" i="34"/>
  <c r="M230" i="34" s="1"/>
  <c r="K229" i="34"/>
  <c r="J229" i="34"/>
  <c r="I229" i="34"/>
  <c r="M229" i="34" s="1"/>
  <c r="J228" i="34"/>
  <c r="K228" i="34" s="1"/>
  <c r="I228" i="34"/>
  <c r="M228" i="34" s="1"/>
  <c r="M227" i="34"/>
  <c r="K227" i="34"/>
  <c r="J227" i="34"/>
  <c r="I227" i="34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K223" i="34"/>
  <c r="J223" i="34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M219" i="34"/>
  <c r="K219" i="34"/>
  <c r="J219" i="34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K215" i="34"/>
  <c r="J215" i="34"/>
  <c r="I215" i="34"/>
  <c r="M215" i="34" s="1"/>
  <c r="J214" i="34"/>
  <c r="K214" i="34" s="1"/>
  <c r="I214" i="34"/>
  <c r="M214" i="34" s="1"/>
  <c r="K213" i="34"/>
  <c r="J213" i="34"/>
  <c r="I213" i="34"/>
  <c r="M213" i="34" s="1"/>
  <c r="J212" i="34"/>
  <c r="K212" i="34" s="1"/>
  <c r="I212" i="34"/>
  <c r="M212" i="34" s="1"/>
  <c r="M211" i="34"/>
  <c r="K211" i="34"/>
  <c r="J211" i="34"/>
  <c r="I211" i="34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K207" i="34"/>
  <c r="J207" i="34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M203" i="34"/>
  <c r="K203" i="34"/>
  <c r="J203" i="34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K199" i="34"/>
  <c r="J199" i="34"/>
  <c r="I199" i="34"/>
  <c r="M199" i="34" s="1"/>
  <c r="J198" i="34"/>
  <c r="K198" i="34" s="1"/>
  <c r="I198" i="34"/>
  <c r="M198" i="34" s="1"/>
  <c r="K197" i="34"/>
  <c r="J197" i="34"/>
  <c r="I197" i="34"/>
  <c r="M197" i="34" s="1"/>
  <c r="J196" i="34"/>
  <c r="K196" i="34" s="1"/>
  <c r="I196" i="34"/>
  <c r="M196" i="34" s="1"/>
  <c r="M195" i="34"/>
  <c r="K195" i="34"/>
  <c r="J195" i="34"/>
  <c r="I195" i="34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K191" i="34"/>
  <c r="J191" i="34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M187" i="34"/>
  <c r="K187" i="34"/>
  <c r="J187" i="34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K183" i="34"/>
  <c r="J183" i="34"/>
  <c r="I183" i="34"/>
  <c r="M183" i="34" s="1"/>
  <c r="J182" i="34"/>
  <c r="K182" i="34" s="1"/>
  <c r="I182" i="34"/>
  <c r="M182" i="34" s="1"/>
  <c r="K181" i="34"/>
  <c r="J181" i="34"/>
  <c r="I181" i="34"/>
  <c r="M181" i="34" s="1"/>
  <c r="J180" i="34"/>
  <c r="K180" i="34" s="1"/>
  <c r="I180" i="34"/>
  <c r="M180" i="34" s="1"/>
  <c r="M179" i="34"/>
  <c r="K179" i="34"/>
  <c r="J179" i="34"/>
  <c r="I179" i="34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K175" i="34"/>
  <c r="J175" i="34"/>
  <c r="I175" i="34"/>
  <c r="M175" i="34" s="1"/>
  <c r="J174" i="34"/>
  <c r="K174" i="34" s="1"/>
  <c r="I174" i="34"/>
  <c r="M174" i="34" s="1"/>
  <c r="J173" i="34"/>
  <c r="K173" i="34" s="1"/>
  <c r="I173" i="34"/>
  <c r="M173" i="34" s="1"/>
  <c r="J172" i="34"/>
  <c r="K172" i="34" s="1"/>
  <c r="I172" i="34"/>
  <c r="M172" i="34" s="1"/>
  <c r="M171" i="34"/>
  <c r="K171" i="34"/>
  <c r="J171" i="34"/>
  <c r="I171" i="34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K167" i="34"/>
  <c r="J167" i="34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M163" i="34"/>
  <c r="K163" i="34"/>
  <c r="J163" i="34"/>
  <c r="I163" i="34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J157" i="34"/>
  <c r="K157" i="34" s="1"/>
  <c r="I157" i="34"/>
  <c r="M157" i="34" s="1"/>
  <c r="J156" i="34"/>
  <c r="K156" i="34" s="1"/>
  <c r="I156" i="34"/>
  <c r="M156" i="34" s="1"/>
  <c r="M155" i="34"/>
  <c r="K155" i="34"/>
  <c r="J155" i="34"/>
  <c r="I155" i="34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M147" i="34"/>
  <c r="K147" i="34"/>
  <c r="J147" i="34"/>
  <c r="I147" i="34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J140" i="34"/>
  <c r="K140" i="34" s="1"/>
  <c r="I140" i="34"/>
  <c r="M140" i="34" s="1"/>
  <c r="M139" i="34"/>
  <c r="K139" i="34"/>
  <c r="J139" i="34"/>
  <c r="I139" i="34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J135" i="34"/>
  <c r="K135" i="34" s="1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K132" i="34"/>
  <c r="J132" i="34"/>
  <c r="I132" i="34"/>
  <c r="J131" i="34"/>
  <c r="K131" i="34" s="1"/>
  <c r="I131" i="34"/>
  <c r="M131" i="34" s="1"/>
  <c r="M130" i="34"/>
  <c r="K130" i="34"/>
  <c r="J130" i="34"/>
  <c r="I130" i="34"/>
  <c r="J129" i="34"/>
  <c r="K129" i="34" s="1"/>
  <c r="I129" i="34"/>
  <c r="M129" i="34" s="1"/>
  <c r="M128" i="34"/>
  <c r="K128" i="34"/>
  <c r="J128" i="34"/>
  <c r="I128" i="34"/>
  <c r="J127" i="34"/>
  <c r="K127" i="34" s="1"/>
  <c r="I127" i="34"/>
  <c r="M127" i="34" s="1"/>
  <c r="M126" i="34"/>
  <c r="K126" i="34"/>
  <c r="J126" i="34"/>
  <c r="I126" i="34"/>
  <c r="J125" i="34"/>
  <c r="K125" i="34" s="1"/>
  <c r="I125" i="34"/>
  <c r="M125" i="34" s="1"/>
  <c r="M124" i="34"/>
  <c r="K124" i="34"/>
  <c r="J124" i="34"/>
  <c r="I124" i="34"/>
  <c r="J123" i="34"/>
  <c r="K123" i="34" s="1"/>
  <c r="I123" i="34"/>
  <c r="M123" i="34" s="1"/>
  <c r="M122" i="34"/>
  <c r="K122" i="34"/>
  <c r="J122" i="34"/>
  <c r="I122" i="34"/>
  <c r="J121" i="34"/>
  <c r="K121" i="34" s="1"/>
  <c r="I121" i="34"/>
  <c r="M121" i="34" s="1"/>
  <c r="M120" i="34"/>
  <c r="K120" i="34"/>
  <c r="J120" i="34"/>
  <c r="I120" i="34"/>
  <c r="J119" i="34"/>
  <c r="K119" i="34" s="1"/>
  <c r="I119" i="34"/>
  <c r="M119" i="34" s="1"/>
  <c r="M118" i="34"/>
  <c r="K118" i="34"/>
  <c r="J118" i="34"/>
  <c r="I118" i="34"/>
  <c r="J117" i="34"/>
  <c r="K117" i="34" s="1"/>
  <c r="I117" i="34"/>
  <c r="M117" i="34" s="1"/>
  <c r="M116" i="34"/>
  <c r="K116" i="34"/>
  <c r="J116" i="34"/>
  <c r="I116" i="34"/>
  <c r="J115" i="34"/>
  <c r="K115" i="34" s="1"/>
  <c r="I115" i="34"/>
  <c r="M115" i="34" s="1"/>
  <c r="M114" i="34"/>
  <c r="K114" i="34"/>
  <c r="J114" i="34"/>
  <c r="I114" i="34"/>
  <c r="J113" i="34"/>
  <c r="K113" i="34" s="1"/>
  <c r="I113" i="34"/>
  <c r="M113" i="34" s="1"/>
  <c r="M112" i="34"/>
  <c r="K112" i="34"/>
  <c r="J112" i="34"/>
  <c r="I112" i="34"/>
  <c r="J111" i="34"/>
  <c r="K111" i="34" s="1"/>
  <c r="I111" i="34"/>
  <c r="M111" i="34" s="1"/>
  <c r="M110" i="34"/>
  <c r="K110" i="34"/>
  <c r="J110" i="34"/>
  <c r="I110" i="34"/>
  <c r="J109" i="34"/>
  <c r="K109" i="34" s="1"/>
  <c r="I109" i="34"/>
  <c r="M109" i="34" s="1"/>
  <c r="M108" i="34"/>
  <c r="K108" i="34"/>
  <c r="J108" i="34"/>
  <c r="I108" i="34"/>
  <c r="J107" i="34"/>
  <c r="K107" i="34" s="1"/>
  <c r="I107" i="34"/>
  <c r="M107" i="34" s="1"/>
  <c r="M106" i="34"/>
  <c r="K106" i="34"/>
  <c r="J106" i="34"/>
  <c r="I106" i="34"/>
  <c r="J105" i="34"/>
  <c r="K105" i="34" s="1"/>
  <c r="I105" i="34"/>
  <c r="M105" i="34" s="1"/>
  <c r="M104" i="34"/>
  <c r="K104" i="34"/>
  <c r="J104" i="34"/>
  <c r="I104" i="34"/>
  <c r="J103" i="34"/>
  <c r="K103" i="34" s="1"/>
  <c r="I103" i="34"/>
  <c r="M103" i="34" s="1"/>
  <c r="M102" i="34"/>
  <c r="K102" i="34"/>
  <c r="J102" i="34"/>
  <c r="I102" i="34"/>
  <c r="J101" i="34"/>
  <c r="K101" i="34" s="1"/>
  <c r="I101" i="34"/>
  <c r="M101" i="34" s="1"/>
  <c r="M100" i="34"/>
  <c r="K100" i="34"/>
  <c r="J100" i="34"/>
  <c r="I100" i="34"/>
  <c r="J99" i="34"/>
  <c r="K99" i="34" s="1"/>
  <c r="I99" i="34"/>
  <c r="M99" i="34" s="1"/>
  <c r="M98" i="34"/>
  <c r="K98" i="34"/>
  <c r="J98" i="34"/>
  <c r="I98" i="34"/>
  <c r="J97" i="34"/>
  <c r="K97" i="34" s="1"/>
  <c r="I97" i="34"/>
  <c r="M97" i="34" s="1"/>
  <c r="M96" i="34"/>
  <c r="K96" i="34"/>
  <c r="J96" i="34"/>
  <c r="I96" i="34"/>
  <c r="J95" i="34"/>
  <c r="K95" i="34" s="1"/>
  <c r="I95" i="34"/>
  <c r="M95" i="34" s="1"/>
  <c r="M94" i="34"/>
  <c r="K94" i="34"/>
  <c r="J94" i="34"/>
  <c r="I94" i="34"/>
  <c r="J93" i="34"/>
  <c r="K93" i="34" s="1"/>
  <c r="I93" i="34"/>
  <c r="M93" i="34" s="1"/>
  <c r="M92" i="34"/>
  <c r="K92" i="34"/>
  <c r="J92" i="34"/>
  <c r="I92" i="34"/>
  <c r="J91" i="34"/>
  <c r="K91" i="34" s="1"/>
  <c r="I91" i="34"/>
  <c r="M91" i="34" s="1"/>
  <c r="M90" i="34"/>
  <c r="K90" i="34"/>
  <c r="J90" i="34"/>
  <c r="I90" i="34"/>
  <c r="J89" i="34"/>
  <c r="K89" i="34" s="1"/>
  <c r="I89" i="34"/>
  <c r="M89" i="34" s="1"/>
  <c r="M88" i="34"/>
  <c r="K88" i="34"/>
  <c r="J88" i="34"/>
  <c r="I88" i="34"/>
  <c r="J87" i="34"/>
  <c r="K87" i="34" s="1"/>
  <c r="I87" i="34"/>
  <c r="M87" i="34" s="1"/>
  <c r="M86" i="34"/>
  <c r="K86" i="34"/>
  <c r="J86" i="34"/>
  <c r="I86" i="34"/>
  <c r="J85" i="34"/>
  <c r="K85" i="34" s="1"/>
  <c r="I85" i="34"/>
  <c r="M85" i="34" s="1"/>
  <c r="M84" i="34"/>
  <c r="K84" i="34"/>
  <c r="J84" i="34"/>
  <c r="I84" i="34"/>
  <c r="J83" i="34"/>
  <c r="K83" i="34" s="1"/>
  <c r="I83" i="34"/>
  <c r="M83" i="34" s="1"/>
  <c r="M82" i="34"/>
  <c r="K82" i="34"/>
  <c r="J82" i="34"/>
  <c r="I82" i="34"/>
  <c r="J81" i="34"/>
  <c r="K81" i="34" s="1"/>
  <c r="I81" i="34"/>
  <c r="M81" i="34" s="1"/>
  <c r="M80" i="34"/>
  <c r="K80" i="34"/>
  <c r="J80" i="34"/>
  <c r="I80" i="34"/>
  <c r="J79" i="34"/>
  <c r="K79" i="34" s="1"/>
  <c r="I79" i="34"/>
  <c r="M79" i="34" s="1"/>
  <c r="M78" i="34"/>
  <c r="K78" i="34"/>
  <c r="J78" i="34"/>
  <c r="I78" i="34"/>
  <c r="J77" i="34"/>
  <c r="K77" i="34" s="1"/>
  <c r="I77" i="34"/>
  <c r="M77" i="34" s="1"/>
  <c r="M76" i="34"/>
  <c r="K76" i="34"/>
  <c r="J76" i="34"/>
  <c r="I76" i="34"/>
  <c r="J75" i="34"/>
  <c r="K75" i="34" s="1"/>
  <c r="I75" i="34"/>
  <c r="M75" i="34" s="1"/>
  <c r="M74" i="34"/>
  <c r="K74" i="34"/>
  <c r="J74" i="34"/>
  <c r="I74" i="34"/>
  <c r="J73" i="34"/>
  <c r="K73" i="34" s="1"/>
  <c r="I73" i="34"/>
  <c r="M73" i="34" s="1"/>
  <c r="M72" i="34"/>
  <c r="K72" i="34"/>
  <c r="J72" i="34"/>
  <c r="I72" i="34"/>
  <c r="J71" i="34"/>
  <c r="K71" i="34" s="1"/>
  <c r="I71" i="34"/>
  <c r="M71" i="34" s="1"/>
  <c r="M70" i="34"/>
  <c r="K70" i="34"/>
  <c r="J70" i="34"/>
  <c r="I70" i="34"/>
  <c r="J69" i="34"/>
  <c r="K69" i="34" s="1"/>
  <c r="I69" i="34"/>
  <c r="M69" i="34" s="1"/>
  <c r="M68" i="34"/>
  <c r="K68" i="34"/>
  <c r="J68" i="34"/>
  <c r="I68" i="34"/>
  <c r="J67" i="34"/>
  <c r="K67" i="34" s="1"/>
  <c r="I67" i="34"/>
  <c r="M67" i="34" s="1"/>
  <c r="M66" i="34"/>
  <c r="K66" i="34"/>
  <c r="J66" i="34"/>
  <c r="I66" i="34"/>
  <c r="J65" i="34"/>
  <c r="K65" i="34" s="1"/>
  <c r="I65" i="34"/>
  <c r="M65" i="34" s="1"/>
  <c r="B65" i="34"/>
  <c r="M64" i="34"/>
  <c r="K64" i="34"/>
  <c r="J64" i="34"/>
  <c r="I64" i="34"/>
  <c r="B64" i="34"/>
  <c r="J63" i="34"/>
  <c r="K63" i="34" s="1"/>
  <c r="I63" i="34"/>
  <c r="M63" i="34" s="1"/>
  <c r="B63" i="34"/>
  <c r="K62" i="34"/>
  <c r="J62" i="34"/>
  <c r="I62" i="34"/>
  <c r="M62" i="34" s="1"/>
  <c r="B62" i="34"/>
  <c r="M61" i="34"/>
  <c r="K61" i="34"/>
  <c r="J61" i="34"/>
  <c r="I61" i="34"/>
  <c r="B61" i="34"/>
  <c r="K60" i="34"/>
  <c r="J60" i="34"/>
  <c r="I60" i="34"/>
  <c r="M60" i="34" s="1"/>
  <c r="B60" i="34"/>
  <c r="M59" i="34"/>
  <c r="K59" i="34"/>
  <c r="J59" i="34"/>
  <c r="I59" i="34"/>
  <c r="B59" i="34"/>
  <c r="J58" i="34"/>
  <c r="K58" i="34" s="1"/>
  <c r="I58" i="34"/>
  <c r="M58" i="34" s="1"/>
  <c r="B58" i="34"/>
  <c r="J57" i="34"/>
  <c r="K57" i="34" s="1"/>
  <c r="I57" i="34"/>
  <c r="M57" i="34" s="1"/>
  <c r="B57" i="34"/>
  <c r="M56" i="34"/>
  <c r="K56" i="34"/>
  <c r="J56" i="34"/>
  <c r="I56" i="34"/>
  <c r="B56" i="34"/>
  <c r="J55" i="34"/>
  <c r="K55" i="34" s="1"/>
  <c r="I55" i="34"/>
  <c r="M55" i="34" s="1"/>
  <c r="B55" i="34"/>
  <c r="K54" i="34"/>
  <c r="J54" i="34"/>
  <c r="I54" i="34"/>
  <c r="M54" i="34" s="1"/>
  <c r="B54" i="34"/>
  <c r="M53" i="34"/>
  <c r="K53" i="34"/>
  <c r="J53" i="34"/>
  <c r="I53" i="34"/>
  <c r="B53" i="34"/>
  <c r="K52" i="34"/>
  <c r="J52" i="34"/>
  <c r="I52" i="34"/>
  <c r="M52" i="34" s="1"/>
  <c r="B52" i="34"/>
  <c r="M51" i="34"/>
  <c r="K51" i="34"/>
  <c r="J51" i="34"/>
  <c r="I51" i="34"/>
  <c r="B51" i="34"/>
  <c r="J50" i="34"/>
  <c r="K50" i="34" s="1"/>
  <c r="I50" i="34"/>
  <c r="M50" i="34" s="1"/>
  <c r="B50" i="34"/>
  <c r="J49" i="34"/>
  <c r="K49" i="34" s="1"/>
  <c r="I49" i="34"/>
  <c r="M49" i="34" s="1"/>
  <c r="B49" i="34"/>
  <c r="M48" i="34"/>
  <c r="K48" i="34"/>
  <c r="J48" i="34"/>
  <c r="I48" i="34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K45" i="34"/>
  <c r="J45" i="34"/>
  <c r="I45" i="34"/>
  <c r="M45" i="34" s="1"/>
  <c r="B45" i="34"/>
  <c r="M44" i="34"/>
  <c r="K44" i="34"/>
  <c r="J44" i="34"/>
  <c r="I44" i="34"/>
  <c r="B44" i="34"/>
  <c r="K43" i="34"/>
  <c r="J43" i="34"/>
  <c r="I43" i="34"/>
  <c r="M43" i="34" s="1"/>
  <c r="B43" i="34"/>
  <c r="M42" i="34"/>
  <c r="J42" i="34"/>
  <c r="K42" i="34" s="1"/>
  <c r="I42" i="34"/>
  <c r="B42" i="34"/>
  <c r="J41" i="34"/>
  <c r="K41" i="34" s="1"/>
  <c r="I41" i="34"/>
  <c r="M41" i="34" s="1"/>
  <c r="B41" i="34"/>
  <c r="J40" i="34"/>
  <c r="K40" i="34" s="1"/>
  <c r="I40" i="34"/>
  <c r="M40" i="34" s="1"/>
  <c r="B40" i="34"/>
  <c r="M39" i="34"/>
  <c r="K39" i="34"/>
  <c r="J39" i="34"/>
  <c r="I39" i="34"/>
  <c r="B39" i="34"/>
  <c r="J38" i="34"/>
  <c r="K38" i="34" s="1"/>
  <c r="I38" i="34"/>
  <c r="M38" i="34" s="1"/>
  <c r="B38" i="34"/>
  <c r="K37" i="34"/>
  <c r="J37" i="34"/>
  <c r="I37" i="34"/>
  <c r="M37" i="34" s="1"/>
  <c r="A37" i="34" s="1"/>
  <c r="B37" i="34"/>
  <c r="M36" i="34"/>
  <c r="A36" i="34" s="1"/>
  <c r="K36" i="34"/>
  <c r="J36" i="34"/>
  <c r="I36" i="34"/>
  <c r="B36" i="34"/>
  <c r="J35" i="34"/>
  <c r="K35" i="34" s="1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M32" i="34"/>
  <c r="A32" i="34" s="1"/>
  <c r="K32" i="34"/>
  <c r="J32" i="34"/>
  <c r="I32" i="34"/>
  <c r="B32" i="34"/>
  <c r="J31" i="34"/>
  <c r="K31" i="34" s="1"/>
  <c r="I31" i="34"/>
  <c r="M31" i="34" s="1"/>
  <c r="A31" i="34" s="1"/>
  <c r="B31" i="34"/>
  <c r="K30" i="34"/>
  <c r="J30" i="34"/>
  <c r="I30" i="34"/>
  <c r="M30" i="34" s="1"/>
  <c r="A30" i="34" s="1"/>
  <c r="B30" i="34"/>
  <c r="K29" i="34"/>
  <c r="J29" i="34"/>
  <c r="I29" i="34"/>
  <c r="M29" i="34" s="1"/>
  <c r="A29" i="34" s="1"/>
  <c r="B29" i="34"/>
  <c r="M28" i="34"/>
  <c r="A28" i="34" s="1"/>
  <c r="K28" i="34"/>
  <c r="J28" i="34"/>
  <c r="I28" i="34"/>
  <c r="B28" i="34"/>
  <c r="M27" i="34"/>
  <c r="A27" i="34" s="1"/>
  <c r="J27" i="34"/>
  <c r="K27" i="34" s="1"/>
  <c r="I27" i="34"/>
  <c r="B27" i="34"/>
  <c r="K26" i="34"/>
  <c r="J26" i="34"/>
  <c r="I26" i="34"/>
  <c r="M26" i="34" s="1"/>
  <c r="A26" i="34" s="1"/>
  <c r="B26" i="34"/>
  <c r="K25" i="34"/>
  <c r="J25" i="34"/>
  <c r="I25" i="34"/>
  <c r="M25" i="34" s="1"/>
  <c r="A25" i="34" s="1"/>
  <c r="B25" i="34"/>
  <c r="M24" i="34"/>
  <c r="A24" i="34" s="1"/>
  <c r="K24" i="34"/>
  <c r="J24" i="34"/>
  <c r="I24" i="34"/>
  <c r="B24" i="34"/>
  <c r="M23" i="34"/>
  <c r="A23" i="34" s="1"/>
  <c r="J23" i="34"/>
  <c r="K23" i="34" s="1"/>
  <c r="I23" i="34"/>
  <c r="B23" i="34"/>
  <c r="K22" i="34"/>
  <c r="J22" i="34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A20" i="34" s="1"/>
  <c r="K20" i="34"/>
  <c r="J20" i="34"/>
  <c r="I20" i="34"/>
  <c r="B20" i="34"/>
  <c r="M19" i="34"/>
  <c r="A19" i="34" s="1"/>
  <c r="J19" i="34"/>
  <c r="K19" i="34" s="1"/>
  <c r="I19" i="34"/>
  <c r="B19" i="34"/>
  <c r="K18" i="34"/>
  <c r="J18" i="34"/>
  <c r="I18" i="34"/>
  <c r="M18" i="34" s="1"/>
  <c r="A18" i="34" s="1"/>
  <c r="B18" i="34"/>
  <c r="J17" i="34"/>
  <c r="K17" i="34" s="1"/>
  <c r="I17" i="34"/>
  <c r="M17" i="34" s="1"/>
  <c r="A17" i="34" s="1"/>
  <c r="B17" i="34"/>
  <c r="AI16" i="34"/>
  <c r="M16" i="34"/>
  <c r="K16" i="34"/>
  <c r="J16" i="34"/>
  <c r="I16" i="34"/>
  <c r="B16" i="34"/>
  <c r="A16" i="34"/>
  <c r="M15" i="34"/>
  <c r="A15" i="34" s="1"/>
  <c r="K15" i="34"/>
  <c r="J15" i="34"/>
  <c r="I15" i="34"/>
  <c r="B15" i="34"/>
  <c r="AI14" i="34"/>
  <c r="M14" i="34"/>
  <c r="A14" i="34" s="1"/>
  <c r="J14" i="34"/>
  <c r="K14" i="34" s="1"/>
  <c r="I14" i="34"/>
  <c r="B14" i="34"/>
  <c r="AI13" i="34"/>
  <c r="J13" i="34"/>
  <c r="K13" i="34" s="1"/>
  <c r="I13" i="34"/>
  <c r="M13" i="34" s="1"/>
  <c r="A13" i="34" s="1"/>
  <c r="B13" i="34"/>
  <c r="AI12" i="34"/>
  <c r="K12" i="34"/>
  <c r="J12" i="34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A10" i="34" s="1"/>
  <c r="K10" i="34"/>
  <c r="J10" i="34"/>
  <c r="I10" i="34"/>
  <c r="B10" i="34"/>
  <c r="M9" i="34"/>
  <c r="A9" i="34" s="1"/>
  <c r="L9" i="34"/>
  <c r="K9" i="34"/>
  <c r="J9" i="34"/>
  <c r="I9" i="34"/>
  <c r="B9" i="34"/>
  <c r="M8" i="34"/>
  <c r="A8" i="34" s="1"/>
  <c r="L8" i="34"/>
  <c r="J8" i="34"/>
  <c r="K8" i="34" s="1"/>
  <c r="I8" i="34"/>
  <c r="B8" i="34"/>
  <c r="L7" i="34"/>
  <c r="J7" i="34"/>
  <c r="K7" i="34" s="1"/>
  <c r="I7" i="34"/>
  <c r="M7" i="34" s="1"/>
  <c r="A7" i="34" s="1"/>
  <c r="B7" i="34"/>
  <c r="J6" i="34"/>
  <c r="K6" i="34" s="1"/>
  <c r="I6" i="34"/>
  <c r="M6" i="34" s="1"/>
  <c r="A6" i="34" s="1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J262" i="33"/>
  <c r="K262" i="33" s="1"/>
  <c r="I262" i="33"/>
  <c r="M262" i="33" s="1"/>
  <c r="J261" i="33"/>
  <c r="K261" i="33" s="1"/>
  <c r="I261" i="33"/>
  <c r="M261" i="33" s="1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J254" i="33"/>
  <c r="K254" i="33" s="1"/>
  <c r="I254" i="33"/>
  <c r="M254" i="33" s="1"/>
  <c r="J253" i="33"/>
  <c r="K253" i="33" s="1"/>
  <c r="I253" i="33"/>
  <c r="M253" i="33" s="1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J213" i="33"/>
  <c r="K213" i="33" s="1"/>
  <c r="I213" i="33"/>
  <c r="M213" i="33" s="1"/>
  <c r="J212" i="33"/>
  <c r="K212" i="33" s="1"/>
  <c r="I212" i="33"/>
  <c r="M212" i="33" s="1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K182" i="33"/>
  <c r="J182" i="33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M132" i="33"/>
  <c r="J132" i="33"/>
  <c r="K132" i="33" s="1"/>
  <c r="I132" i="33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J128" i="33"/>
  <c r="K128" i="33" s="1"/>
  <c r="I128" i="33"/>
  <c r="M128" i="33" s="1"/>
  <c r="J127" i="33"/>
  <c r="K127" i="33" s="1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J122" i="33"/>
  <c r="K122" i="33" s="1"/>
  <c r="I122" i="33"/>
  <c r="M122" i="33" s="1"/>
  <c r="J121" i="33"/>
  <c r="K121" i="33" s="1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J114" i="33"/>
  <c r="K114" i="33" s="1"/>
  <c r="I114" i="33"/>
  <c r="M114" i="33" s="1"/>
  <c r="J113" i="33"/>
  <c r="K113" i="33" s="1"/>
  <c r="I113" i="33"/>
  <c r="M113" i="33" s="1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J106" i="33"/>
  <c r="K106" i="33" s="1"/>
  <c r="I106" i="33"/>
  <c r="M106" i="33" s="1"/>
  <c r="J105" i="33"/>
  <c r="K105" i="33" s="1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J98" i="33"/>
  <c r="K98" i="33" s="1"/>
  <c r="I98" i="33"/>
  <c r="M98" i="33" s="1"/>
  <c r="J97" i="33"/>
  <c r="K97" i="33" s="1"/>
  <c r="I97" i="33"/>
  <c r="M97" i="33" s="1"/>
  <c r="J96" i="33"/>
  <c r="K96" i="33" s="1"/>
  <c r="I96" i="33"/>
  <c r="M96" i="33" s="1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J91" i="33"/>
  <c r="K91" i="33" s="1"/>
  <c r="I91" i="33"/>
  <c r="M91" i="33" s="1"/>
  <c r="J90" i="33"/>
  <c r="K90" i="33" s="1"/>
  <c r="I90" i="33"/>
  <c r="M90" i="33" s="1"/>
  <c r="J89" i="33"/>
  <c r="K89" i="33" s="1"/>
  <c r="I89" i="33"/>
  <c r="M89" i="33" s="1"/>
  <c r="J88" i="33"/>
  <c r="K88" i="33" s="1"/>
  <c r="I88" i="33"/>
  <c r="M88" i="33" s="1"/>
  <c r="J87" i="33"/>
  <c r="K87" i="33" s="1"/>
  <c r="I87" i="33"/>
  <c r="M87" i="33" s="1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J81" i="33"/>
  <c r="K81" i="33" s="1"/>
  <c r="I81" i="33"/>
  <c r="M81" i="33" s="1"/>
  <c r="J80" i="33"/>
  <c r="K80" i="33" s="1"/>
  <c r="I80" i="33"/>
  <c r="M80" i="33" s="1"/>
  <c r="J79" i="33"/>
  <c r="K79" i="33" s="1"/>
  <c r="I79" i="33"/>
  <c r="M79" i="33" s="1"/>
  <c r="A79" i="33" s="1"/>
  <c r="J78" i="33"/>
  <c r="K78" i="33" s="1"/>
  <c r="I78" i="33"/>
  <c r="M78" i="33" s="1"/>
  <c r="A78" i="33" s="1"/>
  <c r="J77" i="33"/>
  <c r="K77" i="33" s="1"/>
  <c r="I77" i="33"/>
  <c r="M77" i="33" s="1"/>
  <c r="A77" i="33" s="1"/>
  <c r="J76" i="33"/>
  <c r="K76" i="33" s="1"/>
  <c r="I76" i="33"/>
  <c r="M76" i="33" s="1"/>
  <c r="A76" i="33" s="1"/>
  <c r="J75" i="33"/>
  <c r="K75" i="33" s="1"/>
  <c r="I75" i="33"/>
  <c r="M75" i="33" s="1"/>
  <c r="A75" i="33" s="1"/>
  <c r="J74" i="33"/>
  <c r="K74" i="33" s="1"/>
  <c r="I74" i="33"/>
  <c r="M74" i="33" s="1"/>
  <c r="A74" i="33" s="1"/>
  <c r="J73" i="33"/>
  <c r="K73" i="33" s="1"/>
  <c r="I73" i="33"/>
  <c r="M73" i="33" s="1"/>
  <c r="A73" i="33" s="1"/>
  <c r="J72" i="33"/>
  <c r="K72" i="33" s="1"/>
  <c r="I72" i="33"/>
  <c r="M72" i="33" s="1"/>
  <c r="A72" i="33" s="1"/>
  <c r="J71" i="33"/>
  <c r="K71" i="33" s="1"/>
  <c r="I71" i="33"/>
  <c r="M71" i="33" s="1"/>
  <c r="A71" i="33" s="1"/>
  <c r="J70" i="33"/>
  <c r="K70" i="33" s="1"/>
  <c r="I70" i="33"/>
  <c r="M70" i="33" s="1"/>
  <c r="A70" i="33" s="1"/>
  <c r="J69" i="33"/>
  <c r="K69" i="33" s="1"/>
  <c r="I69" i="33"/>
  <c r="M69" i="33" s="1"/>
  <c r="A69" i="33" s="1"/>
  <c r="J68" i="33"/>
  <c r="K68" i="33" s="1"/>
  <c r="I68" i="33"/>
  <c r="M68" i="33" s="1"/>
  <c r="A68" i="33" s="1"/>
  <c r="J67" i="33"/>
  <c r="K67" i="33" s="1"/>
  <c r="I67" i="33"/>
  <c r="M67" i="33" s="1"/>
  <c r="A67" i="33" s="1"/>
  <c r="J66" i="33"/>
  <c r="K66" i="33" s="1"/>
  <c r="I66" i="33"/>
  <c r="M66" i="33" s="1"/>
  <c r="A66" i="33" s="1"/>
  <c r="M65" i="33"/>
  <c r="A65" i="33" s="1"/>
  <c r="K65" i="33"/>
  <c r="J65" i="33"/>
  <c r="I65" i="33"/>
  <c r="B65" i="33"/>
  <c r="J64" i="33"/>
  <c r="K64" i="33" s="1"/>
  <c r="I64" i="33"/>
  <c r="M64" i="33" s="1"/>
  <c r="A64" i="33" s="1"/>
  <c r="B64" i="33"/>
  <c r="J63" i="33"/>
  <c r="K63" i="33" s="1"/>
  <c r="I63" i="33"/>
  <c r="M63" i="33" s="1"/>
  <c r="A63" i="33" s="1"/>
  <c r="B63" i="33"/>
  <c r="J62" i="33"/>
  <c r="K62" i="33" s="1"/>
  <c r="I62" i="33"/>
  <c r="M62" i="33" s="1"/>
  <c r="A62" i="33" s="1"/>
  <c r="B62" i="33"/>
  <c r="J61" i="33"/>
  <c r="K61" i="33" s="1"/>
  <c r="I61" i="33"/>
  <c r="M61" i="33" s="1"/>
  <c r="A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J57" i="33"/>
  <c r="K57" i="33" s="1"/>
  <c r="I57" i="33"/>
  <c r="M57" i="33" s="1"/>
  <c r="A57" i="33" s="1"/>
  <c r="B57" i="33"/>
  <c r="J56" i="33"/>
  <c r="K56" i="33" s="1"/>
  <c r="I56" i="33"/>
  <c r="M56" i="33" s="1"/>
  <c r="A56" i="33" s="1"/>
  <c r="B56" i="33"/>
  <c r="J55" i="33"/>
  <c r="K55" i="33" s="1"/>
  <c r="I55" i="33"/>
  <c r="M55" i="33" s="1"/>
  <c r="A55" i="33" s="1"/>
  <c r="B55" i="33"/>
  <c r="J54" i="33"/>
  <c r="K54" i="33" s="1"/>
  <c r="I54" i="33"/>
  <c r="M54" i="33" s="1"/>
  <c r="A54" i="33" s="1"/>
  <c r="B54" i="33"/>
  <c r="M53" i="33"/>
  <c r="A53" i="33" s="1"/>
  <c r="J53" i="33"/>
  <c r="K53" i="33" s="1"/>
  <c r="I53" i="33"/>
  <c r="B53" i="33"/>
  <c r="J52" i="33"/>
  <c r="K52" i="33" s="1"/>
  <c r="I52" i="33"/>
  <c r="M52" i="33" s="1"/>
  <c r="A52" i="33" s="1"/>
  <c r="B52" i="33"/>
  <c r="J51" i="33"/>
  <c r="K51" i="33" s="1"/>
  <c r="I51" i="33"/>
  <c r="M51" i="33" s="1"/>
  <c r="A51" i="33" s="1"/>
  <c r="B51" i="33"/>
  <c r="J50" i="33"/>
  <c r="K50" i="33" s="1"/>
  <c r="I50" i="33"/>
  <c r="M50" i="33" s="1"/>
  <c r="A50" i="33" s="1"/>
  <c r="B50" i="33"/>
  <c r="J49" i="33"/>
  <c r="K49" i="33" s="1"/>
  <c r="I49" i="33"/>
  <c r="M49" i="33" s="1"/>
  <c r="A49" i="33" s="1"/>
  <c r="B49" i="33"/>
  <c r="J48" i="33"/>
  <c r="K48" i="33" s="1"/>
  <c r="I48" i="33"/>
  <c r="M48" i="33" s="1"/>
  <c r="A48" i="33" s="1"/>
  <c r="B48" i="33"/>
  <c r="J47" i="33"/>
  <c r="K47" i="33" s="1"/>
  <c r="I47" i="33"/>
  <c r="M47" i="33" s="1"/>
  <c r="A47" i="33" s="1"/>
  <c r="B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J44" i="33"/>
  <c r="K44" i="33" s="1"/>
  <c r="I44" i="33"/>
  <c r="M44" i="33" s="1"/>
  <c r="A44" i="33" s="1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J40" i="33"/>
  <c r="K40" i="33" s="1"/>
  <c r="I40" i="33"/>
  <c r="M40" i="33" s="1"/>
  <c r="A40" i="33" s="1"/>
  <c r="B40" i="33"/>
  <c r="J39" i="33"/>
  <c r="K39" i="33" s="1"/>
  <c r="I39" i="33"/>
  <c r="M39" i="33" s="1"/>
  <c r="A39" i="33" s="1"/>
  <c r="B39" i="33"/>
  <c r="J38" i="33"/>
  <c r="K38" i="33" s="1"/>
  <c r="I38" i="33"/>
  <c r="M38" i="33" s="1"/>
  <c r="A38" i="33" s="1"/>
  <c r="B38" i="33"/>
  <c r="J37" i="33"/>
  <c r="K37" i="33" s="1"/>
  <c r="I37" i="33"/>
  <c r="M37" i="33" s="1"/>
  <c r="A37" i="33" s="1"/>
  <c r="B37" i="33"/>
  <c r="J36" i="33"/>
  <c r="K36" i="33" s="1"/>
  <c r="I36" i="33"/>
  <c r="M36" i="33" s="1"/>
  <c r="A36" i="33" s="1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J28" i="33"/>
  <c r="K28" i="33" s="1"/>
  <c r="I28" i="33"/>
  <c r="M28" i="33" s="1"/>
  <c r="A28" i="33" s="1"/>
  <c r="B28" i="33"/>
  <c r="J27" i="33"/>
  <c r="K27" i="33" s="1"/>
  <c r="I27" i="33"/>
  <c r="M27" i="33" s="1"/>
  <c r="A27" i="33" s="1"/>
  <c r="B27" i="33"/>
  <c r="J26" i="33"/>
  <c r="K26" i="33" s="1"/>
  <c r="I26" i="33"/>
  <c r="M26" i="33" s="1"/>
  <c r="A26" i="33" s="1"/>
  <c r="B26" i="33"/>
  <c r="J25" i="33"/>
  <c r="K25" i="33" s="1"/>
  <c r="I25" i="33"/>
  <c r="M25" i="33" s="1"/>
  <c r="A25" i="33" s="1"/>
  <c r="B25" i="33"/>
  <c r="J24" i="33"/>
  <c r="K24" i="33" s="1"/>
  <c r="I24" i="33"/>
  <c r="B24" i="33"/>
  <c r="J23" i="33"/>
  <c r="K23" i="33" s="1"/>
  <c r="M23" i="33" s="1"/>
  <c r="A23" i="33" s="1"/>
  <c r="I23" i="33"/>
  <c r="B23" i="33"/>
  <c r="J22" i="33"/>
  <c r="K22" i="33" s="1"/>
  <c r="I22" i="33"/>
  <c r="B22" i="33"/>
  <c r="J21" i="33"/>
  <c r="K21" i="33" s="1"/>
  <c r="M21" i="33" s="1"/>
  <c r="A21" i="33" s="1"/>
  <c r="I21" i="33"/>
  <c r="B21" i="33"/>
  <c r="J20" i="33"/>
  <c r="K20" i="33" s="1"/>
  <c r="I20" i="33"/>
  <c r="B20" i="33"/>
  <c r="M19" i="33"/>
  <c r="A19" i="33" s="1"/>
  <c r="J19" i="33"/>
  <c r="K19" i="33" s="1"/>
  <c r="I19" i="33"/>
  <c r="B19" i="33"/>
  <c r="J18" i="33"/>
  <c r="K18" i="33" s="1"/>
  <c r="I18" i="33"/>
  <c r="B18" i="33"/>
  <c r="M17" i="33"/>
  <c r="A17" i="33" s="1"/>
  <c r="J17" i="33"/>
  <c r="K17" i="33" s="1"/>
  <c r="I17" i="33"/>
  <c r="B17" i="33"/>
  <c r="J16" i="33"/>
  <c r="K16" i="33" s="1"/>
  <c r="I16" i="33"/>
  <c r="M16" i="33" s="1"/>
  <c r="A16" i="33" s="1"/>
  <c r="B16" i="33"/>
  <c r="J15" i="33"/>
  <c r="K15" i="33" s="1"/>
  <c r="I15" i="33"/>
  <c r="B15" i="33"/>
  <c r="AI14" i="33"/>
  <c r="J14" i="33"/>
  <c r="K14" i="33" s="1"/>
  <c r="M14" i="33" s="1"/>
  <c r="A14" i="33" s="1"/>
  <c r="I14" i="33"/>
  <c r="B14" i="33"/>
  <c r="AI13" i="33"/>
  <c r="J13" i="33"/>
  <c r="K13" i="33" s="1"/>
  <c r="I13" i="33"/>
  <c r="B13" i="33"/>
  <c r="AI12" i="33"/>
  <c r="AI16" i="33" s="1"/>
  <c r="J12" i="33"/>
  <c r="K12" i="33" s="1"/>
  <c r="I12" i="33"/>
  <c r="B12" i="33"/>
  <c r="J11" i="33"/>
  <c r="K11" i="33" s="1"/>
  <c r="M11" i="33" s="1"/>
  <c r="A11" i="33" s="1"/>
  <c r="I11" i="33"/>
  <c r="B11" i="33"/>
  <c r="J10" i="33"/>
  <c r="K10" i="33" s="1"/>
  <c r="I10" i="33"/>
  <c r="B10" i="33"/>
  <c r="J9" i="33"/>
  <c r="K9" i="33" s="1"/>
  <c r="I9" i="33"/>
  <c r="B9" i="33"/>
  <c r="L8" i="33"/>
  <c r="J8" i="33"/>
  <c r="K8" i="33" s="1"/>
  <c r="I8" i="33"/>
  <c r="B8" i="33"/>
  <c r="AP9" i="20" s="1"/>
  <c r="J7" i="33"/>
  <c r="K7" i="33" s="1"/>
  <c r="I7" i="33"/>
  <c r="B7" i="33"/>
  <c r="J6" i="33"/>
  <c r="K6" i="33" s="1"/>
  <c r="I6" i="33"/>
  <c r="M6" i="33" s="1"/>
  <c r="A6" i="33" s="1"/>
  <c r="B6" i="33"/>
  <c r="AP29" i="20" s="1"/>
  <c r="AQ29" i="20" s="1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K299" i="32"/>
  <c r="J299" i="32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K295" i="32"/>
  <c r="J295" i="32"/>
  <c r="I295" i="32"/>
  <c r="M295" i="32" s="1"/>
  <c r="J294" i="32"/>
  <c r="K294" i="32" s="1"/>
  <c r="I294" i="32"/>
  <c r="M294" i="32" s="1"/>
  <c r="J293" i="32"/>
  <c r="K293" i="32" s="1"/>
  <c r="I293" i="32"/>
  <c r="M293" i="32" s="1"/>
  <c r="J292" i="32"/>
  <c r="K292" i="32" s="1"/>
  <c r="I292" i="32"/>
  <c r="M292" i="32" s="1"/>
  <c r="K291" i="32"/>
  <c r="J291" i="32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K283" i="32"/>
  <c r="J283" i="32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K279" i="32"/>
  <c r="J279" i="32"/>
  <c r="I279" i="32"/>
  <c r="M279" i="32" s="1"/>
  <c r="J278" i="32"/>
  <c r="K278" i="32" s="1"/>
  <c r="I278" i="32"/>
  <c r="M278" i="32" s="1"/>
  <c r="J277" i="32"/>
  <c r="K277" i="32" s="1"/>
  <c r="I277" i="32"/>
  <c r="M277" i="32" s="1"/>
  <c r="J276" i="32"/>
  <c r="K276" i="32" s="1"/>
  <c r="I276" i="32"/>
  <c r="M276" i="32" s="1"/>
  <c r="K275" i="32"/>
  <c r="J275" i="32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K267" i="32"/>
  <c r="J267" i="32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K263" i="32"/>
  <c r="J263" i="32"/>
  <c r="I263" i="32"/>
  <c r="M263" i="32" s="1"/>
  <c r="J262" i="32"/>
  <c r="K262" i="32" s="1"/>
  <c r="I262" i="32"/>
  <c r="M262" i="32" s="1"/>
  <c r="J261" i="32"/>
  <c r="K261" i="32" s="1"/>
  <c r="I261" i="32"/>
  <c r="M261" i="32" s="1"/>
  <c r="J260" i="32"/>
  <c r="K260" i="32" s="1"/>
  <c r="I260" i="32"/>
  <c r="M260" i="32" s="1"/>
  <c r="K259" i="32"/>
  <c r="J259" i="32"/>
  <c r="I259" i="32"/>
  <c r="M259" i="32" s="1"/>
  <c r="J258" i="32"/>
  <c r="K258" i="32" s="1"/>
  <c r="I258" i="32"/>
  <c r="M258" i="32" s="1"/>
  <c r="K257" i="32"/>
  <c r="J257" i="32"/>
  <c r="I257" i="32"/>
  <c r="M257" i="32" s="1"/>
  <c r="J256" i="32"/>
  <c r="K256" i="32" s="1"/>
  <c r="I256" i="32"/>
  <c r="M256" i="32" s="1"/>
  <c r="K255" i="32"/>
  <c r="J255" i="32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K251" i="32"/>
  <c r="J251" i="32"/>
  <c r="I251" i="32"/>
  <c r="M251" i="32" s="1"/>
  <c r="J250" i="32"/>
  <c r="K250" i="32" s="1"/>
  <c r="I250" i="32"/>
  <c r="M250" i="32" s="1"/>
  <c r="K249" i="32"/>
  <c r="J249" i="32"/>
  <c r="I249" i="32"/>
  <c r="M249" i="32" s="1"/>
  <c r="J248" i="32"/>
  <c r="K248" i="32" s="1"/>
  <c r="I248" i="32"/>
  <c r="M248" i="32" s="1"/>
  <c r="K247" i="32"/>
  <c r="J247" i="32"/>
  <c r="I247" i="32"/>
  <c r="M247" i="32" s="1"/>
  <c r="J246" i="32"/>
  <c r="K246" i="32" s="1"/>
  <c r="I246" i="32"/>
  <c r="M246" i="32" s="1"/>
  <c r="J245" i="32"/>
  <c r="K245" i="32" s="1"/>
  <c r="I245" i="32"/>
  <c r="M245" i="32" s="1"/>
  <c r="J244" i="32"/>
  <c r="K244" i="32" s="1"/>
  <c r="I244" i="32"/>
  <c r="M244" i="32" s="1"/>
  <c r="K243" i="32"/>
  <c r="J243" i="32"/>
  <c r="I243" i="32"/>
  <c r="M243" i="32" s="1"/>
  <c r="J242" i="32"/>
  <c r="K242" i="32" s="1"/>
  <c r="I242" i="32"/>
  <c r="M242" i="32" s="1"/>
  <c r="K241" i="32"/>
  <c r="J241" i="32"/>
  <c r="I241" i="32"/>
  <c r="M241" i="32" s="1"/>
  <c r="J240" i="32"/>
  <c r="K240" i="32" s="1"/>
  <c r="I240" i="32"/>
  <c r="M240" i="32" s="1"/>
  <c r="K239" i="32"/>
  <c r="J239" i="32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K235" i="32"/>
  <c r="J235" i="32"/>
  <c r="I235" i="32"/>
  <c r="M235" i="32" s="1"/>
  <c r="J234" i="32"/>
  <c r="K234" i="32" s="1"/>
  <c r="I234" i="32"/>
  <c r="M234" i="32" s="1"/>
  <c r="K233" i="32"/>
  <c r="J233" i="32"/>
  <c r="I233" i="32"/>
  <c r="M233" i="32" s="1"/>
  <c r="J232" i="32"/>
  <c r="K232" i="32" s="1"/>
  <c r="I232" i="32"/>
  <c r="M232" i="32" s="1"/>
  <c r="K231" i="32"/>
  <c r="J231" i="32"/>
  <c r="I231" i="32"/>
  <c r="M231" i="32" s="1"/>
  <c r="J230" i="32"/>
  <c r="K230" i="32" s="1"/>
  <c r="I230" i="32"/>
  <c r="M230" i="32" s="1"/>
  <c r="J229" i="32"/>
  <c r="K229" i="32" s="1"/>
  <c r="I229" i="32"/>
  <c r="M229" i="32" s="1"/>
  <c r="J228" i="32"/>
  <c r="K228" i="32" s="1"/>
  <c r="I228" i="32"/>
  <c r="M228" i="32" s="1"/>
  <c r="K227" i="32"/>
  <c r="J227" i="32"/>
  <c r="I227" i="32"/>
  <c r="M227" i="32" s="1"/>
  <c r="J226" i="32"/>
  <c r="K226" i="32" s="1"/>
  <c r="I226" i="32"/>
  <c r="M226" i="32" s="1"/>
  <c r="K225" i="32"/>
  <c r="J225" i="32"/>
  <c r="I225" i="32"/>
  <c r="M225" i="32" s="1"/>
  <c r="J224" i="32"/>
  <c r="K224" i="32" s="1"/>
  <c r="I224" i="32"/>
  <c r="M224" i="32" s="1"/>
  <c r="K223" i="32"/>
  <c r="J223" i="32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K219" i="32"/>
  <c r="J219" i="32"/>
  <c r="I219" i="32"/>
  <c r="M219" i="32" s="1"/>
  <c r="J218" i="32"/>
  <c r="K218" i="32" s="1"/>
  <c r="I218" i="32"/>
  <c r="M218" i="32" s="1"/>
  <c r="K217" i="32"/>
  <c r="J217" i="32"/>
  <c r="I217" i="32"/>
  <c r="M217" i="32" s="1"/>
  <c r="J216" i="32"/>
  <c r="K216" i="32" s="1"/>
  <c r="I216" i="32"/>
  <c r="M216" i="32" s="1"/>
  <c r="K215" i="32"/>
  <c r="J215" i="32"/>
  <c r="I215" i="32"/>
  <c r="M215" i="32" s="1"/>
  <c r="J214" i="32"/>
  <c r="K214" i="32" s="1"/>
  <c r="I214" i="32"/>
  <c r="M214" i="32" s="1"/>
  <c r="J213" i="32"/>
  <c r="K213" i="32" s="1"/>
  <c r="I213" i="32"/>
  <c r="M213" i="32" s="1"/>
  <c r="J212" i="32"/>
  <c r="K212" i="32" s="1"/>
  <c r="I212" i="32"/>
  <c r="M212" i="32" s="1"/>
  <c r="K211" i="32"/>
  <c r="J211" i="32"/>
  <c r="I211" i="32"/>
  <c r="M211" i="32" s="1"/>
  <c r="J210" i="32"/>
  <c r="K210" i="32" s="1"/>
  <c r="I210" i="32"/>
  <c r="M210" i="32" s="1"/>
  <c r="K209" i="32"/>
  <c r="J209" i="32"/>
  <c r="I209" i="32"/>
  <c r="M209" i="32" s="1"/>
  <c r="J208" i="32"/>
  <c r="K208" i="32" s="1"/>
  <c r="I208" i="32"/>
  <c r="M208" i="32" s="1"/>
  <c r="K207" i="32"/>
  <c r="J207" i="32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K203" i="32"/>
  <c r="J203" i="32"/>
  <c r="I203" i="32"/>
  <c r="M203" i="32" s="1"/>
  <c r="J202" i="32"/>
  <c r="K202" i="32" s="1"/>
  <c r="I202" i="32"/>
  <c r="M202" i="32" s="1"/>
  <c r="K201" i="32"/>
  <c r="J201" i="32"/>
  <c r="I201" i="32"/>
  <c r="M201" i="32" s="1"/>
  <c r="J200" i="32"/>
  <c r="K200" i="32" s="1"/>
  <c r="I200" i="32"/>
  <c r="M200" i="32" s="1"/>
  <c r="K199" i="32"/>
  <c r="J199" i="32"/>
  <c r="I199" i="32"/>
  <c r="M199" i="32" s="1"/>
  <c r="J198" i="32"/>
  <c r="K198" i="32" s="1"/>
  <c r="I198" i="32"/>
  <c r="M198" i="32" s="1"/>
  <c r="J197" i="32"/>
  <c r="K197" i="32" s="1"/>
  <c r="I197" i="32"/>
  <c r="M197" i="32" s="1"/>
  <c r="J196" i="32"/>
  <c r="K196" i="32" s="1"/>
  <c r="I196" i="32"/>
  <c r="M196" i="32" s="1"/>
  <c r="K195" i="32"/>
  <c r="J195" i="32"/>
  <c r="I195" i="32"/>
  <c r="M195" i="32" s="1"/>
  <c r="J194" i="32"/>
  <c r="K194" i="32" s="1"/>
  <c r="I194" i="32"/>
  <c r="M194" i="32" s="1"/>
  <c r="K193" i="32"/>
  <c r="J193" i="32"/>
  <c r="I193" i="32"/>
  <c r="M193" i="32" s="1"/>
  <c r="J192" i="32"/>
  <c r="K192" i="32" s="1"/>
  <c r="I192" i="32"/>
  <c r="M192" i="32" s="1"/>
  <c r="K191" i="32"/>
  <c r="J191" i="32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K187" i="32"/>
  <c r="J187" i="32"/>
  <c r="I187" i="32"/>
  <c r="M187" i="32" s="1"/>
  <c r="J186" i="32"/>
  <c r="K186" i="32" s="1"/>
  <c r="I186" i="32"/>
  <c r="M186" i="32" s="1"/>
  <c r="K185" i="32"/>
  <c r="J185" i="32"/>
  <c r="I185" i="32"/>
  <c r="M185" i="32" s="1"/>
  <c r="J184" i="32"/>
  <c r="K184" i="32" s="1"/>
  <c r="I184" i="32"/>
  <c r="M184" i="32" s="1"/>
  <c r="K183" i="32"/>
  <c r="J183" i="32"/>
  <c r="I183" i="32"/>
  <c r="M183" i="32" s="1"/>
  <c r="J182" i="32"/>
  <c r="K182" i="32" s="1"/>
  <c r="I182" i="32"/>
  <c r="M182" i="32" s="1"/>
  <c r="J181" i="32"/>
  <c r="K181" i="32" s="1"/>
  <c r="I181" i="32"/>
  <c r="M181" i="32" s="1"/>
  <c r="J180" i="32"/>
  <c r="K180" i="32" s="1"/>
  <c r="I180" i="32"/>
  <c r="M180" i="32" s="1"/>
  <c r="K179" i="32"/>
  <c r="J179" i="32"/>
  <c r="I179" i="32"/>
  <c r="M179" i="32" s="1"/>
  <c r="J178" i="32"/>
  <c r="K178" i="32" s="1"/>
  <c r="I178" i="32"/>
  <c r="M178" i="32" s="1"/>
  <c r="K177" i="32"/>
  <c r="J177" i="32"/>
  <c r="I177" i="32"/>
  <c r="M177" i="32" s="1"/>
  <c r="J176" i="32"/>
  <c r="K176" i="32" s="1"/>
  <c r="I176" i="32"/>
  <c r="M176" i="32" s="1"/>
  <c r="K175" i="32"/>
  <c r="J175" i="32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K171" i="32"/>
  <c r="J171" i="32"/>
  <c r="I171" i="32"/>
  <c r="M171" i="32" s="1"/>
  <c r="J170" i="32"/>
  <c r="K170" i="32" s="1"/>
  <c r="I170" i="32"/>
  <c r="M170" i="32" s="1"/>
  <c r="K169" i="32"/>
  <c r="J169" i="32"/>
  <c r="I169" i="32"/>
  <c r="M169" i="32" s="1"/>
  <c r="J168" i="32"/>
  <c r="K168" i="32" s="1"/>
  <c r="I168" i="32"/>
  <c r="M168" i="32" s="1"/>
  <c r="K167" i="32"/>
  <c r="J167" i="32"/>
  <c r="I167" i="32"/>
  <c r="M167" i="32" s="1"/>
  <c r="J166" i="32"/>
  <c r="K166" i="32" s="1"/>
  <c r="I166" i="32"/>
  <c r="M166" i="32" s="1"/>
  <c r="J165" i="32"/>
  <c r="K165" i="32" s="1"/>
  <c r="I165" i="32"/>
  <c r="M165" i="32" s="1"/>
  <c r="J164" i="32"/>
  <c r="K164" i="32" s="1"/>
  <c r="I164" i="32"/>
  <c r="M164" i="32" s="1"/>
  <c r="K163" i="32"/>
  <c r="J163" i="32"/>
  <c r="I163" i="32"/>
  <c r="M163" i="32" s="1"/>
  <c r="J162" i="32"/>
  <c r="K162" i="32" s="1"/>
  <c r="I162" i="32"/>
  <c r="M162" i="32" s="1"/>
  <c r="K161" i="32"/>
  <c r="J161" i="32"/>
  <c r="I161" i="32"/>
  <c r="M161" i="32" s="1"/>
  <c r="J160" i="32"/>
  <c r="K160" i="32" s="1"/>
  <c r="I160" i="32"/>
  <c r="M160" i="32" s="1"/>
  <c r="K159" i="32"/>
  <c r="J159" i="32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K155" i="32"/>
  <c r="J155" i="32"/>
  <c r="I155" i="32"/>
  <c r="M155" i="32" s="1"/>
  <c r="J154" i="32"/>
  <c r="K154" i="32" s="1"/>
  <c r="I154" i="32"/>
  <c r="M154" i="32" s="1"/>
  <c r="K153" i="32"/>
  <c r="J153" i="32"/>
  <c r="I153" i="32"/>
  <c r="M153" i="32" s="1"/>
  <c r="J152" i="32"/>
  <c r="K152" i="32" s="1"/>
  <c r="I152" i="32"/>
  <c r="M152" i="32" s="1"/>
  <c r="K151" i="32"/>
  <c r="J151" i="32"/>
  <c r="I151" i="32"/>
  <c r="M151" i="32" s="1"/>
  <c r="J150" i="32"/>
  <c r="K150" i="32" s="1"/>
  <c r="I150" i="32"/>
  <c r="M150" i="32" s="1"/>
  <c r="J149" i="32"/>
  <c r="K149" i="32" s="1"/>
  <c r="I149" i="32"/>
  <c r="M149" i="32" s="1"/>
  <c r="J148" i="32"/>
  <c r="K148" i="32" s="1"/>
  <c r="I148" i="32"/>
  <c r="M148" i="32" s="1"/>
  <c r="K147" i="32"/>
  <c r="J147" i="32"/>
  <c r="I147" i="32"/>
  <c r="M147" i="32" s="1"/>
  <c r="J146" i="32"/>
  <c r="K146" i="32" s="1"/>
  <c r="I146" i="32"/>
  <c r="M146" i="32" s="1"/>
  <c r="K145" i="32"/>
  <c r="J145" i="32"/>
  <c r="I145" i="32"/>
  <c r="M145" i="32" s="1"/>
  <c r="J144" i="32"/>
  <c r="K144" i="32" s="1"/>
  <c r="I144" i="32"/>
  <c r="M144" i="32" s="1"/>
  <c r="K143" i="32"/>
  <c r="J143" i="32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K139" i="32"/>
  <c r="J139" i="32"/>
  <c r="I139" i="32"/>
  <c r="M139" i="32" s="1"/>
  <c r="J138" i="32"/>
  <c r="K138" i="32" s="1"/>
  <c r="I138" i="32"/>
  <c r="M138" i="32" s="1"/>
  <c r="K137" i="32"/>
  <c r="J137" i="32"/>
  <c r="I137" i="32"/>
  <c r="M137" i="32" s="1"/>
  <c r="J136" i="32"/>
  <c r="K136" i="32" s="1"/>
  <c r="I136" i="32"/>
  <c r="M136" i="32" s="1"/>
  <c r="M135" i="32"/>
  <c r="J135" i="32"/>
  <c r="K135" i="32" s="1"/>
  <c r="I135" i="32"/>
  <c r="J134" i="32"/>
  <c r="K134" i="32" s="1"/>
  <c r="I134" i="32"/>
  <c r="M134" i="32" s="1"/>
  <c r="M133" i="32"/>
  <c r="J133" i="32"/>
  <c r="K133" i="32" s="1"/>
  <c r="I133" i="32"/>
  <c r="J132" i="32"/>
  <c r="K132" i="32" s="1"/>
  <c r="I132" i="32"/>
  <c r="M132" i="32" s="1"/>
  <c r="M131" i="32"/>
  <c r="J131" i="32"/>
  <c r="K131" i="32" s="1"/>
  <c r="I131" i="32"/>
  <c r="J130" i="32"/>
  <c r="K130" i="32" s="1"/>
  <c r="I130" i="32"/>
  <c r="M130" i="32" s="1"/>
  <c r="M129" i="32"/>
  <c r="J129" i="32"/>
  <c r="K129" i="32" s="1"/>
  <c r="I129" i="32"/>
  <c r="J128" i="32"/>
  <c r="K128" i="32" s="1"/>
  <c r="I128" i="32"/>
  <c r="M128" i="32" s="1"/>
  <c r="M127" i="32"/>
  <c r="J127" i="32"/>
  <c r="K127" i="32" s="1"/>
  <c r="I127" i="32"/>
  <c r="J126" i="32"/>
  <c r="K126" i="32" s="1"/>
  <c r="I126" i="32"/>
  <c r="M126" i="32" s="1"/>
  <c r="M125" i="32"/>
  <c r="J125" i="32"/>
  <c r="K125" i="32" s="1"/>
  <c r="I125" i="32"/>
  <c r="J124" i="32"/>
  <c r="K124" i="32" s="1"/>
  <c r="I124" i="32"/>
  <c r="M124" i="32" s="1"/>
  <c r="M123" i="32"/>
  <c r="J123" i="32"/>
  <c r="K123" i="32" s="1"/>
  <c r="I123" i="32"/>
  <c r="J122" i="32"/>
  <c r="K122" i="32" s="1"/>
  <c r="I122" i="32"/>
  <c r="M122" i="32" s="1"/>
  <c r="M121" i="32"/>
  <c r="J121" i="32"/>
  <c r="K121" i="32" s="1"/>
  <c r="I121" i="32"/>
  <c r="J120" i="32"/>
  <c r="K120" i="32" s="1"/>
  <c r="I120" i="32"/>
  <c r="M120" i="32" s="1"/>
  <c r="M119" i="32"/>
  <c r="J119" i="32"/>
  <c r="K119" i="32" s="1"/>
  <c r="I119" i="32"/>
  <c r="J118" i="32"/>
  <c r="K118" i="32" s="1"/>
  <c r="I118" i="32"/>
  <c r="M118" i="32" s="1"/>
  <c r="M117" i="32"/>
  <c r="J117" i="32"/>
  <c r="K117" i="32" s="1"/>
  <c r="I117" i="32"/>
  <c r="J116" i="32"/>
  <c r="K116" i="32" s="1"/>
  <c r="I116" i="32"/>
  <c r="M116" i="32" s="1"/>
  <c r="M115" i="32"/>
  <c r="J115" i="32"/>
  <c r="K115" i="32" s="1"/>
  <c r="I115" i="32"/>
  <c r="J114" i="32"/>
  <c r="K114" i="32" s="1"/>
  <c r="I114" i="32"/>
  <c r="M114" i="32" s="1"/>
  <c r="M113" i="32"/>
  <c r="J113" i="32"/>
  <c r="K113" i="32" s="1"/>
  <c r="I113" i="32"/>
  <c r="J112" i="32"/>
  <c r="K112" i="32" s="1"/>
  <c r="I112" i="32"/>
  <c r="M112" i="32" s="1"/>
  <c r="M111" i="32"/>
  <c r="J111" i="32"/>
  <c r="K111" i="32" s="1"/>
  <c r="I111" i="32"/>
  <c r="J110" i="32"/>
  <c r="K110" i="32" s="1"/>
  <c r="I110" i="32"/>
  <c r="M110" i="32" s="1"/>
  <c r="M109" i="32"/>
  <c r="J109" i="32"/>
  <c r="K109" i="32" s="1"/>
  <c r="I109" i="32"/>
  <c r="J108" i="32"/>
  <c r="K108" i="32" s="1"/>
  <c r="I108" i="32"/>
  <c r="M108" i="32" s="1"/>
  <c r="M107" i="32"/>
  <c r="J107" i="32"/>
  <c r="K107" i="32" s="1"/>
  <c r="I107" i="32"/>
  <c r="J106" i="32"/>
  <c r="K106" i="32" s="1"/>
  <c r="I106" i="32"/>
  <c r="M106" i="32" s="1"/>
  <c r="M105" i="32"/>
  <c r="J105" i="32"/>
  <c r="K105" i="32" s="1"/>
  <c r="I105" i="32"/>
  <c r="J104" i="32"/>
  <c r="K104" i="32" s="1"/>
  <c r="I104" i="32"/>
  <c r="M104" i="32" s="1"/>
  <c r="M103" i="32"/>
  <c r="J103" i="32"/>
  <c r="K103" i="32" s="1"/>
  <c r="I103" i="32"/>
  <c r="J102" i="32"/>
  <c r="K102" i="32" s="1"/>
  <c r="I102" i="32"/>
  <c r="M102" i="32" s="1"/>
  <c r="M101" i="32"/>
  <c r="J101" i="32"/>
  <c r="K101" i="32" s="1"/>
  <c r="I101" i="32"/>
  <c r="J100" i="32"/>
  <c r="K100" i="32" s="1"/>
  <c r="I100" i="32"/>
  <c r="M100" i="32" s="1"/>
  <c r="M99" i="32"/>
  <c r="J99" i="32"/>
  <c r="K99" i="32" s="1"/>
  <c r="I99" i="32"/>
  <c r="J98" i="32"/>
  <c r="K98" i="32" s="1"/>
  <c r="I98" i="32"/>
  <c r="M98" i="32" s="1"/>
  <c r="M97" i="32"/>
  <c r="J97" i="32"/>
  <c r="K97" i="32" s="1"/>
  <c r="I97" i="32"/>
  <c r="J96" i="32"/>
  <c r="K96" i="32" s="1"/>
  <c r="I96" i="32"/>
  <c r="M96" i="32" s="1"/>
  <c r="M95" i="32"/>
  <c r="J95" i="32"/>
  <c r="K95" i="32" s="1"/>
  <c r="I95" i="32"/>
  <c r="J94" i="32"/>
  <c r="K94" i="32" s="1"/>
  <c r="I94" i="32"/>
  <c r="M94" i="32" s="1"/>
  <c r="M93" i="32"/>
  <c r="J93" i="32"/>
  <c r="K93" i="32" s="1"/>
  <c r="I93" i="32"/>
  <c r="J92" i="32"/>
  <c r="K92" i="32" s="1"/>
  <c r="I92" i="32"/>
  <c r="M92" i="32" s="1"/>
  <c r="M91" i="32"/>
  <c r="J91" i="32"/>
  <c r="K91" i="32" s="1"/>
  <c r="I91" i="32"/>
  <c r="J90" i="32"/>
  <c r="K90" i="32" s="1"/>
  <c r="I90" i="32"/>
  <c r="M90" i="32" s="1"/>
  <c r="M89" i="32"/>
  <c r="J89" i="32"/>
  <c r="K89" i="32" s="1"/>
  <c r="I89" i="32"/>
  <c r="J88" i="32"/>
  <c r="K88" i="32" s="1"/>
  <c r="I88" i="32"/>
  <c r="M88" i="32" s="1"/>
  <c r="M87" i="32"/>
  <c r="J87" i="32"/>
  <c r="K87" i="32" s="1"/>
  <c r="I87" i="32"/>
  <c r="J86" i="32"/>
  <c r="K86" i="32" s="1"/>
  <c r="I86" i="32"/>
  <c r="M86" i="32" s="1"/>
  <c r="M85" i="32"/>
  <c r="J85" i="32"/>
  <c r="K85" i="32" s="1"/>
  <c r="I85" i="32"/>
  <c r="J84" i="32"/>
  <c r="K84" i="32" s="1"/>
  <c r="I84" i="32"/>
  <c r="M84" i="32" s="1"/>
  <c r="M83" i="32"/>
  <c r="J83" i="32"/>
  <c r="K83" i="32" s="1"/>
  <c r="I83" i="32"/>
  <c r="J82" i="32"/>
  <c r="K82" i="32" s="1"/>
  <c r="I82" i="32"/>
  <c r="M82" i="32" s="1"/>
  <c r="M81" i="32"/>
  <c r="J81" i="32"/>
  <c r="K81" i="32" s="1"/>
  <c r="I81" i="32"/>
  <c r="J80" i="32"/>
  <c r="K80" i="32" s="1"/>
  <c r="I80" i="32"/>
  <c r="M80" i="32" s="1"/>
  <c r="M79" i="32"/>
  <c r="A79" i="32" s="1"/>
  <c r="J79" i="32"/>
  <c r="K79" i="32" s="1"/>
  <c r="I79" i="32"/>
  <c r="J78" i="32"/>
  <c r="K78" i="32" s="1"/>
  <c r="I78" i="32"/>
  <c r="M78" i="32" s="1"/>
  <c r="A78" i="32" s="1"/>
  <c r="M77" i="32"/>
  <c r="J77" i="32"/>
  <c r="K77" i="32" s="1"/>
  <c r="I77" i="32"/>
  <c r="A77" i="32"/>
  <c r="M76" i="32"/>
  <c r="A76" i="32" s="1"/>
  <c r="K76" i="32"/>
  <c r="J76" i="32"/>
  <c r="I76" i="32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J73" i="32"/>
  <c r="K73" i="32" s="1"/>
  <c r="I73" i="32"/>
  <c r="K72" i="32"/>
  <c r="J72" i="32"/>
  <c r="I72" i="32"/>
  <c r="M72" i="32" s="1"/>
  <c r="A72" i="32" s="1"/>
  <c r="M71" i="32"/>
  <c r="A71" i="32" s="1"/>
  <c r="J71" i="32"/>
  <c r="K71" i="32" s="1"/>
  <c r="I71" i="32"/>
  <c r="J70" i="32"/>
  <c r="K70" i="32" s="1"/>
  <c r="I70" i="32"/>
  <c r="M70" i="32" s="1"/>
  <c r="A70" i="32" s="1"/>
  <c r="M69" i="32"/>
  <c r="J69" i="32"/>
  <c r="K69" i="32" s="1"/>
  <c r="I69" i="32"/>
  <c r="A69" i="32"/>
  <c r="M68" i="32"/>
  <c r="A68" i="32" s="1"/>
  <c r="K68" i="32"/>
  <c r="J68" i="32"/>
  <c r="I68" i="32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J65" i="32"/>
  <c r="K65" i="32" s="1"/>
  <c r="I65" i="32"/>
  <c r="B65" i="32"/>
  <c r="J64" i="32"/>
  <c r="K64" i="32" s="1"/>
  <c r="I64" i="32"/>
  <c r="M64" i="32" s="1"/>
  <c r="A64" i="32" s="1"/>
  <c r="B64" i="32"/>
  <c r="M63" i="32"/>
  <c r="J63" i="32"/>
  <c r="K63" i="32" s="1"/>
  <c r="I63" i="32"/>
  <c r="B63" i="32"/>
  <c r="A63" i="32"/>
  <c r="M62" i="32"/>
  <c r="A62" i="32" s="1"/>
  <c r="J62" i="32"/>
  <c r="K62" i="32" s="1"/>
  <c r="I62" i="32"/>
  <c r="B62" i="32"/>
  <c r="M61" i="32"/>
  <c r="A61" i="32" s="1"/>
  <c r="J61" i="32"/>
  <c r="K61" i="32" s="1"/>
  <c r="I61" i="32"/>
  <c r="B61" i="32"/>
  <c r="J60" i="32"/>
  <c r="K60" i="32" s="1"/>
  <c r="I60" i="32"/>
  <c r="M60" i="32" s="1"/>
  <c r="A60" i="32" s="1"/>
  <c r="B60" i="32"/>
  <c r="M59" i="32"/>
  <c r="J59" i="32"/>
  <c r="K59" i="32" s="1"/>
  <c r="I59" i="32"/>
  <c r="B59" i="32"/>
  <c r="A59" i="32"/>
  <c r="M58" i="32"/>
  <c r="A58" i="32" s="1"/>
  <c r="J58" i="32"/>
  <c r="K58" i="32" s="1"/>
  <c r="I58" i="32"/>
  <c r="B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M55" i="32"/>
  <c r="J55" i="32"/>
  <c r="K55" i="32" s="1"/>
  <c r="I55" i="32"/>
  <c r="B55" i="32"/>
  <c r="A55" i="32"/>
  <c r="M54" i="32"/>
  <c r="A54" i="32" s="1"/>
  <c r="J54" i="32"/>
  <c r="K54" i="32" s="1"/>
  <c r="I54" i="32"/>
  <c r="B54" i="32"/>
  <c r="M53" i="32"/>
  <c r="A53" i="32" s="1"/>
  <c r="J53" i="32"/>
  <c r="K53" i="32" s="1"/>
  <c r="I53" i="32"/>
  <c r="B53" i="32"/>
  <c r="J52" i="32"/>
  <c r="K52" i="32" s="1"/>
  <c r="I52" i="32"/>
  <c r="M52" i="32" s="1"/>
  <c r="A52" i="32" s="1"/>
  <c r="B52" i="32"/>
  <c r="M51" i="32"/>
  <c r="J51" i="32"/>
  <c r="K51" i="32" s="1"/>
  <c r="I51" i="32"/>
  <c r="B51" i="32"/>
  <c r="A51" i="32"/>
  <c r="M50" i="32"/>
  <c r="A50" i="32" s="1"/>
  <c r="J50" i="32"/>
  <c r="K50" i="32" s="1"/>
  <c r="I50" i="32"/>
  <c r="B50" i="32"/>
  <c r="M49" i="32"/>
  <c r="A49" i="32" s="1"/>
  <c r="J49" i="32"/>
  <c r="K49" i="32" s="1"/>
  <c r="I49" i="32"/>
  <c r="B49" i="32"/>
  <c r="J48" i="32"/>
  <c r="K48" i="32" s="1"/>
  <c r="I48" i="32"/>
  <c r="M48" i="32" s="1"/>
  <c r="A48" i="32" s="1"/>
  <c r="B48" i="32"/>
  <c r="M47" i="32"/>
  <c r="J47" i="32"/>
  <c r="K47" i="32" s="1"/>
  <c r="I47" i="32"/>
  <c r="B47" i="32"/>
  <c r="A47" i="32"/>
  <c r="U46" i="32"/>
  <c r="T46" i="32"/>
  <c r="R46" i="32"/>
  <c r="K46" i="32"/>
  <c r="J46" i="32"/>
  <c r="I46" i="32"/>
  <c r="M46" i="32" s="1"/>
  <c r="A46" i="32" s="1"/>
  <c r="B46" i="32"/>
  <c r="K45" i="32"/>
  <c r="J45" i="32"/>
  <c r="I45" i="32"/>
  <c r="M45" i="32" s="1"/>
  <c r="A45" i="32" s="1"/>
  <c r="B45" i="32"/>
  <c r="M44" i="32"/>
  <c r="A44" i="32" s="1"/>
  <c r="K44" i="32"/>
  <c r="J44" i="32"/>
  <c r="I44" i="32"/>
  <c r="B44" i="32"/>
  <c r="J43" i="32"/>
  <c r="K43" i="32" s="1"/>
  <c r="I43" i="32"/>
  <c r="M43" i="32" s="1"/>
  <c r="A43" i="32" s="1"/>
  <c r="B43" i="32"/>
  <c r="K42" i="32"/>
  <c r="J42" i="32"/>
  <c r="I42" i="32"/>
  <c r="M42" i="32" s="1"/>
  <c r="A42" i="32" s="1"/>
  <c r="B42" i="32"/>
  <c r="K41" i="32"/>
  <c r="J41" i="32"/>
  <c r="I41" i="32"/>
  <c r="M41" i="32" s="1"/>
  <c r="A41" i="32" s="1"/>
  <c r="B41" i="32"/>
  <c r="M40" i="32"/>
  <c r="A40" i="32" s="1"/>
  <c r="K40" i="32"/>
  <c r="J40" i="32"/>
  <c r="I40" i="32"/>
  <c r="B40" i="32"/>
  <c r="J39" i="32"/>
  <c r="K39" i="32" s="1"/>
  <c r="I39" i="32"/>
  <c r="M39" i="32" s="1"/>
  <c r="A39" i="32" s="1"/>
  <c r="B39" i="32"/>
  <c r="K38" i="32"/>
  <c r="J38" i="32"/>
  <c r="I38" i="32"/>
  <c r="M38" i="32" s="1"/>
  <c r="A38" i="32" s="1"/>
  <c r="B38" i="32"/>
  <c r="K37" i="32"/>
  <c r="J37" i="32"/>
  <c r="I37" i="32"/>
  <c r="M37" i="32" s="1"/>
  <c r="A37" i="32" s="1"/>
  <c r="B37" i="32"/>
  <c r="M36" i="32"/>
  <c r="A36" i="32" s="1"/>
  <c r="K36" i="32"/>
  <c r="J36" i="32"/>
  <c r="I36" i="32"/>
  <c r="B36" i="32"/>
  <c r="J35" i="32"/>
  <c r="K35" i="32" s="1"/>
  <c r="I35" i="32"/>
  <c r="M35" i="32" s="1"/>
  <c r="A35" i="32" s="1"/>
  <c r="B35" i="32"/>
  <c r="K34" i="32"/>
  <c r="J34" i="32"/>
  <c r="I34" i="32"/>
  <c r="M34" i="32" s="1"/>
  <c r="A34" i="32" s="1"/>
  <c r="B34" i="32"/>
  <c r="K33" i="32"/>
  <c r="J33" i="32"/>
  <c r="I33" i="32"/>
  <c r="M33" i="32" s="1"/>
  <c r="A33" i="32" s="1"/>
  <c r="B33" i="32"/>
  <c r="M32" i="32"/>
  <c r="A32" i="32" s="1"/>
  <c r="K32" i="32"/>
  <c r="J32" i="32"/>
  <c r="I32" i="32"/>
  <c r="B32" i="32"/>
  <c r="J31" i="32"/>
  <c r="K31" i="32" s="1"/>
  <c r="I31" i="32"/>
  <c r="M31" i="32" s="1"/>
  <c r="A31" i="32" s="1"/>
  <c r="B31" i="32"/>
  <c r="K30" i="32"/>
  <c r="J30" i="32"/>
  <c r="I30" i="32"/>
  <c r="M30" i="32" s="1"/>
  <c r="A30" i="32" s="1"/>
  <c r="B30" i="32"/>
  <c r="K29" i="32"/>
  <c r="J29" i="32"/>
  <c r="I29" i="32"/>
  <c r="M29" i="32" s="1"/>
  <c r="A29" i="32" s="1"/>
  <c r="B29" i="32"/>
  <c r="M28" i="32"/>
  <c r="A28" i="32" s="1"/>
  <c r="K28" i="32"/>
  <c r="J28" i="32"/>
  <c r="I28" i="32"/>
  <c r="B28" i="32"/>
  <c r="J27" i="32"/>
  <c r="K27" i="32" s="1"/>
  <c r="I27" i="32"/>
  <c r="M27" i="32" s="1"/>
  <c r="A27" i="32" s="1"/>
  <c r="B27" i="32"/>
  <c r="K26" i="32"/>
  <c r="J26" i="32"/>
  <c r="I26" i="32"/>
  <c r="M26" i="32" s="1"/>
  <c r="A26" i="32" s="1"/>
  <c r="B26" i="32"/>
  <c r="K25" i="32"/>
  <c r="J25" i="32"/>
  <c r="I25" i="32"/>
  <c r="M25" i="32" s="1"/>
  <c r="A25" i="32" s="1"/>
  <c r="B25" i="32"/>
  <c r="M24" i="32"/>
  <c r="A24" i="32" s="1"/>
  <c r="K24" i="32"/>
  <c r="J24" i="32"/>
  <c r="I24" i="32"/>
  <c r="B24" i="32"/>
  <c r="J23" i="32"/>
  <c r="K23" i="32" s="1"/>
  <c r="I23" i="32"/>
  <c r="M23" i="32" s="1"/>
  <c r="A23" i="32" s="1"/>
  <c r="B23" i="32"/>
  <c r="K22" i="32"/>
  <c r="J22" i="32"/>
  <c r="I22" i="32"/>
  <c r="M22" i="32" s="1"/>
  <c r="A22" i="32" s="1"/>
  <c r="B22" i="32"/>
  <c r="K21" i="32"/>
  <c r="J21" i="32"/>
  <c r="I21" i="32"/>
  <c r="M21" i="32" s="1"/>
  <c r="A21" i="32" s="1"/>
  <c r="B21" i="32"/>
  <c r="M20" i="32"/>
  <c r="A20" i="32" s="1"/>
  <c r="K20" i="32"/>
  <c r="J20" i="32"/>
  <c r="I20" i="32"/>
  <c r="B20" i="32"/>
  <c r="J19" i="32"/>
  <c r="K19" i="32" s="1"/>
  <c r="I19" i="32"/>
  <c r="M19" i="32" s="1"/>
  <c r="A19" i="32" s="1"/>
  <c r="B19" i="32"/>
  <c r="K18" i="32"/>
  <c r="J18" i="32"/>
  <c r="I18" i="32"/>
  <c r="M18" i="32" s="1"/>
  <c r="A18" i="32" s="1"/>
  <c r="B18" i="32"/>
  <c r="K17" i="32"/>
  <c r="J17" i="32"/>
  <c r="I17" i="32"/>
  <c r="M17" i="32" s="1"/>
  <c r="A17" i="32" s="1"/>
  <c r="B17" i="32"/>
  <c r="AI16" i="32"/>
  <c r="M16" i="32"/>
  <c r="A16" i="32" s="1"/>
  <c r="J16" i="32"/>
  <c r="K16" i="32" s="1"/>
  <c r="I16" i="32"/>
  <c r="B16" i="32"/>
  <c r="M15" i="32"/>
  <c r="A15" i="32" s="1"/>
  <c r="J15" i="32"/>
  <c r="K15" i="32" s="1"/>
  <c r="I15" i="32"/>
  <c r="B15" i="32"/>
  <c r="AI14" i="32"/>
  <c r="J14" i="32"/>
  <c r="K14" i="32" s="1"/>
  <c r="I14" i="32"/>
  <c r="M14" i="32" s="1"/>
  <c r="A14" i="32" s="1"/>
  <c r="B14" i="32"/>
  <c r="AI13" i="32"/>
  <c r="J13" i="32"/>
  <c r="K13" i="32" s="1"/>
  <c r="I13" i="32"/>
  <c r="M13" i="32" s="1"/>
  <c r="A13" i="32" s="1"/>
  <c r="B13" i="32"/>
  <c r="AI12" i="32"/>
  <c r="K12" i="32"/>
  <c r="J12" i="32"/>
  <c r="I12" i="32"/>
  <c r="M12" i="32" s="1"/>
  <c r="A12" i="32" s="1"/>
  <c r="B12" i="32"/>
  <c r="K11" i="32"/>
  <c r="J11" i="32"/>
  <c r="I11" i="32"/>
  <c r="M11" i="32" s="1"/>
  <c r="A11" i="32" s="1"/>
  <c r="B11" i="32"/>
  <c r="M10" i="32"/>
  <c r="A10" i="32" s="1"/>
  <c r="K10" i="32"/>
  <c r="J10" i="32"/>
  <c r="I10" i="32"/>
  <c r="B10" i="32"/>
  <c r="L9" i="32"/>
  <c r="J9" i="32"/>
  <c r="K9" i="32" s="1"/>
  <c r="I9" i="32"/>
  <c r="M9" i="32" s="1"/>
  <c r="A9" i="32" s="1"/>
  <c r="B9" i="32"/>
  <c r="J8" i="32"/>
  <c r="K8" i="32" s="1"/>
  <c r="I8" i="32"/>
  <c r="M8" i="32" s="1"/>
  <c r="A8" i="32" s="1"/>
  <c r="B8" i="32"/>
  <c r="L7" i="32"/>
  <c r="J7" i="32"/>
  <c r="K7" i="32" s="1"/>
  <c r="I7" i="32"/>
  <c r="M7" i="32" s="1"/>
  <c r="A7" i="32" s="1"/>
  <c r="B7" i="32"/>
  <c r="L6" i="32"/>
  <c r="K6" i="32"/>
  <c r="J6" i="32"/>
  <c r="I6" i="32"/>
  <c r="M6" i="32" s="1"/>
  <c r="A6" i="32" s="1"/>
  <c r="B6" i="32"/>
  <c r="K2" i="32"/>
  <c r="L8" i="32" s="1"/>
  <c r="Q27" i="20"/>
  <c r="O26" i="20"/>
  <c r="S25" i="20"/>
  <c r="Q25" i="20"/>
  <c r="Q24" i="20"/>
  <c r="Q23" i="20"/>
  <c r="Q21" i="20"/>
  <c r="Q20" i="20"/>
  <c r="Q19" i="20"/>
  <c r="O18" i="20"/>
  <c r="S14" i="20"/>
  <c r="Q14" i="20"/>
  <c r="S10" i="20"/>
  <c r="Q10" i="20"/>
  <c r="O10" i="20"/>
  <c r="S15" i="20"/>
  <c r="Q15" i="20"/>
  <c r="O15" i="20"/>
  <c r="S13" i="20"/>
  <c r="Q13" i="20"/>
  <c r="O13" i="20"/>
  <c r="S9" i="20"/>
  <c r="Q9" i="20"/>
  <c r="O9" i="20"/>
  <c r="S16" i="20"/>
  <c r="Q16" i="20"/>
  <c r="O16" i="20"/>
  <c r="S12" i="20"/>
  <c r="Q12" i="20"/>
  <c r="O12" i="20"/>
  <c r="S11" i="20"/>
  <c r="Q11" i="20"/>
  <c r="O11" i="20"/>
  <c r="S6" i="20"/>
  <c r="Q6" i="20"/>
  <c r="O6" i="20"/>
  <c r="Q8" i="20"/>
  <c r="O8" i="20"/>
  <c r="S7" i="20"/>
  <c r="Q7" i="20"/>
  <c r="O7" i="20"/>
  <c r="S23" i="13"/>
  <c r="S9" i="13"/>
  <c r="S14" i="13"/>
  <c r="S12" i="13"/>
  <c r="S15" i="13"/>
  <c r="S16" i="13"/>
  <c r="S11" i="13"/>
  <c r="S10" i="13"/>
  <c r="S6" i="13"/>
  <c r="S8" i="13"/>
  <c r="S7" i="13"/>
  <c r="Q23" i="13"/>
  <c r="Q19" i="13"/>
  <c r="Q17" i="13"/>
  <c r="Q13" i="13"/>
  <c r="Q9" i="13"/>
  <c r="Q14" i="13"/>
  <c r="Q12" i="13"/>
  <c r="Q15" i="13"/>
  <c r="Q16" i="13"/>
  <c r="Q11" i="13"/>
  <c r="Q10" i="13"/>
  <c r="Q6" i="13"/>
  <c r="Q8" i="13"/>
  <c r="Q7" i="13"/>
  <c r="O13" i="13"/>
  <c r="O9" i="13"/>
  <c r="O14" i="13"/>
  <c r="O12" i="13"/>
  <c r="O15" i="13"/>
  <c r="O16" i="13"/>
  <c r="O11" i="13"/>
  <c r="O10" i="13"/>
  <c r="O6" i="13"/>
  <c r="O8" i="13"/>
  <c r="O7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M300" i="31"/>
  <c r="J300" i="31"/>
  <c r="K300" i="31" s="1"/>
  <c r="I300" i="3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M294" i="31"/>
  <c r="J294" i="31"/>
  <c r="K294" i="31" s="1"/>
  <c r="I294" i="3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M286" i="31"/>
  <c r="J286" i="31"/>
  <c r="K286" i="31" s="1"/>
  <c r="I286" i="3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M278" i="31"/>
  <c r="J278" i="31"/>
  <c r="K278" i="31" s="1"/>
  <c r="I278" i="31"/>
  <c r="J277" i="31"/>
  <c r="K277" i="31" s="1"/>
  <c r="I277" i="31"/>
  <c r="M277" i="31" s="1"/>
  <c r="K276" i="31"/>
  <c r="J276" i="3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M270" i="31"/>
  <c r="J270" i="31"/>
  <c r="K270" i="31" s="1"/>
  <c r="I270" i="31"/>
  <c r="J269" i="31"/>
  <c r="K269" i="31" s="1"/>
  <c r="I269" i="31"/>
  <c r="M269" i="31" s="1"/>
  <c r="K268" i="31"/>
  <c r="J268" i="3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K260" i="31"/>
  <c r="J260" i="3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M254" i="31"/>
  <c r="J254" i="31"/>
  <c r="K254" i="31" s="1"/>
  <c r="I254" i="31"/>
  <c r="J253" i="31"/>
  <c r="K253" i="31" s="1"/>
  <c r="I253" i="31"/>
  <c r="M253" i="31" s="1"/>
  <c r="M252" i="31"/>
  <c r="K252" i="31"/>
  <c r="J252" i="31"/>
  <c r="I252" i="3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M236" i="31"/>
  <c r="J236" i="31"/>
  <c r="K236" i="31" s="1"/>
  <c r="I236" i="3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M228" i="31"/>
  <c r="K228" i="31"/>
  <c r="J228" i="31"/>
  <c r="I228" i="3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M214" i="31"/>
  <c r="J214" i="31"/>
  <c r="K214" i="31" s="1"/>
  <c r="I214" i="31"/>
  <c r="J213" i="31"/>
  <c r="K213" i="31" s="1"/>
  <c r="I213" i="31"/>
  <c r="M213" i="31" s="1"/>
  <c r="K212" i="31"/>
  <c r="J212" i="3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M208" i="31"/>
  <c r="J208" i="31"/>
  <c r="K208" i="31" s="1"/>
  <c r="I208" i="3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M200" i="31"/>
  <c r="J200" i="31"/>
  <c r="K200" i="31" s="1"/>
  <c r="I200" i="3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M196" i="31"/>
  <c r="K196" i="31"/>
  <c r="J196" i="31"/>
  <c r="I196" i="3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M192" i="31"/>
  <c r="J192" i="31"/>
  <c r="K192" i="31" s="1"/>
  <c r="I192" i="3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M184" i="31"/>
  <c r="J184" i="31"/>
  <c r="K184" i="31" s="1"/>
  <c r="I184" i="31"/>
  <c r="J183" i="31"/>
  <c r="K183" i="31" s="1"/>
  <c r="I183" i="31"/>
  <c r="M183" i="31" s="1"/>
  <c r="M182" i="31"/>
  <c r="J182" i="31"/>
  <c r="K182" i="31" s="1"/>
  <c r="I182" i="31"/>
  <c r="J181" i="31"/>
  <c r="K181" i="31" s="1"/>
  <c r="I181" i="31"/>
  <c r="M181" i="31" s="1"/>
  <c r="M180" i="31"/>
  <c r="K180" i="31"/>
  <c r="J180" i="3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M176" i="31"/>
  <c r="J176" i="31"/>
  <c r="K176" i="31" s="1"/>
  <c r="I176" i="3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K164" i="31"/>
  <c r="J164" i="31"/>
  <c r="I164" i="3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M160" i="31"/>
  <c r="J160" i="31"/>
  <c r="K160" i="31" s="1"/>
  <c r="I160" i="3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M150" i="31"/>
  <c r="J150" i="31"/>
  <c r="K150" i="31" s="1"/>
  <c r="I150" i="3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M144" i="31"/>
  <c r="J144" i="31"/>
  <c r="K144" i="31" s="1"/>
  <c r="I144" i="3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M135" i="31"/>
  <c r="K135" i="31"/>
  <c r="J135" i="31"/>
  <c r="I135" i="31"/>
  <c r="J134" i="31"/>
  <c r="K134" i="31" s="1"/>
  <c r="I134" i="31"/>
  <c r="M134" i="31" s="1"/>
  <c r="M133" i="31"/>
  <c r="K133" i="31"/>
  <c r="J133" i="31"/>
  <c r="I133" i="31"/>
  <c r="J132" i="31"/>
  <c r="K132" i="31" s="1"/>
  <c r="I132" i="31"/>
  <c r="M132" i="31" s="1"/>
  <c r="J131" i="31"/>
  <c r="K131" i="31" s="1"/>
  <c r="I131" i="31"/>
  <c r="M131" i="31" s="1"/>
  <c r="M130" i="31"/>
  <c r="J130" i="31"/>
  <c r="K130" i="31" s="1"/>
  <c r="I130" i="31"/>
  <c r="K129" i="31"/>
  <c r="J129" i="31"/>
  <c r="I129" i="31"/>
  <c r="M129" i="31" s="1"/>
  <c r="M128" i="31"/>
  <c r="J128" i="31"/>
  <c r="K128" i="31" s="1"/>
  <c r="I128" i="3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J124" i="31"/>
  <c r="K124" i="31" s="1"/>
  <c r="I124" i="31"/>
  <c r="M124" i="31" s="1"/>
  <c r="K123" i="31"/>
  <c r="J123" i="31"/>
  <c r="I123" i="31"/>
  <c r="M123" i="31" s="1"/>
  <c r="J122" i="31"/>
  <c r="K122" i="31" s="1"/>
  <c r="I122" i="31"/>
  <c r="M122" i="31" s="1"/>
  <c r="M121" i="31"/>
  <c r="J121" i="31"/>
  <c r="K121" i="31" s="1"/>
  <c r="I121" i="31"/>
  <c r="J120" i="31"/>
  <c r="K120" i="31" s="1"/>
  <c r="I120" i="31"/>
  <c r="M120" i="31" s="1"/>
  <c r="M119" i="31"/>
  <c r="K119" i="31"/>
  <c r="J119" i="31"/>
  <c r="I119" i="31"/>
  <c r="J118" i="31"/>
  <c r="K118" i="31" s="1"/>
  <c r="I118" i="31"/>
  <c r="M118" i="31" s="1"/>
  <c r="M117" i="31"/>
  <c r="K117" i="31"/>
  <c r="J117" i="31"/>
  <c r="I117" i="31"/>
  <c r="J116" i="31"/>
  <c r="K116" i="31" s="1"/>
  <c r="I116" i="31"/>
  <c r="M116" i="31" s="1"/>
  <c r="J115" i="31"/>
  <c r="K115" i="31" s="1"/>
  <c r="I115" i="31"/>
  <c r="M115" i="31" s="1"/>
  <c r="M114" i="31"/>
  <c r="J114" i="31"/>
  <c r="K114" i="31" s="1"/>
  <c r="I114" i="31"/>
  <c r="K113" i="31"/>
  <c r="J113" i="31"/>
  <c r="I113" i="31"/>
  <c r="M113" i="31" s="1"/>
  <c r="M112" i="31"/>
  <c r="J112" i="31"/>
  <c r="K112" i="31" s="1"/>
  <c r="I112" i="31"/>
  <c r="J111" i="31"/>
  <c r="K111" i="31" s="1"/>
  <c r="I111" i="31"/>
  <c r="M111" i="31" s="1"/>
  <c r="M110" i="31"/>
  <c r="J110" i="31"/>
  <c r="K110" i="31" s="1"/>
  <c r="I110" i="31"/>
  <c r="J109" i="31"/>
  <c r="K109" i="31" s="1"/>
  <c r="I109" i="31"/>
  <c r="M109" i="31" s="1"/>
  <c r="J108" i="31"/>
  <c r="K108" i="31" s="1"/>
  <c r="I108" i="31"/>
  <c r="M108" i="31" s="1"/>
  <c r="K107" i="31"/>
  <c r="J107" i="31"/>
  <c r="I107" i="31"/>
  <c r="M107" i="31" s="1"/>
  <c r="J106" i="31"/>
  <c r="K106" i="31" s="1"/>
  <c r="I106" i="31"/>
  <c r="M106" i="31" s="1"/>
  <c r="M105" i="31"/>
  <c r="J105" i="31"/>
  <c r="K105" i="31" s="1"/>
  <c r="I105" i="31"/>
  <c r="J104" i="31"/>
  <c r="K104" i="31" s="1"/>
  <c r="I104" i="31"/>
  <c r="M104" i="31" s="1"/>
  <c r="M103" i="31"/>
  <c r="K103" i="31"/>
  <c r="J103" i="31"/>
  <c r="I103" i="31"/>
  <c r="J102" i="31"/>
  <c r="K102" i="31" s="1"/>
  <c r="I102" i="31"/>
  <c r="M102" i="31" s="1"/>
  <c r="M101" i="31"/>
  <c r="K101" i="31"/>
  <c r="J101" i="31"/>
  <c r="I101" i="31"/>
  <c r="J100" i="31"/>
  <c r="K100" i="31" s="1"/>
  <c r="I100" i="31"/>
  <c r="M100" i="31" s="1"/>
  <c r="J99" i="31"/>
  <c r="K99" i="31" s="1"/>
  <c r="I99" i="31"/>
  <c r="M99" i="31" s="1"/>
  <c r="M98" i="31"/>
  <c r="J98" i="31"/>
  <c r="K98" i="31" s="1"/>
  <c r="I98" i="31"/>
  <c r="K97" i="31"/>
  <c r="J97" i="31"/>
  <c r="I97" i="31"/>
  <c r="M97" i="31" s="1"/>
  <c r="M96" i="31"/>
  <c r="J96" i="31"/>
  <c r="K96" i="31" s="1"/>
  <c r="I96" i="31"/>
  <c r="J95" i="31"/>
  <c r="K95" i="31" s="1"/>
  <c r="I95" i="31"/>
  <c r="M95" i="31" s="1"/>
  <c r="M94" i="31"/>
  <c r="J94" i="31"/>
  <c r="K94" i="31" s="1"/>
  <c r="I94" i="31"/>
  <c r="J93" i="31"/>
  <c r="K93" i="31" s="1"/>
  <c r="I93" i="31"/>
  <c r="M93" i="31" s="1"/>
  <c r="J92" i="31"/>
  <c r="K92" i="31" s="1"/>
  <c r="I92" i="31"/>
  <c r="M92" i="31" s="1"/>
  <c r="K91" i="31"/>
  <c r="J91" i="31"/>
  <c r="I91" i="31"/>
  <c r="M91" i="31" s="1"/>
  <c r="J90" i="31"/>
  <c r="K90" i="31" s="1"/>
  <c r="I90" i="31"/>
  <c r="M90" i="31" s="1"/>
  <c r="M89" i="31"/>
  <c r="J89" i="31"/>
  <c r="K89" i="31" s="1"/>
  <c r="I89" i="31"/>
  <c r="J88" i="31"/>
  <c r="K88" i="31" s="1"/>
  <c r="I88" i="31"/>
  <c r="M88" i="31" s="1"/>
  <c r="M87" i="31"/>
  <c r="K87" i="31"/>
  <c r="J87" i="31"/>
  <c r="I87" i="31"/>
  <c r="J86" i="31"/>
  <c r="K86" i="31" s="1"/>
  <c r="I86" i="31"/>
  <c r="M86" i="31" s="1"/>
  <c r="M85" i="31"/>
  <c r="K85" i="31"/>
  <c r="J85" i="31"/>
  <c r="I85" i="31"/>
  <c r="J84" i="31"/>
  <c r="K84" i="31" s="1"/>
  <c r="I84" i="31"/>
  <c r="M84" i="31" s="1"/>
  <c r="J83" i="31"/>
  <c r="K83" i="31" s="1"/>
  <c r="I83" i="31"/>
  <c r="M83" i="31" s="1"/>
  <c r="M82" i="31"/>
  <c r="J82" i="31"/>
  <c r="K82" i="31" s="1"/>
  <c r="I82" i="31"/>
  <c r="K81" i="31"/>
  <c r="J81" i="31"/>
  <c r="I81" i="31"/>
  <c r="M81" i="31" s="1"/>
  <c r="M80" i="31"/>
  <c r="J80" i="31"/>
  <c r="K80" i="31" s="1"/>
  <c r="I80" i="31"/>
  <c r="J79" i="31"/>
  <c r="K79" i="31" s="1"/>
  <c r="I79" i="31"/>
  <c r="M79" i="31" s="1"/>
  <c r="M78" i="31"/>
  <c r="J78" i="31"/>
  <c r="K78" i="31" s="1"/>
  <c r="I78" i="31"/>
  <c r="J77" i="31"/>
  <c r="K77" i="31" s="1"/>
  <c r="I77" i="31"/>
  <c r="M77" i="31" s="1"/>
  <c r="J76" i="31"/>
  <c r="K76" i="31" s="1"/>
  <c r="I76" i="31"/>
  <c r="M76" i="31" s="1"/>
  <c r="K75" i="31"/>
  <c r="J75" i="31"/>
  <c r="I75" i="31"/>
  <c r="M75" i="31" s="1"/>
  <c r="J74" i="31"/>
  <c r="K74" i="31" s="1"/>
  <c r="I74" i="31"/>
  <c r="M74" i="31" s="1"/>
  <c r="M73" i="31"/>
  <c r="J73" i="31"/>
  <c r="K73" i="31" s="1"/>
  <c r="I73" i="31"/>
  <c r="J72" i="31"/>
  <c r="K72" i="31" s="1"/>
  <c r="I72" i="31"/>
  <c r="M72" i="31" s="1"/>
  <c r="M71" i="31"/>
  <c r="K71" i="31"/>
  <c r="J71" i="31"/>
  <c r="I71" i="31"/>
  <c r="J70" i="31"/>
  <c r="K70" i="31" s="1"/>
  <c r="I70" i="31"/>
  <c r="M70" i="31" s="1"/>
  <c r="M69" i="31"/>
  <c r="K69" i="31"/>
  <c r="J69" i="31"/>
  <c r="I69" i="31"/>
  <c r="J68" i="31"/>
  <c r="K68" i="31" s="1"/>
  <c r="I68" i="31"/>
  <c r="M68" i="31" s="1"/>
  <c r="J67" i="31"/>
  <c r="K67" i="31" s="1"/>
  <c r="I67" i="31"/>
  <c r="M67" i="31" s="1"/>
  <c r="M66" i="31"/>
  <c r="J66" i="31"/>
  <c r="K66" i="31" s="1"/>
  <c r="I66" i="31"/>
  <c r="K65" i="31"/>
  <c r="J65" i="3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M60" i="31"/>
  <c r="J60" i="31"/>
  <c r="K60" i="31" s="1"/>
  <c r="I60" i="31"/>
  <c r="B60" i="31"/>
  <c r="J59" i="31"/>
  <c r="K59" i="31" s="1"/>
  <c r="I59" i="31"/>
  <c r="M59" i="31" s="1"/>
  <c r="B59" i="31"/>
  <c r="K58" i="31"/>
  <c r="J58" i="31"/>
  <c r="I58" i="31"/>
  <c r="M58" i="31" s="1"/>
  <c r="B58" i="31"/>
  <c r="K57" i="31"/>
  <c r="J57" i="3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M52" i="31"/>
  <c r="J52" i="31"/>
  <c r="K52" i="31" s="1"/>
  <c r="I52" i="31"/>
  <c r="B52" i="31"/>
  <c r="J51" i="31"/>
  <c r="K51" i="31" s="1"/>
  <c r="I51" i="31"/>
  <c r="M51" i="31" s="1"/>
  <c r="B51" i="31"/>
  <c r="K50" i="31"/>
  <c r="J50" i="31"/>
  <c r="I50" i="31"/>
  <c r="M50" i="31" s="1"/>
  <c r="B50" i="31"/>
  <c r="K49" i="31"/>
  <c r="J49" i="3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M44" i="31"/>
  <c r="J44" i="31"/>
  <c r="K44" i="31" s="1"/>
  <c r="I44" i="31"/>
  <c r="B44" i="31"/>
  <c r="M43" i="31"/>
  <c r="K43" i="31"/>
  <c r="J43" i="31"/>
  <c r="I43" i="3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K39" i="31"/>
  <c r="J39" i="3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K36" i="31"/>
  <c r="J36" i="3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K28" i="31"/>
  <c r="J28" i="3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K24" i="31"/>
  <c r="J24" i="3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K20" i="31"/>
  <c r="J20" i="3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M13" i="31"/>
  <c r="A13" i="31" s="1"/>
  <c r="J13" i="31"/>
  <c r="K13" i="31" s="1"/>
  <c r="I13" i="31"/>
  <c r="B13" i="31"/>
  <c r="AI12" i="31"/>
  <c r="AI16" i="31" s="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K10" i="31"/>
  <c r="J10" i="31"/>
  <c r="I10" i="31"/>
  <c r="M10" i="31" s="1"/>
  <c r="A10" i="31" s="1"/>
  <c r="B10" i="31"/>
  <c r="J9" i="31"/>
  <c r="K9" i="31" s="1"/>
  <c r="I9" i="31"/>
  <c r="M9" i="31" s="1"/>
  <c r="A9" i="31" s="1"/>
  <c r="B9" i="31"/>
  <c r="J8" i="31"/>
  <c r="K8" i="31" s="1"/>
  <c r="I8" i="31"/>
  <c r="M8" i="31" s="1"/>
  <c r="A8" i="31" s="1"/>
  <c r="B8" i="31"/>
  <c r="S20" i="20" s="1"/>
  <c r="T20" i="20" s="1"/>
  <c r="J7" i="31"/>
  <c r="K7" i="31" s="1"/>
  <c r="I7" i="31"/>
  <c r="B7" i="31"/>
  <c r="K6" i="31"/>
  <c r="J6" i="31"/>
  <c r="I6" i="31"/>
  <c r="B6" i="31"/>
  <c r="S8" i="20" s="1"/>
  <c r="K2" i="31"/>
  <c r="L6" i="31" s="1"/>
  <c r="M6" i="31" s="1"/>
  <c r="A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M292" i="30"/>
  <c r="K292" i="30"/>
  <c r="J292" i="30"/>
  <c r="I292" i="30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M278" i="30"/>
  <c r="J278" i="30"/>
  <c r="K278" i="30" s="1"/>
  <c r="I278" i="30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K274" i="30"/>
  <c r="J274" i="30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M262" i="30"/>
  <c r="J262" i="30"/>
  <c r="K262" i="30" s="1"/>
  <c r="I262" i="30"/>
  <c r="J261" i="30"/>
  <c r="K261" i="30" s="1"/>
  <c r="I261" i="30"/>
  <c r="M261" i="30" s="1"/>
  <c r="M260" i="30"/>
  <c r="J260" i="30"/>
  <c r="K260" i="30" s="1"/>
  <c r="I260" i="30"/>
  <c r="J259" i="30"/>
  <c r="K259" i="30" s="1"/>
  <c r="I259" i="30"/>
  <c r="M259" i="30" s="1"/>
  <c r="K258" i="30"/>
  <c r="J258" i="30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M246" i="30"/>
  <c r="J246" i="30"/>
  <c r="K246" i="30" s="1"/>
  <c r="I246" i="30"/>
  <c r="J245" i="30"/>
  <c r="K245" i="30" s="1"/>
  <c r="I245" i="30"/>
  <c r="M245" i="30" s="1"/>
  <c r="M244" i="30"/>
  <c r="J244" i="30"/>
  <c r="K244" i="30" s="1"/>
  <c r="I244" i="30"/>
  <c r="J243" i="30"/>
  <c r="K243" i="30" s="1"/>
  <c r="I243" i="30"/>
  <c r="M243" i="30" s="1"/>
  <c r="K242" i="30"/>
  <c r="J242" i="30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M230" i="30"/>
  <c r="J230" i="30"/>
  <c r="K230" i="30" s="1"/>
  <c r="I230" i="30"/>
  <c r="J229" i="30"/>
  <c r="K229" i="30" s="1"/>
  <c r="I229" i="30"/>
  <c r="M229" i="30" s="1"/>
  <c r="M228" i="30"/>
  <c r="J228" i="30"/>
  <c r="K228" i="30" s="1"/>
  <c r="I228" i="30"/>
  <c r="J227" i="30"/>
  <c r="K227" i="30" s="1"/>
  <c r="I227" i="30"/>
  <c r="M227" i="30" s="1"/>
  <c r="K226" i="30"/>
  <c r="J226" i="30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M214" i="30"/>
  <c r="J214" i="30"/>
  <c r="K214" i="30" s="1"/>
  <c r="I214" i="30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K210" i="30"/>
  <c r="J210" i="30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M198" i="30"/>
  <c r="J198" i="30"/>
  <c r="K198" i="30" s="1"/>
  <c r="I198" i="30"/>
  <c r="J197" i="30"/>
  <c r="K197" i="30" s="1"/>
  <c r="I197" i="30"/>
  <c r="M197" i="30" s="1"/>
  <c r="M196" i="30"/>
  <c r="J196" i="30"/>
  <c r="K196" i="30" s="1"/>
  <c r="I196" i="30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M182" i="30"/>
  <c r="J182" i="30"/>
  <c r="K182" i="30" s="1"/>
  <c r="I182" i="30"/>
  <c r="J181" i="30"/>
  <c r="K181" i="30" s="1"/>
  <c r="I181" i="30"/>
  <c r="M181" i="30" s="1"/>
  <c r="M180" i="30"/>
  <c r="J180" i="30"/>
  <c r="K180" i="30" s="1"/>
  <c r="I180" i="30"/>
  <c r="J179" i="30"/>
  <c r="K179" i="30" s="1"/>
  <c r="I179" i="30"/>
  <c r="M179" i="30" s="1"/>
  <c r="K178" i="30"/>
  <c r="J178" i="30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M166" i="30"/>
  <c r="J166" i="30"/>
  <c r="K166" i="30" s="1"/>
  <c r="I166" i="30"/>
  <c r="J165" i="30"/>
  <c r="K165" i="30" s="1"/>
  <c r="I165" i="30"/>
  <c r="M165" i="30" s="1"/>
  <c r="M164" i="30"/>
  <c r="J164" i="30"/>
  <c r="K164" i="30" s="1"/>
  <c r="I164" i="30"/>
  <c r="J163" i="30"/>
  <c r="K163" i="30" s="1"/>
  <c r="I163" i="30"/>
  <c r="M163" i="30" s="1"/>
  <c r="K162" i="30"/>
  <c r="J162" i="30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M150" i="30"/>
  <c r="J150" i="30"/>
  <c r="K150" i="30" s="1"/>
  <c r="I150" i="30"/>
  <c r="J149" i="30"/>
  <c r="K149" i="30" s="1"/>
  <c r="I149" i="30"/>
  <c r="M149" i="30" s="1"/>
  <c r="M148" i="30"/>
  <c r="J148" i="30"/>
  <c r="K148" i="30" s="1"/>
  <c r="I148" i="30"/>
  <c r="J147" i="30"/>
  <c r="K147" i="30" s="1"/>
  <c r="I147" i="30"/>
  <c r="M147" i="30" s="1"/>
  <c r="K146" i="30"/>
  <c r="J146" i="30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K135" i="30"/>
  <c r="J135" i="30"/>
  <c r="I135" i="30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K131" i="30"/>
  <c r="J131" i="30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M127" i="30"/>
  <c r="K127" i="30"/>
  <c r="J127" i="30"/>
  <c r="I127" i="30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K123" i="30"/>
  <c r="J123" i="30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M119" i="30"/>
  <c r="K119" i="30"/>
  <c r="J119" i="30"/>
  <c r="I119" i="30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K115" i="30"/>
  <c r="J115" i="30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M111" i="30"/>
  <c r="K111" i="30"/>
  <c r="J111" i="30"/>
  <c r="I111" i="30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K107" i="30"/>
  <c r="J107" i="30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M103" i="30"/>
  <c r="K103" i="30"/>
  <c r="J103" i="30"/>
  <c r="I103" i="30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K99" i="30"/>
  <c r="J99" i="30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M95" i="30"/>
  <c r="K95" i="30"/>
  <c r="J95" i="30"/>
  <c r="I95" i="30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K91" i="30"/>
  <c r="J91" i="30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M87" i="30"/>
  <c r="K87" i="30"/>
  <c r="J87" i="30"/>
  <c r="I87" i="30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K83" i="30"/>
  <c r="J83" i="30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M79" i="30"/>
  <c r="K79" i="30"/>
  <c r="J79" i="30"/>
  <c r="I79" i="30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K75" i="30"/>
  <c r="J75" i="30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M71" i="30"/>
  <c r="K71" i="30"/>
  <c r="J71" i="30"/>
  <c r="I71" i="30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K67" i="30"/>
  <c r="J67" i="30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K59" i="30"/>
  <c r="J59" i="30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M55" i="30"/>
  <c r="J55" i="30"/>
  <c r="K55" i="30" s="1"/>
  <c r="I55" i="30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M47" i="30"/>
  <c r="J47" i="30"/>
  <c r="K47" i="30" s="1"/>
  <c r="I47" i="30"/>
  <c r="B47" i="30"/>
  <c r="T46" i="30"/>
  <c r="R46" i="30"/>
  <c r="U46" i="30" s="1"/>
  <c r="M46" i="30"/>
  <c r="J46" i="30"/>
  <c r="K46" i="30" s="1"/>
  <c r="I46" i="30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M40" i="30"/>
  <c r="K40" i="30"/>
  <c r="J40" i="30"/>
  <c r="I40" i="30"/>
  <c r="B40" i="30"/>
  <c r="J39" i="30"/>
  <c r="K39" i="30" s="1"/>
  <c r="I39" i="30"/>
  <c r="M39" i="30" s="1"/>
  <c r="B39" i="30"/>
  <c r="M38" i="30"/>
  <c r="J38" i="30"/>
  <c r="K38" i="30" s="1"/>
  <c r="I38" i="30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M34" i="30"/>
  <c r="A34" i="30" s="1"/>
  <c r="J34" i="30"/>
  <c r="K34" i="30" s="1"/>
  <c r="I34" i="30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A32" i="30" s="1"/>
  <c r="B32" i="30"/>
  <c r="J31" i="30"/>
  <c r="K31" i="30" s="1"/>
  <c r="I31" i="30"/>
  <c r="M31" i="30" s="1"/>
  <c r="A31" i="30" s="1"/>
  <c r="B31" i="30"/>
  <c r="M30" i="30"/>
  <c r="A30" i="30" s="1"/>
  <c r="J30" i="30"/>
  <c r="K30" i="30" s="1"/>
  <c r="I30" i="30"/>
  <c r="B30" i="30"/>
  <c r="J29" i="30"/>
  <c r="K29" i="30" s="1"/>
  <c r="I29" i="30"/>
  <c r="M29" i="30" s="1"/>
  <c r="A29" i="30" s="1"/>
  <c r="B29" i="30"/>
  <c r="J28" i="30"/>
  <c r="K28" i="30" s="1"/>
  <c r="I28" i="30"/>
  <c r="M28" i="30" s="1"/>
  <c r="A28" i="30" s="1"/>
  <c r="B28" i="30"/>
  <c r="J27" i="30"/>
  <c r="K27" i="30" s="1"/>
  <c r="I27" i="30"/>
  <c r="M27" i="30" s="1"/>
  <c r="A27" i="30" s="1"/>
  <c r="B27" i="30"/>
  <c r="M26" i="30"/>
  <c r="A26" i="30" s="1"/>
  <c r="J26" i="30"/>
  <c r="K26" i="30" s="1"/>
  <c r="I26" i="30"/>
  <c r="B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J23" i="30"/>
  <c r="K23" i="30" s="1"/>
  <c r="I23" i="30"/>
  <c r="M23" i="30" s="1"/>
  <c r="A23" i="30" s="1"/>
  <c r="B23" i="30"/>
  <c r="M22" i="30"/>
  <c r="A22" i="30" s="1"/>
  <c r="J22" i="30"/>
  <c r="K22" i="30" s="1"/>
  <c r="I22" i="30"/>
  <c r="B22" i="30"/>
  <c r="J21" i="30"/>
  <c r="K21" i="30" s="1"/>
  <c r="I21" i="30"/>
  <c r="M21" i="30" s="1"/>
  <c r="A21" i="30" s="1"/>
  <c r="B21" i="30"/>
  <c r="J20" i="30"/>
  <c r="K20" i="30" s="1"/>
  <c r="I20" i="30"/>
  <c r="M20" i="30" s="1"/>
  <c r="A20" i="30" s="1"/>
  <c r="B20" i="30"/>
  <c r="J19" i="30"/>
  <c r="K19" i="30" s="1"/>
  <c r="I19" i="30"/>
  <c r="M19" i="30" s="1"/>
  <c r="A19" i="30" s="1"/>
  <c r="B19" i="30"/>
  <c r="M18" i="30"/>
  <c r="A18" i="30" s="1"/>
  <c r="J18" i="30"/>
  <c r="K18" i="30" s="1"/>
  <c r="I18" i="30"/>
  <c r="B18" i="30"/>
  <c r="J17" i="30"/>
  <c r="K17" i="30" s="1"/>
  <c r="I17" i="30"/>
  <c r="M17" i="30" s="1"/>
  <c r="A17" i="30" s="1"/>
  <c r="B17" i="30"/>
  <c r="J16" i="30"/>
  <c r="K16" i="30" s="1"/>
  <c r="I16" i="30"/>
  <c r="M16" i="30" s="1"/>
  <c r="A16" i="30" s="1"/>
  <c r="B16" i="30"/>
  <c r="J15" i="30"/>
  <c r="K15" i="30" s="1"/>
  <c r="I15" i="30"/>
  <c r="M15" i="30" s="1"/>
  <c r="A15" i="30" s="1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AI16" i="30" s="1"/>
  <c r="J12" i="30"/>
  <c r="K12" i="30" s="1"/>
  <c r="I12" i="30"/>
  <c r="M12" i="30" s="1"/>
  <c r="A12" i="30" s="1"/>
  <c r="B12" i="30"/>
  <c r="M11" i="30"/>
  <c r="A11" i="30" s="1"/>
  <c r="J11" i="30"/>
  <c r="K11" i="30" s="1"/>
  <c r="I11" i="30"/>
  <c r="B11" i="30"/>
  <c r="J10" i="30"/>
  <c r="K10" i="30" s="1"/>
  <c r="I10" i="30"/>
  <c r="M10" i="30" s="1"/>
  <c r="A10" i="30" s="1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L7" i="30"/>
  <c r="K7" i="30"/>
  <c r="M7" i="30" s="1"/>
  <c r="A7" i="30" s="1"/>
  <c r="J7" i="30"/>
  <c r="I7" i="30"/>
  <c r="B7" i="30"/>
  <c r="J6" i="30"/>
  <c r="K6" i="30" s="1"/>
  <c r="I6" i="30"/>
  <c r="B6" i="30"/>
  <c r="Q26" i="20" s="1"/>
  <c r="K2" i="30"/>
  <c r="L8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K299" i="29"/>
  <c r="J299" i="29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K259" i="29"/>
  <c r="J259" i="29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K243" i="29"/>
  <c r="J243" i="29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K195" i="29"/>
  <c r="J195" i="29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M134" i="29"/>
  <c r="J134" i="29"/>
  <c r="K134" i="29" s="1"/>
  <c r="I134" i="29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M63" i="29"/>
  <c r="J63" i="29"/>
  <c r="K63" i="29" s="1"/>
  <c r="I63" i="29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K59" i="29"/>
  <c r="J59" i="29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K55" i="29"/>
  <c r="J55" i="29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K52" i="29"/>
  <c r="J52" i="29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K48" i="29"/>
  <c r="J48" i="29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K42" i="29"/>
  <c r="J42" i="29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M39" i="29"/>
  <c r="J39" i="29"/>
  <c r="K39" i="29" s="1"/>
  <c r="I39" i="29"/>
  <c r="B39" i="29"/>
  <c r="K38" i="29"/>
  <c r="J38" i="29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K34" i="29"/>
  <c r="J34" i="29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M30" i="29"/>
  <c r="A30" i="29" s="1"/>
  <c r="J30" i="29"/>
  <c r="K30" i="29" s="1"/>
  <c r="I30" i="29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J23" i="29"/>
  <c r="K23" i="29" s="1"/>
  <c r="I23" i="29"/>
  <c r="M23" i="29" s="1"/>
  <c r="A23" i="29" s="1"/>
  <c r="B23" i="29"/>
  <c r="M22" i="29"/>
  <c r="A22" i="29" s="1"/>
  <c r="J22" i="29"/>
  <c r="K22" i="29" s="1"/>
  <c r="I22" i="29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J19" i="29"/>
  <c r="K19" i="29" s="1"/>
  <c r="I19" i="29"/>
  <c r="M19" i="29" s="1"/>
  <c r="A19" i="29" s="1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AI16" i="29" s="1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AI12" i="29"/>
  <c r="J12" i="29"/>
  <c r="K12" i="29" s="1"/>
  <c r="I12" i="29"/>
  <c r="M12" i="29" s="1"/>
  <c r="A12" i="29" s="1"/>
  <c r="B12" i="29"/>
  <c r="J11" i="29"/>
  <c r="K11" i="29" s="1"/>
  <c r="I11" i="29"/>
  <c r="J10" i="29"/>
  <c r="K10" i="29" s="1"/>
  <c r="I10" i="29"/>
  <c r="J9" i="29"/>
  <c r="K9" i="29" s="1"/>
  <c r="I9" i="29"/>
  <c r="K8" i="29"/>
  <c r="J8" i="29"/>
  <c r="I8" i="29"/>
  <c r="J7" i="29"/>
  <c r="K7" i="29" s="1"/>
  <c r="I7" i="29"/>
  <c r="J6" i="29"/>
  <c r="K6" i="29" s="1"/>
  <c r="I6" i="29"/>
  <c r="O25" i="20"/>
  <c r="K2" i="29"/>
  <c r="L6" i="29" s="1"/>
  <c r="A10" i="17"/>
  <c r="A9" i="17"/>
  <c r="A8" i="17"/>
  <c r="A7" i="17"/>
  <c r="A6" i="17"/>
  <c r="B15" i="17"/>
  <c r="B14" i="17"/>
  <c r="B13" i="17"/>
  <c r="B12" i="17"/>
  <c r="B11" i="17"/>
  <c r="B10" i="17"/>
  <c r="T8" i="20" l="1"/>
  <c r="T13" i="20"/>
  <c r="L8" i="31"/>
  <c r="T6" i="13"/>
  <c r="S13" i="13"/>
  <c r="T13" i="13" s="1"/>
  <c r="T6" i="20"/>
  <c r="S17" i="20"/>
  <c r="T17" i="20" s="1"/>
  <c r="S21" i="20"/>
  <c r="T21" i="20" s="1"/>
  <c r="T10" i="13"/>
  <c r="S17" i="13"/>
  <c r="T17" i="13" s="1"/>
  <c r="T16" i="20"/>
  <c r="S22" i="20"/>
  <c r="T22" i="20" s="1"/>
  <c r="S26" i="20"/>
  <c r="T26" i="20" s="1"/>
  <c r="T9" i="13"/>
  <c r="T11" i="13"/>
  <c r="S18" i="13"/>
  <c r="T18" i="13" s="1"/>
  <c r="T7" i="20"/>
  <c r="T15" i="20"/>
  <c r="S18" i="20"/>
  <c r="T18" i="20" s="1"/>
  <c r="L7" i="31"/>
  <c r="M7" i="31" s="1"/>
  <c r="A7" i="31" s="1"/>
  <c r="T16" i="13"/>
  <c r="S19" i="13"/>
  <c r="T19" i="13" s="1"/>
  <c r="T11" i="20"/>
  <c r="S23" i="20"/>
  <c r="T23" i="20" s="1"/>
  <c r="S27" i="20"/>
  <c r="T27" i="20" s="1"/>
  <c r="T8" i="13"/>
  <c r="T25" i="20"/>
  <c r="T15" i="13"/>
  <c r="S20" i="13"/>
  <c r="T20" i="13" s="1"/>
  <c r="T9" i="20"/>
  <c r="S19" i="20"/>
  <c r="T19" i="20" s="1"/>
  <c r="S28" i="20"/>
  <c r="T28" i="20" s="1"/>
  <c r="T23" i="13"/>
  <c r="T12" i="13"/>
  <c r="S21" i="13"/>
  <c r="T21" i="13" s="1"/>
  <c r="T10" i="20"/>
  <c r="S24" i="20"/>
  <c r="T24" i="20" s="1"/>
  <c r="S29" i="20"/>
  <c r="T29" i="20" s="1"/>
  <c r="T14" i="20"/>
  <c r="T7" i="13"/>
  <c r="T14" i="13"/>
  <c r="S22" i="13"/>
  <c r="T22" i="13" s="1"/>
  <c r="T12" i="20"/>
  <c r="M10" i="33"/>
  <c r="A10" i="33" s="1"/>
  <c r="M15" i="33"/>
  <c r="A15" i="33" s="1"/>
  <c r="M22" i="33"/>
  <c r="A22" i="33" s="1"/>
  <c r="M24" i="33"/>
  <c r="A24" i="33" s="1"/>
  <c r="AQ7" i="20"/>
  <c r="AQ15" i="20"/>
  <c r="AP22" i="20"/>
  <c r="AQ22" i="20" s="1"/>
  <c r="AQ8" i="20"/>
  <c r="AQ10" i="20"/>
  <c r="AP23" i="20"/>
  <c r="AQ23" i="20" s="1"/>
  <c r="AQ6" i="20"/>
  <c r="AP14" i="20"/>
  <c r="AQ14" i="20" s="1"/>
  <c r="AP24" i="20"/>
  <c r="AQ24" i="20" s="1"/>
  <c r="M12" i="33"/>
  <c r="A12" i="33" s="1"/>
  <c r="AQ11" i="20"/>
  <c r="AP17" i="20"/>
  <c r="AQ17" i="20" s="1"/>
  <c r="AP25" i="20"/>
  <c r="AQ25" i="20" s="1"/>
  <c r="AQ12" i="20"/>
  <c r="AP18" i="20"/>
  <c r="AQ18" i="20" s="1"/>
  <c r="AP26" i="20"/>
  <c r="AQ26" i="20" s="1"/>
  <c r="AQ16" i="20"/>
  <c r="AP19" i="20"/>
  <c r="AQ19" i="20" s="1"/>
  <c r="AP27" i="20"/>
  <c r="AQ27" i="20" s="1"/>
  <c r="AP20" i="20"/>
  <c r="AQ20" i="20" s="1"/>
  <c r="AP28" i="20"/>
  <c r="AQ28" i="20" s="1"/>
  <c r="M8" i="33"/>
  <c r="A8" i="33" s="1"/>
  <c r="AQ9" i="20" s="1"/>
  <c r="L9" i="33"/>
  <c r="M9" i="33" s="1"/>
  <c r="A9" i="33" s="1"/>
  <c r="M13" i="33"/>
  <c r="A13" i="33" s="1"/>
  <c r="M18" i="33"/>
  <c r="A18" i="33" s="1"/>
  <c r="M20" i="33"/>
  <c r="A20" i="33" s="1"/>
  <c r="AQ13" i="20"/>
  <c r="AP21" i="20"/>
  <c r="AQ21" i="20" s="1"/>
  <c r="R9" i="13"/>
  <c r="R10" i="13"/>
  <c r="R6" i="20"/>
  <c r="R11" i="13"/>
  <c r="Q18" i="13"/>
  <c r="R16" i="20"/>
  <c r="Q17" i="20"/>
  <c r="Q28" i="20"/>
  <c r="R8" i="13"/>
  <c r="R12" i="20"/>
  <c r="R6" i="13"/>
  <c r="R16" i="13"/>
  <c r="R7" i="20"/>
  <c r="R15" i="13"/>
  <c r="Q20" i="13"/>
  <c r="R11" i="20"/>
  <c r="Q29" i="20"/>
  <c r="R13" i="20"/>
  <c r="R12" i="13"/>
  <c r="Q21" i="13"/>
  <c r="R9" i="20"/>
  <c r="Q18" i="20"/>
  <c r="Q22" i="20"/>
  <c r="R15" i="20"/>
  <c r="R7" i="13"/>
  <c r="R14" i="13"/>
  <c r="Q22" i="13"/>
  <c r="R8" i="20"/>
  <c r="R10" i="20"/>
  <c r="M9" i="29"/>
  <c r="A9" i="29" s="1"/>
  <c r="M10" i="29"/>
  <c r="A10" i="29" s="1"/>
  <c r="P14" i="13" s="1"/>
  <c r="O22" i="13"/>
  <c r="O20" i="20"/>
  <c r="P20" i="20" s="1"/>
  <c r="O28" i="20"/>
  <c r="M6" i="29"/>
  <c r="A6" i="29" s="1"/>
  <c r="P9" i="13"/>
  <c r="O23" i="13"/>
  <c r="P23" i="13" s="1"/>
  <c r="P10" i="20"/>
  <c r="O23" i="20"/>
  <c r="O17" i="13"/>
  <c r="O21" i="20"/>
  <c r="P21" i="20" s="1"/>
  <c r="O29" i="20"/>
  <c r="P18" i="20"/>
  <c r="O18" i="13"/>
  <c r="P18" i="13" s="1"/>
  <c r="P6" i="20"/>
  <c r="O14" i="20"/>
  <c r="O24" i="20"/>
  <c r="P24" i="20" s="1"/>
  <c r="P6" i="13"/>
  <c r="M11" i="29"/>
  <c r="A11" i="29" s="1"/>
  <c r="P11" i="13" s="1"/>
  <c r="P16" i="13"/>
  <c r="O19" i="13"/>
  <c r="P16" i="20"/>
  <c r="O19" i="20"/>
  <c r="O27" i="20"/>
  <c r="P15" i="13"/>
  <c r="O20" i="13"/>
  <c r="P20" i="13" s="1"/>
  <c r="P15" i="20"/>
  <c r="O22" i="20"/>
  <c r="P12" i="13"/>
  <c r="O21" i="13"/>
  <c r="O17" i="20"/>
  <c r="P17" i="20" s="1"/>
  <c r="L6" i="37"/>
  <c r="M11" i="37"/>
  <c r="A11" i="37" s="1"/>
  <c r="M15" i="37"/>
  <c r="A15" i="37" s="1"/>
  <c r="L9" i="37"/>
  <c r="M13" i="37"/>
  <c r="A13" i="37" s="1"/>
  <c r="M6" i="37"/>
  <c r="A6" i="37" s="1"/>
  <c r="L8" i="37"/>
  <c r="M8" i="37" s="1"/>
  <c r="A8" i="37" s="1"/>
  <c r="L9" i="36"/>
  <c r="L8" i="36"/>
  <c r="L7" i="36"/>
  <c r="L9" i="35"/>
  <c r="L8" i="35"/>
  <c r="L7" i="35"/>
  <c r="L7" i="33"/>
  <c r="M7" i="33" s="1"/>
  <c r="A7" i="33" s="1"/>
  <c r="L6" i="30"/>
  <c r="M6" i="30" s="1"/>
  <c r="A6" i="30" s="1"/>
  <c r="L8" i="29"/>
  <c r="M8" i="29" s="1"/>
  <c r="A8" i="29" s="1"/>
  <c r="P8" i="13" s="1"/>
  <c r="L7" i="29"/>
  <c r="M7" i="29" s="1"/>
  <c r="A7" i="29" s="1"/>
  <c r="P7" i="13" s="1"/>
  <c r="R13" i="13" l="1"/>
  <c r="R14" i="20"/>
  <c r="R23" i="13"/>
  <c r="R27" i="20"/>
  <c r="R17" i="13"/>
  <c r="R25" i="20"/>
  <c r="R19" i="13"/>
  <c r="R21" i="20"/>
  <c r="R26" i="20"/>
  <c r="R20" i="20"/>
  <c r="R24" i="20"/>
  <c r="R19" i="20"/>
  <c r="R23" i="20"/>
  <c r="R17" i="20"/>
  <c r="R22" i="13"/>
  <c r="R20" i="13"/>
  <c r="R28" i="20"/>
  <c r="R18" i="20"/>
  <c r="R18" i="13"/>
  <c r="R29" i="20"/>
  <c r="R22" i="20"/>
  <c r="R21" i="13"/>
  <c r="P7" i="20"/>
  <c r="P29" i="20"/>
  <c r="P8" i="20"/>
  <c r="P9" i="20"/>
  <c r="P13" i="20"/>
  <c r="P11" i="20"/>
  <c r="P14" i="20"/>
  <c r="P27" i="20"/>
  <c r="P21" i="13"/>
  <c r="P19" i="20"/>
  <c r="P10" i="13"/>
  <c r="P25" i="20"/>
  <c r="P13" i="13"/>
  <c r="P26" i="20"/>
  <c r="P12" i="20"/>
  <c r="P22" i="20"/>
  <c r="P19" i="13"/>
  <c r="P28" i="20"/>
  <c r="P22" i="13"/>
  <c r="P17" i="13"/>
  <c r="P23" i="20"/>
  <c r="B14" i="16"/>
  <c r="B13" i="16"/>
  <c r="B9" i="16"/>
  <c r="B8" i="16"/>
  <c r="B7" i="16"/>
  <c r="I7" i="20" s="1"/>
  <c r="B6" i="16"/>
  <c r="B10" i="14"/>
  <c r="B9" i="14"/>
  <c r="B8" i="14"/>
  <c r="B7" i="14"/>
  <c r="B6" i="14"/>
  <c r="I6" i="19"/>
  <c r="I6" i="18"/>
  <c r="I6" i="17"/>
  <c r="I6" i="16"/>
  <c r="I6" i="15"/>
  <c r="I6" i="14"/>
  <c r="U29" i="20"/>
  <c r="E29" i="20"/>
  <c r="U28" i="20"/>
  <c r="M28" i="20"/>
  <c r="G28" i="20"/>
  <c r="H28" i="20" s="1"/>
  <c r="E28" i="20"/>
  <c r="U27" i="20"/>
  <c r="G27" i="20"/>
  <c r="E27" i="20"/>
  <c r="U26" i="20"/>
  <c r="M26" i="20"/>
  <c r="G26" i="20"/>
  <c r="E26" i="20"/>
  <c r="U25" i="20"/>
  <c r="E25" i="20"/>
  <c r="U24" i="20"/>
  <c r="E24" i="20"/>
  <c r="U23" i="20"/>
  <c r="M23" i="20"/>
  <c r="G23" i="20"/>
  <c r="E23" i="20"/>
  <c r="U22" i="20"/>
  <c r="G22" i="20"/>
  <c r="E22" i="20"/>
  <c r="U21" i="20"/>
  <c r="M21" i="20"/>
  <c r="E21" i="20"/>
  <c r="U20" i="20"/>
  <c r="E20" i="20"/>
  <c r="U19" i="20"/>
  <c r="M19" i="20"/>
  <c r="G19" i="20"/>
  <c r="E19" i="20"/>
  <c r="U18" i="20"/>
  <c r="G18" i="20"/>
  <c r="E18" i="20"/>
  <c r="U17" i="20"/>
  <c r="M17" i="20"/>
  <c r="E17" i="20"/>
  <c r="U14" i="20"/>
  <c r="M14" i="20"/>
  <c r="E14" i="20"/>
  <c r="U10" i="20"/>
  <c r="M10" i="20"/>
  <c r="G10" i="20"/>
  <c r="E10" i="20"/>
  <c r="U15" i="20"/>
  <c r="M15" i="20"/>
  <c r="K15" i="20"/>
  <c r="I15" i="20"/>
  <c r="G15" i="20"/>
  <c r="E15" i="20"/>
  <c r="U16" i="20"/>
  <c r="M16" i="20"/>
  <c r="K16" i="20"/>
  <c r="I16" i="20"/>
  <c r="G16" i="20"/>
  <c r="E16" i="20"/>
  <c r="U12" i="20"/>
  <c r="M12" i="20"/>
  <c r="K12" i="20"/>
  <c r="I12" i="20"/>
  <c r="G12" i="20"/>
  <c r="E12" i="20"/>
  <c r="U6" i="20"/>
  <c r="M6" i="20"/>
  <c r="K6" i="20"/>
  <c r="I6" i="20"/>
  <c r="G6" i="20"/>
  <c r="E6" i="20"/>
  <c r="U9" i="20"/>
  <c r="M9" i="20"/>
  <c r="I9" i="20"/>
  <c r="G9" i="20"/>
  <c r="E9" i="20"/>
  <c r="U13" i="20"/>
  <c r="M13" i="20"/>
  <c r="K13" i="20"/>
  <c r="I13" i="20"/>
  <c r="G13" i="20"/>
  <c r="E13" i="20"/>
  <c r="U11" i="20"/>
  <c r="M11" i="20"/>
  <c r="K11" i="20"/>
  <c r="I11" i="20"/>
  <c r="G11" i="20"/>
  <c r="E11" i="20"/>
  <c r="U8" i="20"/>
  <c r="M8" i="20"/>
  <c r="I8" i="20"/>
  <c r="G8" i="20"/>
  <c r="E8" i="20"/>
  <c r="U7" i="20"/>
  <c r="M7" i="20"/>
  <c r="K7" i="20"/>
  <c r="G7" i="20"/>
  <c r="E7" i="20"/>
  <c r="J305" i="28"/>
  <c r="K305" i="28" s="1"/>
  <c r="I305" i="28"/>
  <c r="N305" i="28" s="1"/>
  <c r="A305" i="28" s="1"/>
  <c r="J304" i="28"/>
  <c r="K304" i="28" s="1"/>
  <c r="I304" i="28"/>
  <c r="J303" i="28"/>
  <c r="K303" i="28" s="1"/>
  <c r="I303" i="28"/>
  <c r="J302" i="28"/>
  <c r="K302" i="28" s="1"/>
  <c r="I302" i="28"/>
  <c r="N302" i="28" s="1"/>
  <c r="A302" i="28" s="1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N298" i="28" s="1"/>
  <c r="A298" i="28" s="1"/>
  <c r="J297" i="28"/>
  <c r="K297" i="28" s="1"/>
  <c r="I297" i="28"/>
  <c r="N297" i="28" s="1"/>
  <c r="A297" i="28" s="1"/>
  <c r="J296" i="28"/>
  <c r="K296" i="28" s="1"/>
  <c r="I296" i="28"/>
  <c r="J295" i="28"/>
  <c r="K295" i="28" s="1"/>
  <c r="I295" i="28"/>
  <c r="J294" i="28"/>
  <c r="K294" i="28" s="1"/>
  <c r="I294" i="28"/>
  <c r="N294" i="28" s="1"/>
  <c r="A294" i="28" s="1"/>
  <c r="J293" i="28"/>
  <c r="K293" i="28" s="1"/>
  <c r="I293" i="28"/>
  <c r="N293" i="28" s="1"/>
  <c r="A293" i="28" s="1"/>
  <c r="J292" i="28"/>
  <c r="K292" i="28" s="1"/>
  <c r="I292" i="28"/>
  <c r="J291" i="28"/>
  <c r="K291" i="28" s="1"/>
  <c r="I291" i="28"/>
  <c r="J290" i="28"/>
  <c r="K290" i="28" s="1"/>
  <c r="I290" i="28"/>
  <c r="N290" i="28" s="1"/>
  <c r="A290" i="28" s="1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N286" i="28" s="1"/>
  <c r="A286" i="28" s="1"/>
  <c r="J285" i="28"/>
  <c r="K285" i="28" s="1"/>
  <c r="I285" i="28"/>
  <c r="N285" i="28" s="1"/>
  <c r="A285" i="28" s="1"/>
  <c r="J284" i="28"/>
  <c r="K284" i="28" s="1"/>
  <c r="I284" i="28"/>
  <c r="J283" i="28"/>
  <c r="K283" i="28" s="1"/>
  <c r="I283" i="28"/>
  <c r="J282" i="28"/>
  <c r="K282" i="28" s="1"/>
  <c r="I282" i="28"/>
  <c r="N282" i="28" s="1"/>
  <c r="A282" i="28" s="1"/>
  <c r="J281" i="28"/>
  <c r="K281" i="28" s="1"/>
  <c r="I281" i="28"/>
  <c r="N281" i="28" s="1"/>
  <c r="A281" i="28" s="1"/>
  <c r="J280" i="28"/>
  <c r="K280" i="28" s="1"/>
  <c r="I280" i="28"/>
  <c r="J279" i="28"/>
  <c r="K279" i="28" s="1"/>
  <c r="I279" i="28"/>
  <c r="J278" i="28"/>
  <c r="K278" i="28" s="1"/>
  <c r="I278" i="28"/>
  <c r="N278" i="28" s="1"/>
  <c r="A278" i="28" s="1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N274" i="28" s="1"/>
  <c r="A274" i="28" s="1"/>
  <c r="J273" i="28"/>
  <c r="K273" i="28" s="1"/>
  <c r="I273" i="28"/>
  <c r="N273" i="28" s="1"/>
  <c r="A273" i="28" s="1"/>
  <c r="J272" i="28"/>
  <c r="K272" i="28" s="1"/>
  <c r="I272" i="28"/>
  <c r="J271" i="28"/>
  <c r="K271" i="28" s="1"/>
  <c r="I271" i="28"/>
  <c r="J270" i="28"/>
  <c r="K270" i="28" s="1"/>
  <c r="I270" i="28"/>
  <c r="N270" i="28" s="1"/>
  <c r="A270" i="28" s="1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J266" i="28"/>
  <c r="K266" i="28" s="1"/>
  <c r="I266" i="28"/>
  <c r="N266" i="28" s="1"/>
  <c r="A266" i="28" s="1"/>
  <c r="J265" i="28"/>
  <c r="K265" i="28" s="1"/>
  <c r="I265" i="28"/>
  <c r="N265" i="28" s="1"/>
  <c r="A265" i="28" s="1"/>
  <c r="J264" i="28"/>
  <c r="K264" i="28" s="1"/>
  <c r="I264" i="28"/>
  <c r="J263" i="28"/>
  <c r="K263" i="28" s="1"/>
  <c r="I263" i="28"/>
  <c r="J262" i="28"/>
  <c r="K262" i="28" s="1"/>
  <c r="I262" i="28"/>
  <c r="N262" i="28" s="1"/>
  <c r="A262" i="28" s="1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J258" i="28"/>
  <c r="K258" i="28" s="1"/>
  <c r="I258" i="28"/>
  <c r="N258" i="28" s="1"/>
  <c r="A258" i="28" s="1"/>
  <c r="J257" i="28"/>
  <c r="K257" i="28" s="1"/>
  <c r="I257" i="28"/>
  <c r="M257" i="28" s="1"/>
  <c r="J256" i="28"/>
  <c r="K256" i="28" s="1"/>
  <c r="I256" i="28"/>
  <c r="J255" i="28"/>
  <c r="K255" i="28" s="1"/>
  <c r="I255" i="28"/>
  <c r="J254" i="28"/>
  <c r="K254" i="28" s="1"/>
  <c r="I254" i="28"/>
  <c r="N254" i="28" s="1"/>
  <c r="A254" i="28" s="1"/>
  <c r="J253" i="28"/>
  <c r="K253" i="28" s="1"/>
  <c r="I253" i="28"/>
  <c r="N253" i="28" s="1"/>
  <c r="A253" i="28" s="1"/>
  <c r="J252" i="28"/>
  <c r="K252" i="28" s="1"/>
  <c r="I252" i="28"/>
  <c r="J251" i="28"/>
  <c r="K251" i="28" s="1"/>
  <c r="I251" i="28"/>
  <c r="J250" i="28"/>
  <c r="K250" i="28" s="1"/>
  <c r="I250" i="28"/>
  <c r="N250" i="28" s="1"/>
  <c r="A250" i="28" s="1"/>
  <c r="B250" i="28"/>
  <c r="J249" i="28"/>
  <c r="K249" i="28" s="1"/>
  <c r="I249" i="28"/>
  <c r="N249" i="28" s="1"/>
  <c r="A249" i="28" s="1"/>
  <c r="B249" i="28"/>
  <c r="M248" i="28"/>
  <c r="J248" i="28"/>
  <c r="K248" i="28" s="1"/>
  <c r="I248" i="28"/>
  <c r="N248" i="28" s="1"/>
  <c r="A248" i="28" s="1"/>
  <c r="B248" i="28"/>
  <c r="J247" i="28"/>
  <c r="K247" i="28" s="1"/>
  <c r="I247" i="28"/>
  <c r="N247" i="28" s="1"/>
  <c r="A247" i="28" s="1"/>
  <c r="B247" i="28"/>
  <c r="J246" i="28"/>
  <c r="K246" i="28" s="1"/>
  <c r="I246" i="28"/>
  <c r="B246" i="28"/>
  <c r="J245" i="28"/>
  <c r="K245" i="28" s="1"/>
  <c r="I245" i="28"/>
  <c r="N245" i="28" s="1"/>
  <c r="A245" i="28" s="1"/>
  <c r="B245" i="28"/>
  <c r="J244" i="28"/>
  <c r="K244" i="28" s="1"/>
  <c r="I244" i="28"/>
  <c r="B244" i="28"/>
  <c r="J243" i="28"/>
  <c r="K243" i="28" s="1"/>
  <c r="I243" i="28"/>
  <c r="M243" i="28" s="1"/>
  <c r="B243" i="28"/>
  <c r="J242" i="28"/>
  <c r="K242" i="28" s="1"/>
  <c r="I242" i="28"/>
  <c r="N242" i="28" s="1"/>
  <c r="A242" i="28" s="1"/>
  <c r="B242" i="28"/>
  <c r="J241" i="28"/>
  <c r="K241" i="28" s="1"/>
  <c r="I241" i="28"/>
  <c r="N241" i="28" s="1"/>
  <c r="A241" i="28" s="1"/>
  <c r="B241" i="28"/>
  <c r="J240" i="28"/>
  <c r="K240" i="28" s="1"/>
  <c r="I240" i="28"/>
  <c r="N240" i="28" s="1"/>
  <c r="A240" i="28" s="1"/>
  <c r="B240" i="28"/>
  <c r="J239" i="28"/>
  <c r="K239" i="28" s="1"/>
  <c r="I239" i="28"/>
  <c r="B239" i="28"/>
  <c r="J238" i="28"/>
  <c r="K238" i="28" s="1"/>
  <c r="I238" i="28"/>
  <c r="B238" i="28"/>
  <c r="J237" i="28"/>
  <c r="K237" i="28" s="1"/>
  <c r="I237" i="28"/>
  <c r="N237" i="28" s="1"/>
  <c r="A237" i="28" s="1"/>
  <c r="B237" i="28"/>
  <c r="J236" i="28"/>
  <c r="K236" i="28" s="1"/>
  <c r="I236" i="28"/>
  <c r="B236" i="28"/>
  <c r="J235" i="28"/>
  <c r="K235" i="28" s="1"/>
  <c r="I235" i="28"/>
  <c r="M235" i="28" s="1"/>
  <c r="B235" i="28"/>
  <c r="J234" i="28"/>
  <c r="K234" i="28" s="1"/>
  <c r="I234" i="28"/>
  <c r="N234" i="28" s="1"/>
  <c r="A234" i="28" s="1"/>
  <c r="B234" i="28"/>
  <c r="J233" i="28"/>
  <c r="K233" i="28" s="1"/>
  <c r="I233" i="28"/>
  <c r="N233" i="28" s="1"/>
  <c r="A233" i="28" s="1"/>
  <c r="B233" i="28"/>
  <c r="J232" i="28"/>
  <c r="K232" i="28" s="1"/>
  <c r="I232" i="28"/>
  <c r="N232" i="28" s="1"/>
  <c r="A232" i="28" s="1"/>
  <c r="B232" i="28"/>
  <c r="J231" i="28"/>
  <c r="K231" i="28" s="1"/>
  <c r="I231" i="28"/>
  <c r="N231" i="28" s="1"/>
  <c r="A231" i="28" s="1"/>
  <c r="B231" i="28"/>
  <c r="J230" i="28"/>
  <c r="K230" i="28" s="1"/>
  <c r="I230" i="28"/>
  <c r="B230" i="28"/>
  <c r="J229" i="28"/>
  <c r="K229" i="28" s="1"/>
  <c r="I229" i="28"/>
  <c r="N229" i="28" s="1"/>
  <c r="A229" i="28" s="1"/>
  <c r="B229" i="28"/>
  <c r="J228" i="28"/>
  <c r="K228" i="28" s="1"/>
  <c r="I228" i="28"/>
  <c r="B228" i="28"/>
  <c r="J227" i="28"/>
  <c r="K227" i="28" s="1"/>
  <c r="I227" i="28"/>
  <c r="M227" i="28" s="1"/>
  <c r="B227" i="28"/>
  <c r="J226" i="28"/>
  <c r="K226" i="28" s="1"/>
  <c r="I226" i="28"/>
  <c r="N226" i="28" s="1"/>
  <c r="A226" i="28" s="1"/>
  <c r="B226" i="28"/>
  <c r="J225" i="28"/>
  <c r="K225" i="28" s="1"/>
  <c r="I225" i="28"/>
  <c r="N225" i="28" s="1"/>
  <c r="A225" i="28" s="1"/>
  <c r="B225" i="28"/>
  <c r="J224" i="28"/>
  <c r="K224" i="28" s="1"/>
  <c r="I224" i="28"/>
  <c r="N224" i="28" s="1"/>
  <c r="A224" i="28" s="1"/>
  <c r="B224" i="28"/>
  <c r="J223" i="28"/>
  <c r="K223" i="28" s="1"/>
  <c r="I223" i="28"/>
  <c r="N223" i="28" s="1"/>
  <c r="A223" i="28" s="1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J219" i="28"/>
  <c r="K219" i="28" s="1"/>
  <c r="I219" i="28"/>
  <c r="N219" i="28" s="1"/>
  <c r="A219" i="28" s="1"/>
  <c r="B219" i="28"/>
  <c r="J218" i="28"/>
  <c r="K218" i="28" s="1"/>
  <c r="I218" i="28"/>
  <c r="N218" i="28" s="1"/>
  <c r="A218" i="28" s="1"/>
  <c r="B218" i="28"/>
  <c r="J217" i="28"/>
  <c r="K217" i="28" s="1"/>
  <c r="I217" i="28"/>
  <c r="N217" i="28" s="1"/>
  <c r="A217" i="28" s="1"/>
  <c r="B217" i="28"/>
  <c r="N216" i="28"/>
  <c r="A216" i="28" s="1"/>
  <c r="M216" i="28"/>
  <c r="J216" i="28"/>
  <c r="K216" i="28" s="1"/>
  <c r="I216" i="28"/>
  <c r="B216" i="28"/>
  <c r="J215" i="28"/>
  <c r="K215" i="28" s="1"/>
  <c r="I215" i="28"/>
  <c r="N215" i="28" s="1"/>
  <c r="A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J211" i="28"/>
  <c r="K211" i="28" s="1"/>
  <c r="I211" i="28"/>
  <c r="M211" i="28" s="1"/>
  <c r="B211" i="28"/>
  <c r="J210" i="28"/>
  <c r="K210" i="28" s="1"/>
  <c r="I210" i="28"/>
  <c r="N210" i="28" s="1"/>
  <c r="A210" i="28" s="1"/>
  <c r="B210" i="28"/>
  <c r="J209" i="28"/>
  <c r="K209" i="28" s="1"/>
  <c r="I209" i="28"/>
  <c r="M209" i="28" s="1"/>
  <c r="B209" i="28"/>
  <c r="J208" i="28"/>
  <c r="K208" i="28" s="1"/>
  <c r="I208" i="28"/>
  <c r="N208" i="28" s="1"/>
  <c r="A208" i="28" s="1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B204" i="28"/>
  <c r="J203" i="28"/>
  <c r="K203" i="28" s="1"/>
  <c r="I203" i="28"/>
  <c r="N203" i="28" s="1"/>
  <c r="A203" i="28" s="1"/>
  <c r="B203" i="28"/>
  <c r="N202" i="28"/>
  <c r="A202" i="28" s="1"/>
  <c r="J202" i="28"/>
  <c r="K202" i="28" s="1"/>
  <c r="I202" i="28"/>
  <c r="M202" i="28" s="1"/>
  <c r="B202" i="28"/>
  <c r="J201" i="28"/>
  <c r="K201" i="28" s="1"/>
  <c r="I201" i="28"/>
  <c r="N201" i="28" s="1"/>
  <c r="A201" i="28" s="1"/>
  <c r="B201" i="28"/>
  <c r="J200" i="28"/>
  <c r="K200" i="28" s="1"/>
  <c r="I200" i="28"/>
  <c r="N200" i="28" s="1"/>
  <c r="A200" i="28" s="1"/>
  <c r="B200" i="28"/>
  <c r="J199" i="28"/>
  <c r="K199" i="28" s="1"/>
  <c r="I199" i="28"/>
  <c r="N199" i="28" s="1"/>
  <c r="A199" i="28" s="1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N195" i="28" s="1"/>
  <c r="A195" i="28" s="1"/>
  <c r="B195" i="28"/>
  <c r="J194" i="28"/>
  <c r="K194" i="28" s="1"/>
  <c r="I194" i="28"/>
  <c r="N194" i="28" s="1"/>
  <c r="A194" i="28" s="1"/>
  <c r="B194" i="28"/>
  <c r="J193" i="28"/>
  <c r="K193" i="28" s="1"/>
  <c r="I193" i="28"/>
  <c r="N193" i="28" s="1"/>
  <c r="A193" i="28" s="1"/>
  <c r="B193" i="28"/>
  <c r="J192" i="28"/>
  <c r="K192" i="28" s="1"/>
  <c r="I192" i="28"/>
  <c r="M192" i="28" s="1"/>
  <c r="B192" i="28"/>
  <c r="J191" i="28"/>
  <c r="K191" i="28" s="1"/>
  <c r="I191" i="28"/>
  <c r="N191" i="28" s="1"/>
  <c r="A191" i="28" s="1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B188" i="28"/>
  <c r="J187" i="28"/>
  <c r="K187" i="28" s="1"/>
  <c r="I187" i="28"/>
  <c r="M187" i="28" s="1"/>
  <c r="B187" i="28"/>
  <c r="J186" i="28"/>
  <c r="K186" i="28" s="1"/>
  <c r="I186" i="28"/>
  <c r="N186" i="28" s="1"/>
  <c r="A186" i="28" s="1"/>
  <c r="B186" i="28"/>
  <c r="J185" i="28"/>
  <c r="K185" i="28" s="1"/>
  <c r="I185" i="28"/>
  <c r="M185" i="28" s="1"/>
  <c r="B185" i="28"/>
  <c r="J184" i="28"/>
  <c r="K184" i="28" s="1"/>
  <c r="I184" i="28"/>
  <c r="N184" i="28" s="1"/>
  <c r="A184" i="28" s="1"/>
  <c r="B184" i="28"/>
  <c r="J183" i="28"/>
  <c r="K183" i="28" s="1"/>
  <c r="I183" i="28"/>
  <c r="B183" i="28"/>
  <c r="J182" i="28"/>
  <c r="K182" i="28" s="1"/>
  <c r="I182" i="28"/>
  <c r="N182" i="28" s="1"/>
  <c r="A182" i="28" s="1"/>
  <c r="B182" i="28"/>
  <c r="J181" i="28"/>
  <c r="K181" i="28" s="1"/>
  <c r="I181" i="28"/>
  <c r="B181" i="28"/>
  <c r="J180" i="28"/>
  <c r="K180" i="28" s="1"/>
  <c r="I180" i="28"/>
  <c r="B180" i="28"/>
  <c r="J179" i="28"/>
  <c r="K179" i="28" s="1"/>
  <c r="I179" i="28"/>
  <c r="M179" i="28" s="1"/>
  <c r="B179" i="28"/>
  <c r="J178" i="28"/>
  <c r="K178" i="28" s="1"/>
  <c r="I178" i="28"/>
  <c r="M178" i="28" s="1"/>
  <c r="B178" i="28"/>
  <c r="J177" i="28"/>
  <c r="K177" i="28" s="1"/>
  <c r="I177" i="28"/>
  <c r="N177" i="28" s="1"/>
  <c r="A177" i="28" s="1"/>
  <c r="B177" i="28"/>
  <c r="J176" i="28"/>
  <c r="K176" i="28" s="1"/>
  <c r="I176" i="28"/>
  <c r="N176" i="28" s="1"/>
  <c r="A176" i="28" s="1"/>
  <c r="B176" i="28"/>
  <c r="J175" i="28"/>
  <c r="K175" i="28" s="1"/>
  <c r="I175" i="28"/>
  <c r="N175" i="28" s="1"/>
  <c r="A175" i="28" s="1"/>
  <c r="B175" i="28"/>
  <c r="J174" i="28"/>
  <c r="K174" i="28" s="1"/>
  <c r="I174" i="28"/>
  <c r="B174" i="28"/>
  <c r="J173" i="28"/>
  <c r="K173" i="28" s="1"/>
  <c r="I173" i="28"/>
  <c r="N173" i="28" s="1"/>
  <c r="A173" i="28" s="1"/>
  <c r="B173" i="28"/>
  <c r="J172" i="28"/>
  <c r="K172" i="28" s="1"/>
  <c r="I172" i="28"/>
  <c r="M172" i="28" s="1"/>
  <c r="B172" i="28"/>
  <c r="J171" i="28"/>
  <c r="K171" i="28" s="1"/>
  <c r="I171" i="28"/>
  <c r="N171" i="28" s="1"/>
  <c r="A171" i="28" s="1"/>
  <c r="B171" i="28"/>
  <c r="J170" i="28"/>
  <c r="K170" i="28" s="1"/>
  <c r="I170" i="28"/>
  <c r="B170" i="28"/>
  <c r="J169" i="28"/>
  <c r="K169" i="28" s="1"/>
  <c r="I169" i="28"/>
  <c r="N169" i="28" s="1"/>
  <c r="A169" i="28" s="1"/>
  <c r="B169" i="28"/>
  <c r="J168" i="28"/>
  <c r="K168" i="28" s="1"/>
  <c r="I168" i="28"/>
  <c r="M168" i="28" s="1"/>
  <c r="B168" i="28"/>
  <c r="J167" i="28"/>
  <c r="K167" i="28" s="1"/>
  <c r="I167" i="28"/>
  <c r="M167" i="28" s="1"/>
  <c r="B167" i="28"/>
  <c r="J166" i="28"/>
  <c r="K166" i="28" s="1"/>
  <c r="I166" i="28"/>
  <c r="N166" i="28" s="1"/>
  <c r="A166" i="28" s="1"/>
  <c r="B166" i="28"/>
  <c r="J165" i="28"/>
  <c r="K165" i="28" s="1"/>
  <c r="I165" i="28"/>
  <c r="N165" i="28" s="1"/>
  <c r="A165" i="28" s="1"/>
  <c r="B165" i="28"/>
  <c r="J164" i="28"/>
  <c r="K164" i="28" s="1"/>
  <c r="I164" i="28"/>
  <c r="B164" i="28"/>
  <c r="J163" i="28"/>
  <c r="K163" i="28" s="1"/>
  <c r="I163" i="28"/>
  <c r="M163" i="28" s="1"/>
  <c r="B163" i="28"/>
  <c r="J162" i="28"/>
  <c r="K162" i="28" s="1"/>
  <c r="I162" i="28"/>
  <c r="M162" i="28" s="1"/>
  <c r="B162" i="28"/>
  <c r="J161" i="28"/>
  <c r="K161" i="28" s="1"/>
  <c r="I161" i="28"/>
  <c r="N161" i="28" s="1"/>
  <c r="A161" i="28" s="1"/>
  <c r="B161" i="28"/>
  <c r="J160" i="28"/>
  <c r="K160" i="28" s="1"/>
  <c r="I160" i="28"/>
  <c r="N160" i="28" s="1"/>
  <c r="A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J157" i="28"/>
  <c r="K157" i="28" s="1"/>
  <c r="I157" i="28"/>
  <c r="N157" i="28" s="1"/>
  <c r="A157" i="28" s="1"/>
  <c r="B157" i="28"/>
  <c r="J156" i="28"/>
  <c r="K156" i="28" s="1"/>
  <c r="I156" i="28"/>
  <c r="M156" i="28" s="1"/>
  <c r="B156" i="28"/>
  <c r="J155" i="28"/>
  <c r="K155" i="28" s="1"/>
  <c r="I155" i="28"/>
  <c r="N155" i="28" s="1"/>
  <c r="A155" i="28" s="1"/>
  <c r="B155" i="28"/>
  <c r="J154" i="28"/>
  <c r="K154" i="28" s="1"/>
  <c r="I154" i="28"/>
  <c r="B154" i="28"/>
  <c r="J153" i="28"/>
  <c r="K153" i="28" s="1"/>
  <c r="I153" i="28"/>
  <c r="N153" i="28" s="1"/>
  <c r="A153" i="28" s="1"/>
  <c r="B153" i="28"/>
  <c r="J152" i="28"/>
  <c r="K152" i="28" s="1"/>
  <c r="I152" i="28"/>
  <c r="M152" i="28" s="1"/>
  <c r="B152" i="28"/>
  <c r="J151" i="28"/>
  <c r="K151" i="28" s="1"/>
  <c r="I151" i="28"/>
  <c r="N151" i="28" s="1"/>
  <c r="A151" i="28" s="1"/>
  <c r="B151" i="28"/>
  <c r="J150" i="28"/>
  <c r="K150" i="28" s="1"/>
  <c r="I150" i="28"/>
  <c r="N150" i="28" s="1"/>
  <c r="A150" i="28" s="1"/>
  <c r="B150" i="28"/>
  <c r="J149" i="28"/>
  <c r="K149" i="28" s="1"/>
  <c r="I149" i="28"/>
  <c r="N149" i="28" s="1"/>
  <c r="A149" i="28" s="1"/>
  <c r="B149" i="28"/>
  <c r="J148" i="28"/>
  <c r="K148" i="28" s="1"/>
  <c r="I148" i="28"/>
  <c r="B148" i="28"/>
  <c r="J147" i="28"/>
  <c r="K147" i="28" s="1"/>
  <c r="I147" i="28"/>
  <c r="M147" i="28" s="1"/>
  <c r="J146" i="28"/>
  <c r="K146" i="28" s="1"/>
  <c r="I146" i="28"/>
  <c r="M146" i="28" s="1"/>
  <c r="J145" i="28"/>
  <c r="K145" i="28" s="1"/>
  <c r="I145" i="28"/>
  <c r="N145" i="28" s="1"/>
  <c r="A145" i="28" s="1"/>
  <c r="J144" i="28"/>
  <c r="K144" i="28" s="1"/>
  <c r="I144" i="28"/>
  <c r="N144" i="28" s="1"/>
  <c r="A144" i="28" s="1"/>
  <c r="J143" i="28"/>
  <c r="K143" i="28" s="1"/>
  <c r="I143" i="28"/>
  <c r="N143" i="28" s="1"/>
  <c r="A143" i="28" s="1"/>
  <c r="J142" i="28"/>
  <c r="K142" i="28" s="1"/>
  <c r="I142" i="28"/>
  <c r="J141" i="28"/>
  <c r="K141" i="28" s="1"/>
  <c r="I141" i="28"/>
  <c r="N141" i="28" s="1"/>
  <c r="A141" i="28" s="1"/>
  <c r="J140" i="28"/>
  <c r="K140" i="28" s="1"/>
  <c r="I140" i="28"/>
  <c r="M140" i="28" s="1"/>
  <c r="J139" i="28"/>
  <c r="K139" i="28" s="1"/>
  <c r="I139" i="28"/>
  <c r="N139" i="28" s="1"/>
  <c r="A139" i="28" s="1"/>
  <c r="J138" i="28"/>
  <c r="K138" i="28" s="1"/>
  <c r="I138" i="28"/>
  <c r="J137" i="28"/>
  <c r="K137" i="28" s="1"/>
  <c r="I137" i="28"/>
  <c r="N137" i="28" s="1"/>
  <c r="A137" i="28" s="1"/>
  <c r="J136" i="28"/>
  <c r="K136" i="28" s="1"/>
  <c r="I136" i="28"/>
  <c r="M136" i="28" s="1"/>
  <c r="J135" i="28"/>
  <c r="K135" i="28" s="1"/>
  <c r="I135" i="28"/>
  <c r="N135" i="28" s="1"/>
  <c r="A135" i="28" s="1"/>
  <c r="M134" i="28"/>
  <c r="J134" i="28"/>
  <c r="K134" i="28" s="1"/>
  <c r="I134" i="28"/>
  <c r="N134" i="28" s="1"/>
  <c r="A134" i="28" s="1"/>
  <c r="J133" i="28"/>
  <c r="K133" i="28" s="1"/>
  <c r="I133" i="28"/>
  <c r="N133" i="28" s="1"/>
  <c r="A133" i="28" s="1"/>
  <c r="J132" i="28"/>
  <c r="K132" i="28" s="1"/>
  <c r="I132" i="28"/>
  <c r="N132" i="28" s="1"/>
  <c r="A132" i="28" s="1"/>
  <c r="J131" i="28"/>
  <c r="K131" i="28" s="1"/>
  <c r="I131" i="28"/>
  <c r="J130" i="28"/>
  <c r="K130" i="28" s="1"/>
  <c r="I130" i="28"/>
  <c r="J129" i="28"/>
  <c r="K129" i="28" s="1"/>
  <c r="I129" i="28"/>
  <c r="M129" i="28" s="1"/>
  <c r="J128" i="28"/>
  <c r="K128" i="28" s="1"/>
  <c r="I128" i="28"/>
  <c r="M128" i="28" s="1"/>
  <c r="J127" i="28"/>
  <c r="K127" i="28" s="1"/>
  <c r="I127" i="28"/>
  <c r="M127" i="28" s="1"/>
  <c r="J126" i="28"/>
  <c r="K126" i="28" s="1"/>
  <c r="I126" i="28"/>
  <c r="N126" i="28" s="1"/>
  <c r="A126" i="28" s="1"/>
  <c r="J125" i="28"/>
  <c r="K125" i="28" s="1"/>
  <c r="I125" i="28"/>
  <c r="N125" i="28" s="1"/>
  <c r="A125" i="28" s="1"/>
  <c r="J124" i="28"/>
  <c r="K124" i="28" s="1"/>
  <c r="I124" i="28"/>
  <c r="N124" i="28" s="1"/>
  <c r="A124" i="28" s="1"/>
  <c r="J123" i="28"/>
  <c r="K123" i="28" s="1"/>
  <c r="I123" i="28"/>
  <c r="J122" i="28"/>
  <c r="K122" i="28" s="1"/>
  <c r="I122" i="28"/>
  <c r="J121" i="28"/>
  <c r="K121" i="28" s="1"/>
  <c r="I121" i="28"/>
  <c r="M121" i="28" s="1"/>
  <c r="J120" i="28"/>
  <c r="K120" i="28" s="1"/>
  <c r="I120" i="28"/>
  <c r="N120" i="28" s="1"/>
  <c r="A120" i="28" s="1"/>
  <c r="N119" i="28"/>
  <c r="A119" i="28" s="1"/>
  <c r="J119" i="28"/>
  <c r="K119" i="28" s="1"/>
  <c r="I119" i="28"/>
  <c r="M119" i="28" s="1"/>
  <c r="J118" i="28"/>
  <c r="K118" i="28" s="1"/>
  <c r="I118" i="28"/>
  <c r="N118" i="28" s="1"/>
  <c r="A118" i="28" s="1"/>
  <c r="J117" i="28"/>
  <c r="K117" i="28" s="1"/>
  <c r="I117" i="28"/>
  <c r="N117" i="28" s="1"/>
  <c r="A117" i="28" s="1"/>
  <c r="J116" i="28"/>
  <c r="K116" i="28" s="1"/>
  <c r="I116" i="28"/>
  <c r="N116" i="28" s="1"/>
  <c r="A116" i="28" s="1"/>
  <c r="J115" i="28"/>
  <c r="K115" i="28" s="1"/>
  <c r="I115" i="28"/>
  <c r="J114" i="28"/>
  <c r="K114" i="28" s="1"/>
  <c r="I114" i="28"/>
  <c r="J113" i="28"/>
  <c r="K113" i="28" s="1"/>
  <c r="I113" i="28"/>
  <c r="M113" i="28" s="1"/>
  <c r="J112" i="28"/>
  <c r="K112" i="28" s="1"/>
  <c r="I112" i="28"/>
  <c r="N112" i="28" s="1"/>
  <c r="A112" i="28" s="1"/>
  <c r="J111" i="28"/>
  <c r="K111" i="28" s="1"/>
  <c r="I111" i="28"/>
  <c r="M111" i="28" s="1"/>
  <c r="J110" i="28"/>
  <c r="K110" i="28" s="1"/>
  <c r="I110" i="28"/>
  <c r="N110" i="28" s="1"/>
  <c r="A110" i="28" s="1"/>
  <c r="J109" i="28"/>
  <c r="K109" i="28" s="1"/>
  <c r="I109" i="28"/>
  <c r="N109" i="28" s="1"/>
  <c r="A109" i="28" s="1"/>
  <c r="J108" i="28"/>
  <c r="K108" i="28" s="1"/>
  <c r="I108" i="28"/>
  <c r="N108" i="28" s="1"/>
  <c r="A108" i="28" s="1"/>
  <c r="J107" i="28"/>
  <c r="K107" i="28" s="1"/>
  <c r="I107" i="28"/>
  <c r="J106" i="28"/>
  <c r="K106" i="28" s="1"/>
  <c r="I106" i="28"/>
  <c r="J105" i="28"/>
  <c r="K105" i="28" s="1"/>
  <c r="I105" i="28"/>
  <c r="M105" i="28" s="1"/>
  <c r="J104" i="28"/>
  <c r="K104" i="28" s="1"/>
  <c r="I104" i="28"/>
  <c r="N104" i="28" s="1"/>
  <c r="A104" i="28" s="1"/>
  <c r="J103" i="28"/>
  <c r="K103" i="28" s="1"/>
  <c r="I103" i="28"/>
  <c r="M103" i="28" s="1"/>
  <c r="J102" i="28"/>
  <c r="K102" i="28" s="1"/>
  <c r="I102" i="28"/>
  <c r="N102" i="28" s="1"/>
  <c r="A102" i="28" s="1"/>
  <c r="J101" i="28"/>
  <c r="K101" i="28" s="1"/>
  <c r="I101" i="28"/>
  <c r="N101" i="28" s="1"/>
  <c r="A101" i="28" s="1"/>
  <c r="J100" i="28"/>
  <c r="K100" i="28" s="1"/>
  <c r="I100" i="28"/>
  <c r="N100" i="28" s="1"/>
  <c r="A100" i="28" s="1"/>
  <c r="J99" i="28"/>
  <c r="K99" i="28" s="1"/>
  <c r="I99" i="28"/>
  <c r="J98" i="28"/>
  <c r="K98" i="28" s="1"/>
  <c r="I98" i="28"/>
  <c r="J97" i="28"/>
  <c r="K97" i="28" s="1"/>
  <c r="I97" i="28"/>
  <c r="M97" i="28" s="1"/>
  <c r="J96" i="28"/>
  <c r="K96" i="28" s="1"/>
  <c r="I96" i="28"/>
  <c r="N96" i="28" s="1"/>
  <c r="A96" i="28" s="1"/>
  <c r="J95" i="28"/>
  <c r="K95" i="28" s="1"/>
  <c r="I95" i="28"/>
  <c r="J94" i="28"/>
  <c r="K94" i="28" s="1"/>
  <c r="I94" i="28"/>
  <c r="J93" i="28"/>
  <c r="K93" i="28" s="1"/>
  <c r="I93" i="28"/>
  <c r="J92" i="28"/>
  <c r="K92" i="28" s="1"/>
  <c r="I92" i="28"/>
  <c r="J91" i="28"/>
  <c r="K91" i="28" s="1"/>
  <c r="I91" i="28"/>
  <c r="J90" i="28"/>
  <c r="K90" i="28" s="1"/>
  <c r="I90" i="28"/>
  <c r="J89" i="28"/>
  <c r="K89" i="28" s="1"/>
  <c r="I89" i="28"/>
  <c r="J88" i="28"/>
  <c r="K88" i="28" s="1"/>
  <c r="I88" i="28"/>
  <c r="J87" i="28"/>
  <c r="K87" i="28" s="1"/>
  <c r="I87" i="28"/>
  <c r="J86" i="28"/>
  <c r="K86" i="28" s="1"/>
  <c r="I86" i="28"/>
  <c r="J85" i="28"/>
  <c r="K85" i="28" s="1"/>
  <c r="I85" i="28"/>
  <c r="J84" i="28"/>
  <c r="K84" i="28" s="1"/>
  <c r="I84" i="28"/>
  <c r="J83" i="28"/>
  <c r="K83" i="28" s="1"/>
  <c r="I83" i="28"/>
  <c r="J82" i="28"/>
  <c r="K82" i="28" s="1"/>
  <c r="I82" i="28"/>
  <c r="J81" i="28"/>
  <c r="K81" i="28" s="1"/>
  <c r="I81" i="28"/>
  <c r="J80" i="28"/>
  <c r="K80" i="28" s="1"/>
  <c r="I80" i="28"/>
  <c r="J79" i="28"/>
  <c r="K79" i="28" s="1"/>
  <c r="I79" i="28"/>
  <c r="J78" i="28"/>
  <c r="K78" i="28" s="1"/>
  <c r="I78" i="28"/>
  <c r="M78" i="28" s="1"/>
  <c r="N78" i="28" s="1"/>
  <c r="A78" i="28" s="1"/>
  <c r="J77" i="28"/>
  <c r="K77" i="28" s="1"/>
  <c r="I77" i="28"/>
  <c r="J76" i="28"/>
  <c r="K76" i="28" s="1"/>
  <c r="I76" i="28"/>
  <c r="J75" i="28"/>
  <c r="K75" i="28" s="1"/>
  <c r="I75" i="28"/>
  <c r="J74" i="28"/>
  <c r="K74" i="28" s="1"/>
  <c r="I74" i="28"/>
  <c r="J73" i="28"/>
  <c r="K73" i="28" s="1"/>
  <c r="I73" i="28"/>
  <c r="J72" i="28"/>
  <c r="K72" i="28" s="1"/>
  <c r="I72" i="28"/>
  <c r="J71" i="28"/>
  <c r="K71" i="28" s="1"/>
  <c r="I71" i="28"/>
  <c r="J70" i="28"/>
  <c r="K70" i="28" s="1"/>
  <c r="I70" i="28"/>
  <c r="J69" i="28"/>
  <c r="K69" i="28" s="1"/>
  <c r="I69" i="28"/>
  <c r="J68" i="28"/>
  <c r="K68" i="28" s="1"/>
  <c r="I68" i="28"/>
  <c r="J67" i="28"/>
  <c r="K67" i="28" s="1"/>
  <c r="I67" i="28"/>
  <c r="J66" i="28"/>
  <c r="K66" i="28" s="1"/>
  <c r="I66" i="28"/>
  <c r="J65" i="28"/>
  <c r="K65" i="28" s="1"/>
  <c r="I65" i="28"/>
  <c r="J64" i="28"/>
  <c r="K64" i="28" s="1"/>
  <c r="I64" i="28"/>
  <c r="M64" i="28" s="1"/>
  <c r="N64" i="28" s="1"/>
  <c r="A64" i="28" s="1"/>
  <c r="J63" i="28"/>
  <c r="K63" i="28" s="1"/>
  <c r="I63" i="28"/>
  <c r="J62" i="28"/>
  <c r="K62" i="28" s="1"/>
  <c r="I62" i="28"/>
  <c r="J61" i="28"/>
  <c r="K61" i="28" s="1"/>
  <c r="I61" i="28"/>
  <c r="J60" i="28"/>
  <c r="K60" i="28" s="1"/>
  <c r="I60" i="28"/>
  <c r="J59" i="28"/>
  <c r="K59" i="28" s="1"/>
  <c r="I59" i="28"/>
  <c r="J58" i="28"/>
  <c r="K58" i="28" s="1"/>
  <c r="I58" i="28"/>
  <c r="M58" i="28" s="1"/>
  <c r="J57" i="28"/>
  <c r="K57" i="28" s="1"/>
  <c r="I57" i="28"/>
  <c r="J56" i="28"/>
  <c r="K56" i="28" s="1"/>
  <c r="I56" i="28"/>
  <c r="J55" i="28"/>
  <c r="K55" i="28" s="1"/>
  <c r="M55" i="28" s="1"/>
  <c r="I55" i="28"/>
  <c r="J54" i="28"/>
  <c r="K54" i="28" s="1"/>
  <c r="I54" i="28"/>
  <c r="J53" i="28"/>
  <c r="K53" i="28" s="1"/>
  <c r="I53" i="28"/>
  <c r="J52" i="28"/>
  <c r="K52" i="28" s="1"/>
  <c r="I52" i="28"/>
  <c r="J51" i="28"/>
  <c r="K51" i="28" s="1"/>
  <c r="I51" i="28"/>
  <c r="J50" i="28"/>
  <c r="K50" i="28" s="1"/>
  <c r="I50" i="28"/>
  <c r="J49" i="28"/>
  <c r="K49" i="28" s="1"/>
  <c r="I49" i="28"/>
  <c r="J48" i="28"/>
  <c r="K48" i="28" s="1"/>
  <c r="I48" i="28"/>
  <c r="M48" i="28" s="1"/>
  <c r="N48" i="28" s="1"/>
  <c r="A48" i="28" s="1"/>
  <c r="J47" i="28"/>
  <c r="K47" i="28" s="1"/>
  <c r="I47" i="28"/>
  <c r="J46" i="28"/>
  <c r="K46" i="28" s="1"/>
  <c r="I46" i="28"/>
  <c r="J45" i="28"/>
  <c r="K45" i="28" s="1"/>
  <c r="I45" i="28"/>
  <c r="J44" i="28"/>
  <c r="K44" i="28" s="1"/>
  <c r="I44" i="28"/>
  <c r="J43" i="28"/>
  <c r="K43" i="28" s="1"/>
  <c r="I43" i="28"/>
  <c r="J42" i="28"/>
  <c r="K42" i="28" s="1"/>
  <c r="I42" i="28"/>
  <c r="J41" i="28"/>
  <c r="K41" i="28" s="1"/>
  <c r="I41" i="28"/>
  <c r="J40" i="28"/>
  <c r="K40" i="28" s="1"/>
  <c r="I40" i="28"/>
  <c r="J39" i="28"/>
  <c r="K39" i="28" s="1"/>
  <c r="M39" i="28" s="1"/>
  <c r="I39" i="28"/>
  <c r="J38" i="28"/>
  <c r="K38" i="28" s="1"/>
  <c r="I38" i="28"/>
  <c r="J37" i="28"/>
  <c r="K37" i="28" s="1"/>
  <c r="I37" i="28"/>
  <c r="J36" i="28"/>
  <c r="K36" i="28" s="1"/>
  <c r="I36" i="28"/>
  <c r="J35" i="28"/>
  <c r="K35" i="28" s="1"/>
  <c r="I35" i="28"/>
  <c r="J34" i="28"/>
  <c r="K34" i="28" s="1"/>
  <c r="I34" i="28"/>
  <c r="J33" i="28"/>
  <c r="K33" i="28" s="1"/>
  <c r="I33" i="28"/>
  <c r="J32" i="28"/>
  <c r="K32" i="28" s="1"/>
  <c r="I32" i="28"/>
  <c r="J31" i="28"/>
  <c r="K31" i="28" s="1"/>
  <c r="I31" i="28"/>
  <c r="J30" i="28"/>
  <c r="K30" i="28" s="1"/>
  <c r="I30" i="28"/>
  <c r="J29" i="28"/>
  <c r="K29" i="28" s="1"/>
  <c r="I29" i="28"/>
  <c r="J28" i="28"/>
  <c r="K28" i="28" s="1"/>
  <c r="I28" i="28"/>
  <c r="J27" i="28"/>
  <c r="K27" i="28" s="1"/>
  <c r="I27" i="28"/>
  <c r="J26" i="28"/>
  <c r="K26" i="28" s="1"/>
  <c r="I26" i="28"/>
  <c r="M26" i="28" s="1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J21" i="28"/>
  <c r="K21" i="28" s="1"/>
  <c r="I21" i="28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M14" i="28" s="1"/>
  <c r="N14" i="28" s="1"/>
  <c r="A14" i="28" s="1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J7" i="28"/>
  <c r="K7" i="28" s="1"/>
  <c r="I7" i="28"/>
  <c r="J6" i="28"/>
  <c r="K6" i="28" s="1"/>
  <c r="I6" i="28"/>
  <c r="K2" i="28"/>
  <c r="L6" i="28" s="1"/>
  <c r="K305" i="27"/>
  <c r="J305" i="27"/>
  <c r="I305" i="27"/>
  <c r="M305" i="27" s="1"/>
  <c r="K304" i="27"/>
  <c r="J304" i="27"/>
  <c r="I304" i="27"/>
  <c r="M304" i="27" s="1"/>
  <c r="J303" i="27"/>
  <c r="K303" i="27" s="1"/>
  <c r="I303" i="27"/>
  <c r="M303" i="27" s="1"/>
  <c r="J302" i="27"/>
  <c r="K302" i="27" s="1"/>
  <c r="I302" i="27"/>
  <c r="M302" i="27" s="1"/>
  <c r="J301" i="27"/>
  <c r="K301" i="27" s="1"/>
  <c r="I301" i="27"/>
  <c r="M301" i="27" s="1"/>
  <c r="J300" i="27"/>
  <c r="K300" i="27" s="1"/>
  <c r="I300" i="27"/>
  <c r="M300" i="27" s="1"/>
  <c r="K299" i="27"/>
  <c r="J299" i="27"/>
  <c r="I299" i="27"/>
  <c r="M299" i="27" s="1"/>
  <c r="M298" i="27"/>
  <c r="K298" i="27"/>
  <c r="J298" i="27"/>
  <c r="I298" i="27"/>
  <c r="J297" i="27"/>
  <c r="K297" i="27" s="1"/>
  <c r="I297" i="27"/>
  <c r="M297" i="27" s="1"/>
  <c r="J296" i="27"/>
  <c r="K296" i="27" s="1"/>
  <c r="I296" i="27"/>
  <c r="M296" i="27" s="1"/>
  <c r="J295" i="27"/>
  <c r="K295" i="27" s="1"/>
  <c r="I295" i="27"/>
  <c r="M295" i="27" s="1"/>
  <c r="M294" i="27"/>
  <c r="K294" i="27"/>
  <c r="J294" i="27"/>
  <c r="I294" i="27"/>
  <c r="J293" i="27"/>
  <c r="K293" i="27" s="1"/>
  <c r="I293" i="27"/>
  <c r="M293" i="27" s="1"/>
  <c r="J292" i="27"/>
  <c r="K292" i="27" s="1"/>
  <c r="I292" i="27"/>
  <c r="M292" i="27" s="1"/>
  <c r="K291" i="27"/>
  <c r="J291" i="27"/>
  <c r="I291" i="27"/>
  <c r="M291" i="27" s="1"/>
  <c r="M290" i="27"/>
  <c r="K290" i="27"/>
  <c r="J290" i="27"/>
  <c r="I290" i="27"/>
  <c r="K289" i="27"/>
  <c r="J289" i="27"/>
  <c r="I289" i="27"/>
  <c r="M289" i="27" s="1"/>
  <c r="J288" i="27"/>
  <c r="K288" i="27" s="1"/>
  <c r="I288" i="27"/>
  <c r="M288" i="27" s="1"/>
  <c r="J287" i="27"/>
  <c r="K287" i="27" s="1"/>
  <c r="I287" i="27"/>
  <c r="M287" i="27" s="1"/>
  <c r="J286" i="27"/>
  <c r="K286" i="27" s="1"/>
  <c r="I286" i="27"/>
  <c r="M286" i="27" s="1"/>
  <c r="J285" i="27"/>
  <c r="K285" i="27" s="1"/>
  <c r="I285" i="27"/>
  <c r="M285" i="27" s="1"/>
  <c r="J284" i="27"/>
  <c r="K284" i="27" s="1"/>
  <c r="I284" i="27"/>
  <c r="M284" i="27" s="1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K280" i="27"/>
  <c r="J280" i="27"/>
  <c r="I280" i="27"/>
  <c r="M280" i="27" s="1"/>
  <c r="J279" i="27"/>
  <c r="K279" i="27" s="1"/>
  <c r="I279" i="27"/>
  <c r="M279" i="27" s="1"/>
  <c r="J278" i="27"/>
  <c r="K278" i="27" s="1"/>
  <c r="I278" i="27"/>
  <c r="M278" i="27" s="1"/>
  <c r="J277" i="27"/>
  <c r="K277" i="27" s="1"/>
  <c r="I277" i="27"/>
  <c r="M277" i="27" s="1"/>
  <c r="M276" i="27"/>
  <c r="J276" i="27"/>
  <c r="K276" i="27" s="1"/>
  <c r="I276" i="27"/>
  <c r="K275" i="27"/>
  <c r="J275" i="27"/>
  <c r="I275" i="27"/>
  <c r="M275" i="27" s="1"/>
  <c r="K274" i="27"/>
  <c r="J274" i="27"/>
  <c r="I274" i="27"/>
  <c r="M274" i="27" s="1"/>
  <c r="J273" i="27"/>
  <c r="K273" i="27" s="1"/>
  <c r="I273" i="27"/>
  <c r="M273" i="27" s="1"/>
  <c r="J272" i="27"/>
  <c r="K272" i="27" s="1"/>
  <c r="I272" i="27"/>
  <c r="M272" i="27" s="1"/>
  <c r="J271" i="27"/>
  <c r="K271" i="27" s="1"/>
  <c r="I271" i="27"/>
  <c r="M271" i="27" s="1"/>
  <c r="J270" i="27"/>
  <c r="K270" i="27" s="1"/>
  <c r="I270" i="27"/>
  <c r="M270" i="27" s="1"/>
  <c r="J269" i="27"/>
  <c r="K269" i="27" s="1"/>
  <c r="I269" i="27"/>
  <c r="M269" i="27" s="1"/>
  <c r="J268" i="27"/>
  <c r="K268" i="27" s="1"/>
  <c r="I268" i="27"/>
  <c r="M268" i="27" s="1"/>
  <c r="K267" i="27"/>
  <c r="J267" i="27"/>
  <c r="I267" i="27"/>
  <c r="M267" i="27" s="1"/>
  <c r="M266" i="27"/>
  <c r="K266" i="27"/>
  <c r="J266" i="27"/>
  <c r="I266" i="27"/>
  <c r="J265" i="27"/>
  <c r="K265" i="27" s="1"/>
  <c r="I265" i="27"/>
  <c r="M265" i="27" s="1"/>
  <c r="J264" i="27"/>
  <c r="K264" i="27" s="1"/>
  <c r="I264" i="27"/>
  <c r="M264" i="27" s="1"/>
  <c r="J263" i="27"/>
  <c r="K263" i="27" s="1"/>
  <c r="I263" i="27"/>
  <c r="M263" i="27" s="1"/>
  <c r="J262" i="27"/>
  <c r="K262" i="27" s="1"/>
  <c r="I262" i="27"/>
  <c r="M262" i="27" s="1"/>
  <c r="J261" i="27"/>
  <c r="K261" i="27" s="1"/>
  <c r="I261" i="27"/>
  <c r="M261" i="27" s="1"/>
  <c r="M260" i="27"/>
  <c r="J260" i="27"/>
  <c r="K260" i="27" s="1"/>
  <c r="I260" i="27"/>
  <c r="J259" i="27"/>
  <c r="K259" i="27" s="1"/>
  <c r="I259" i="27"/>
  <c r="M259" i="27" s="1"/>
  <c r="J258" i="27"/>
  <c r="K258" i="27" s="1"/>
  <c r="I258" i="27"/>
  <c r="M258" i="27" s="1"/>
  <c r="J257" i="27"/>
  <c r="K257" i="27" s="1"/>
  <c r="I257" i="27"/>
  <c r="M257" i="27" s="1"/>
  <c r="M256" i="27"/>
  <c r="J256" i="27"/>
  <c r="K256" i="27" s="1"/>
  <c r="I256" i="27"/>
  <c r="J255" i="27"/>
  <c r="K255" i="27" s="1"/>
  <c r="I255" i="27"/>
  <c r="M255" i="27" s="1"/>
  <c r="J254" i="27"/>
  <c r="K254" i="27" s="1"/>
  <c r="I254" i="27"/>
  <c r="M254" i="27" s="1"/>
  <c r="J253" i="27"/>
  <c r="K253" i="27" s="1"/>
  <c r="I253" i="27"/>
  <c r="M253" i="27" s="1"/>
  <c r="J252" i="27"/>
  <c r="K252" i="27" s="1"/>
  <c r="I252" i="27"/>
  <c r="M252" i="27" s="1"/>
  <c r="K251" i="27"/>
  <c r="J251" i="27"/>
  <c r="I251" i="27"/>
  <c r="M251" i="27" s="1"/>
  <c r="K250" i="27"/>
  <c r="J250" i="27"/>
  <c r="I250" i="27"/>
  <c r="M250" i="27" s="1"/>
  <c r="J249" i="27"/>
  <c r="K249" i="27" s="1"/>
  <c r="I249" i="27"/>
  <c r="M249" i="27" s="1"/>
  <c r="J248" i="27"/>
  <c r="K248" i="27" s="1"/>
  <c r="I248" i="27"/>
  <c r="M248" i="27" s="1"/>
  <c r="J247" i="27"/>
  <c r="K247" i="27" s="1"/>
  <c r="I247" i="27"/>
  <c r="M247" i="27" s="1"/>
  <c r="J246" i="27"/>
  <c r="K246" i="27" s="1"/>
  <c r="I246" i="27"/>
  <c r="M246" i="27" s="1"/>
  <c r="J245" i="27"/>
  <c r="K245" i="27" s="1"/>
  <c r="I245" i="27"/>
  <c r="M245" i="27" s="1"/>
  <c r="J244" i="27"/>
  <c r="K244" i="27" s="1"/>
  <c r="I244" i="27"/>
  <c r="M244" i="27" s="1"/>
  <c r="K243" i="27"/>
  <c r="J243" i="27"/>
  <c r="I243" i="27"/>
  <c r="M243" i="27" s="1"/>
  <c r="J242" i="27"/>
  <c r="K242" i="27" s="1"/>
  <c r="I242" i="27"/>
  <c r="M242" i="27" s="1"/>
  <c r="K241" i="27"/>
  <c r="J241" i="27"/>
  <c r="I241" i="27"/>
  <c r="M241" i="27" s="1"/>
  <c r="M240" i="27"/>
  <c r="J240" i="27"/>
  <c r="K240" i="27" s="1"/>
  <c r="I240" i="27"/>
  <c r="J239" i="27"/>
  <c r="K239" i="27" s="1"/>
  <c r="I239" i="27"/>
  <c r="M239" i="27" s="1"/>
  <c r="J238" i="27"/>
  <c r="K238" i="27" s="1"/>
  <c r="I238" i="27"/>
  <c r="M238" i="27" s="1"/>
  <c r="J237" i="27"/>
  <c r="K237" i="27" s="1"/>
  <c r="I237" i="27"/>
  <c r="M237" i="27" s="1"/>
  <c r="J236" i="27"/>
  <c r="K236" i="27" s="1"/>
  <c r="I236" i="27"/>
  <c r="M236" i="27" s="1"/>
  <c r="J235" i="27"/>
  <c r="K235" i="27" s="1"/>
  <c r="I235" i="27"/>
  <c r="M235" i="27" s="1"/>
  <c r="J234" i="27"/>
  <c r="K234" i="27" s="1"/>
  <c r="I234" i="27"/>
  <c r="M234" i="27" s="1"/>
  <c r="J233" i="27"/>
  <c r="K233" i="27" s="1"/>
  <c r="I233" i="27"/>
  <c r="M233" i="27" s="1"/>
  <c r="M232" i="27"/>
  <c r="K232" i="27"/>
  <c r="J232" i="27"/>
  <c r="I232" i="27"/>
  <c r="J231" i="27"/>
  <c r="K231" i="27" s="1"/>
  <c r="I231" i="27"/>
  <c r="M231" i="27" s="1"/>
  <c r="J230" i="27"/>
  <c r="K230" i="27" s="1"/>
  <c r="I230" i="27"/>
  <c r="M230" i="27" s="1"/>
  <c r="J229" i="27"/>
  <c r="K229" i="27" s="1"/>
  <c r="I229" i="27"/>
  <c r="M229" i="27" s="1"/>
  <c r="J228" i="27"/>
  <c r="K228" i="27" s="1"/>
  <c r="I228" i="27"/>
  <c r="M228" i="27" s="1"/>
  <c r="K227" i="27"/>
  <c r="J227" i="27"/>
  <c r="I227" i="27"/>
  <c r="M227" i="27" s="1"/>
  <c r="M226" i="27"/>
  <c r="K226" i="27"/>
  <c r="J226" i="27"/>
  <c r="I226" i="27"/>
  <c r="K225" i="27"/>
  <c r="J225" i="27"/>
  <c r="I225" i="27"/>
  <c r="M225" i="27" s="1"/>
  <c r="J224" i="27"/>
  <c r="K224" i="27" s="1"/>
  <c r="I224" i="27"/>
  <c r="M224" i="27" s="1"/>
  <c r="J223" i="27"/>
  <c r="K223" i="27" s="1"/>
  <c r="I223" i="27"/>
  <c r="M223" i="27" s="1"/>
  <c r="J222" i="27"/>
  <c r="K222" i="27" s="1"/>
  <c r="I222" i="27"/>
  <c r="M222" i="27" s="1"/>
  <c r="J221" i="27"/>
  <c r="K221" i="27" s="1"/>
  <c r="I221" i="27"/>
  <c r="M221" i="27" s="1"/>
  <c r="J220" i="27"/>
  <c r="K220" i="27" s="1"/>
  <c r="I220" i="27"/>
  <c r="M220" i="27" s="1"/>
  <c r="K219" i="27"/>
  <c r="J219" i="27"/>
  <c r="I219" i="27"/>
  <c r="M219" i="27" s="1"/>
  <c r="J218" i="27"/>
  <c r="K218" i="27" s="1"/>
  <c r="I218" i="27"/>
  <c r="M218" i="27" s="1"/>
  <c r="J217" i="27"/>
  <c r="K217" i="27" s="1"/>
  <c r="I217" i="27"/>
  <c r="M217" i="27" s="1"/>
  <c r="K216" i="27"/>
  <c r="J216" i="27"/>
  <c r="I216" i="27"/>
  <c r="M216" i="27" s="1"/>
  <c r="J215" i="27"/>
  <c r="K215" i="27" s="1"/>
  <c r="I215" i="27"/>
  <c r="M215" i="27" s="1"/>
  <c r="J214" i="27"/>
  <c r="K214" i="27" s="1"/>
  <c r="I214" i="27"/>
  <c r="M214" i="27" s="1"/>
  <c r="J213" i="27"/>
  <c r="K213" i="27" s="1"/>
  <c r="I213" i="27"/>
  <c r="M213" i="27" s="1"/>
  <c r="M212" i="27"/>
  <c r="J212" i="27"/>
  <c r="K212" i="27" s="1"/>
  <c r="I212" i="27"/>
  <c r="K211" i="27"/>
  <c r="J211" i="27"/>
  <c r="I211" i="27"/>
  <c r="M211" i="27" s="1"/>
  <c r="K210" i="27"/>
  <c r="J210" i="27"/>
  <c r="I210" i="27"/>
  <c r="M210" i="27" s="1"/>
  <c r="J209" i="27"/>
  <c r="K209" i="27" s="1"/>
  <c r="I209" i="27"/>
  <c r="M209" i="27" s="1"/>
  <c r="J208" i="27"/>
  <c r="K208" i="27" s="1"/>
  <c r="I208" i="27"/>
  <c r="M208" i="27" s="1"/>
  <c r="J207" i="27"/>
  <c r="K207" i="27" s="1"/>
  <c r="I207" i="27"/>
  <c r="M207" i="27" s="1"/>
  <c r="J206" i="27"/>
  <c r="K206" i="27" s="1"/>
  <c r="I206" i="27"/>
  <c r="M206" i="27" s="1"/>
  <c r="J205" i="27"/>
  <c r="K205" i="27" s="1"/>
  <c r="I205" i="27"/>
  <c r="M205" i="27" s="1"/>
  <c r="J204" i="27"/>
  <c r="K204" i="27" s="1"/>
  <c r="I204" i="27"/>
  <c r="M204" i="27" s="1"/>
  <c r="K203" i="27"/>
  <c r="J203" i="27"/>
  <c r="I203" i="27"/>
  <c r="M203" i="27" s="1"/>
  <c r="M202" i="27"/>
  <c r="K202" i="27"/>
  <c r="J202" i="27"/>
  <c r="I202" i="27"/>
  <c r="J201" i="27"/>
  <c r="K201" i="27" s="1"/>
  <c r="I201" i="27"/>
  <c r="M201" i="27" s="1"/>
  <c r="J200" i="27"/>
  <c r="K200" i="27" s="1"/>
  <c r="I200" i="27"/>
  <c r="M200" i="27" s="1"/>
  <c r="J199" i="27"/>
  <c r="K199" i="27" s="1"/>
  <c r="I199" i="27"/>
  <c r="M199" i="27" s="1"/>
  <c r="J198" i="27"/>
  <c r="K198" i="27" s="1"/>
  <c r="I198" i="27"/>
  <c r="M198" i="27" s="1"/>
  <c r="M197" i="27"/>
  <c r="J197" i="27"/>
  <c r="K197" i="27" s="1"/>
  <c r="I197" i="27"/>
  <c r="M196" i="27"/>
  <c r="K196" i="27"/>
  <c r="J196" i="27"/>
  <c r="I196" i="27"/>
  <c r="M195" i="27"/>
  <c r="J195" i="27"/>
  <c r="K195" i="27" s="1"/>
  <c r="I195" i="27"/>
  <c r="M194" i="27"/>
  <c r="K194" i="27"/>
  <c r="J194" i="27"/>
  <c r="I194" i="27"/>
  <c r="J193" i="27"/>
  <c r="K193" i="27" s="1"/>
  <c r="I193" i="27"/>
  <c r="M193" i="27" s="1"/>
  <c r="J192" i="27"/>
  <c r="K192" i="27" s="1"/>
  <c r="I192" i="27"/>
  <c r="M192" i="27" s="1"/>
  <c r="J191" i="27"/>
  <c r="K191" i="27" s="1"/>
  <c r="I191" i="27"/>
  <c r="M191" i="27" s="1"/>
  <c r="K190" i="27"/>
  <c r="J190" i="27"/>
  <c r="I190" i="27"/>
  <c r="M190" i="27" s="1"/>
  <c r="J189" i="27"/>
  <c r="K189" i="27" s="1"/>
  <c r="I189" i="27"/>
  <c r="M189" i="27" s="1"/>
  <c r="M188" i="27"/>
  <c r="K188" i="27"/>
  <c r="J188" i="27"/>
  <c r="I188" i="27"/>
  <c r="J187" i="27"/>
  <c r="K187" i="27" s="1"/>
  <c r="I187" i="27"/>
  <c r="M187" i="27" s="1"/>
  <c r="J186" i="27"/>
  <c r="K186" i="27" s="1"/>
  <c r="I186" i="27"/>
  <c r="M186" i="27" s="1"/>
  <c r="J185" i="27"/>
  <c r="K185" i="27" s="1"/>
  <c r="I185" i="27"/>
  <c r="M185" i="27" s="1"/>
  <c r="J184" i="27"/>
  <c r="K184" i="27" s="1"/>
  <c r="I184" i="27"/>
  <c r="M184" i="27" s="1"/>
  <c r="J183" i="27"/>
  <c r="K183" i="27" s="1"/>
  <c r="I183" i="27"/>
  <c r="M183" i="27" s="1"/>
  <c r="J182" i="27"/>
  <c r="K182" i="27" s="1"/>
  <c r="I182" i="27"/>
  <c r="M182" i="27" s="1"/>
  <c r="J181" i="27"/>
  <c r="K181" i="27" s="1"/>
  <c r="I181" i="27"/>
  <c r="M181" i="27" s="1"/>
  <c r="J180" i="27"/>
  <c r="K180" i="27" s="1"/>
  <c r="I180" i="27"/>
  <c r="M180" i="27" s="1"/>
  <c r="J179" i="27"/>
  <c r="K179" i="27" s="1"/>
  <c r="I179" i="27"/>
  <c r="M179" i="27" s="1"/>
  <c r="J178" i="27"/>
  <c r="K178" i="27" s="1"/>
  <c r="I178" i="27"/>
  <c r="M178" i="27" s="1"/>
  <c r="J177" i="27"/>
  <c r="K177" i="27" s="1"/>
  <c r="I177" i="27"/>
  <c r="M177" i="27" s="1"/>
  <c r="J176" i="27"/>
  <c r="K176" i="27" s="1"/>
  <c r="I176" i="27"/>
  <c r="M176" i="27" s="1"/>
  <c r="J175" i="27"/>
  <c r="K175" i="27" s="1"/>
  <c r="I175" i="27"/>
  <c r="M175" i="27" s="1"/>
  <c r="J174" i="27"/>
  <c r="K174" i="27" s="1"/>
  <c r="I174" i="27"/>
  <c r="M174" i="27" s="1"/>
  <c r="J173" i="27"/>
  <c r="K173" i="27" s="1"/>
  <c r="I173" i="27"/>
  <c r="M173" i="27" s="1"/>
  <c r="J172" i="27"/>
  <c r="K172" i="27" s="1"/>
  <c r="I172" i="27"/>
  <c r="M172" i="27" s="1"/>
  <c r="J171" i="27"/>
  <c r="K171" i="27" s="1"/>
  <c r="I171" i="27"/>
  <c r="M171" i="27" s="1"/>
  <c r="J170" i="27"/>
  <c r="K170" i="27" s="1"/>
  <c r="I170" i="27"/>
  <c r="M170" i="27" s="1"/>
  <c r="J169" i="27"/>
  <c r="K169" i="27" s="1"/>
  <c r="I169" i="27"/>
  <c r="M169" i="27" s="1"/>
  <c r="J168" i="27"/>
  <c r="K168" i="27" s="1"/>
  <c r="I168" i="27"/>
  <c r="M168" i="27" s="1"/>
  <c r="J167" i="27"/>
  <c r="K167" i="27" s="1"/>
  <c r="I167" i="27"/>
  <c r="M167" i="27" s="1"/>
  <c r="J166" i="27"/>
  <c r="K166" i="27" s="1"/>
  <c r="I166" i="27"/>
  <c r="M166" i="27" s="1"/>
  <c r="J165" i="27"/>
  <c r="K165" i="27" s="1"/>
  <c r="I165" i="27"/>
  <c r="M165" i="27" s="1"/>
  <c r="J164" i="27"/>
  <c r="K164" i="27" s="1"/>
  <c r="I164" i="27"/>
  <c r="M164" i="27" s="1"/>
  <c r="J163" i="27"/>
  <c r="K163" i="27" s="1"/>
  <c r="I163" i="27"/>
  <c r="M163" i="27" s="1"/>
  <c r="J162" i="27"/>
  <c r="K162" i="27" s="1"/>
  <c r="I162" i="27"/>
  <c r="M162" i="27" s="1"/>
  <c r="J161" i="27"/>
  <c r="K161" i="27" s="1"/>
  <c r="I161" i="27"/>
  <c r="M161" i="27" s="1"/>
  <c r="J160" i="27"/>
  <c r="K160" i="27" s="1"/>
  <c r="I160" i="27"/>
  <c r="M160" i="27" s="1"/>
  <c r="J159" i="27"/>
  <c r="K159" i="27" s="1"/>
  <c r="I159" i="27"/>
  <c r="M159" i="27" s="1"/>
  <c r="J158" i="27"/>
  <c r="K158" i="27" s="1"/>
  <c r="I158" i="27"/>
  <c r="M158" i="27" s="1"/>
  <c r="J157" i="27"/>
  <c r="K157" i="27" s="1"/>
  <c r="I157" i="27"/>
  <c r="M157" i="27" s="1"/>
  <c r="J156" i="27"/>
  <c r="K156" i="27" s="1"/>
  <c r="I156" i="27"/>
  <c r="M156" i="27" s="1"/>
  <c r="J155" i="27"/>
  <c r="K155" i="27" s="1"/>
  <c r="I155" i="27"/>
  <c r="M155" i="27" s="1"/>
  <c r="J154" i="27"/>
  <c r="K154" i="27" s="1"/>
  <c r="I154" i="27"/>
  <c r="M154" i="27" s="1"/>
  <c r="J153" i="27"/>
  <c r="K153" i="27" s="1"/>
  <c r="I153" i="27"/>
  <c r="M153" i="27" s="1"/>
  <c r="J152" i="27"/>
  <c r="K152" i="27" s="1"/>
  <c r="I152" i="27"/>
  <c r="M152" i="27" s="1"/>
  <c r="J151" i="27"/>
  <c r="K151" i="27" s="1"/>
  <c r="I151" i="27"/>
  <c r="M151" i="27" s="1"/>
  <c r="J150" i="27"/>
  <c r="K150" i="27" s="1"/>
  <c r="I150" i="27"/>
  <c r="M150" i="27" s="1"/>
  <c r="J149" i="27"/>
  <c r="K149" i="27" s="1"/>
  <c r="I149" i="27"/>
  <c r="M149" i="27" s="1"/>
  <c r="J148" i="27"/>
  <c r="K148" i="27" s="1"/>
  <c r="I148" i="27"/>
  <c r="M148" i="27" s="1"/>
  <c r="J147" i="27"/>
  <c r="K147" i="27" s="1"/>
  <c r="I147" i="27"/>
  <c r="M147" i="27" s="1"/>
  <c r="J146" i="27"/>
  <c r="K146" i="27" s="1"/>
  <c r="I146" i="27"/>
  <c r="M146" i="27" s="1"/>
  <c r="J145" i="27"/>
  <c r="K145" i="27" s="1"/>
  <c r="I145" i="27"/>
  <c r="M145" i="27" s="1"/>
  <c r="J144" i="27"/>
  <c r="K144" i="27" s="1"/>
  <c r="I144" i="27"/>
  <c r="M144" i="27" s="1"/>
  <c r="J143" i="27"/>
  <c r="K143" i="27" s="1"/>
  <c r="I143" i="27"/>
  <c r="M143" i="27" s="1"/>
  <c r="J142" i="27"/>
  <c r="K142" i="27" s="1"/>
  <c r="I142" i="27"/>
  <c r="M142" i="27" s="1"/>
  <c r="J141" i="27"/>
  <c r="K141" i="27" s="1"/>
  <c r="I141" i="27"/>
  <c r="M141" i="27" s="1"/>
  <c r="J140" i="27"/>
  <c r="K140" i="27" s="1"/>
  <c r="I140" i="27"/>
  <c r="M140" i="27" s="1"/>
  <c r="J139" i="27"/>
  <c r="K139" i="27" s="1"/>
  <c r="I139" i="27"/>
  <c r="M139" i="27" s="1"/>
  <c r="J138" i="27"/>
  <c r="K138" i="27" s="1"/>
  <c r="I138" i="27"/>
  <c r="M138" i="27" s="1"/>
  <c r="J137" i="27"/>
  <c r="K137" i="27" s="1"/>
  <c r="I137" i="27"/>
  <c r="M137" i="27" s="1"/>
  <c r="J136" i="27"/>
  <c r="K136" i="27" s="1"/>
  <c r="I136" i="27"/>
  <c r="M136" i="27" s="1"/>
  <c r="J135" i="27"/>
  <c r="K135" i="27" s="1"/>
  <c r="I135" i="27"/>
  <c r="M135" i="27" s="1"/>
  <c r="J134" i="27"/>
  <c r="K134" i="27" s="1"/>
  <c r="I134" i="27"/>
  <c r="M134" i="27" s="1"/>
  <c r="J133" i="27"/>
  <c r="K133" i="27" s="1"/>
  <c r="I133" i="27"/>
  <c r="M133" i="27" s="1"/>
  <c r="J132" i="27"/>
  <c r="K132" i="27" s="1"/>
  <c r="I132" i="27"/>
  <c r="M132" i="27" s="1"/>
  <c r="J131" i="27"/>
  <c r="K131" i="27" s="1"/>
  <c r="I131" i="27"/>
  <c r="M131" i="27" s="1"/>
  <c r="J130" i="27"/>
  <c r="K130" i="27" s="1"/>
  <c r="I130" i="27"/>
  <c r="M130" i="27" s="1"/>
  <c r="J129" i="27"/>
  <c r="K129" i="27" s="1"/>
  <c r="I129" i="27"/>
  <c r="M129" i="27" s="1"/>
  <c r="J128" i="27"/>
  <c r="K128" i="27" s="1"/>
  <c r="I128" i="27"/>
  <c r="M128" i="27" s="1"/>
  <c r="J127" i="27"/>
  <c r="K127" i="27" s="1"/>
  <c r="I127" i="27"/>
  <c r="M127" i="27" s="1"/>
  <c r="J126" i="27"/>
  <c r="K126" i="27" s="1"/>
  <c r="I126" i="27"/>
  <c r="M126" i="27" s="1"/>
  <c r="J125" i="27"/>
  <c r="K125" i="27" s="1"/>
  <c r="I125" i="27"/>
  <c r="M125" i="27" s="1"/>
  <c r="J124" i="27"/>
  <c r="K124" i="27" s="1"/>
  <c r="I124" i="27"/>
  <c r="M124" i="27" s="1"/>
  <c r="J123" i="27"/>
  <c r="K123" i="27" s="1"/>
  <c r="I123" i="27"/>
  <c r="M123" i="27" s="1"/>
  <c r="J122" i="27"/>
  <c r="K122" i="27" s="1"/>
  <c r="I122" i="27"/>
  <c r="M122" i="27" s="1"/>
  <c r="J121" i="27"/>
  <c r="K121" i="27" s="1"/>
  <c r="I121" i="27"/>
  <c r="M121" i="27" s="1"/>
  <c r="J120" i="27"/>
  <c r="K120" i="27" s="1"/>
  <c r="I120" i="27"/>
  <c r="M120" i="27" s="1"/>
  <c r="J119" i="27"/>
  <c r="K119" i="27" s="1"/>
  <c r="I119" i="27"/>
  <c r="M119" i="27" s="1"/>
  <c r="J118" i="27"/>
  <c r="K118" i="27" s="1"/>
  <c r="I118" i="27"/>
  <c r="M118" i="27" s="1"/>
  <c r="J117" i="27"/>
  <c r="K117" i="27" s="1"/>
  <c r="I117" i="27"/>
  <c r="M117" i="27" s="1"/>
  <c r="J116" i="27"/>
  <c r="K116" i="27" s="1"/>
  <c r="I116" i="27"/>
  <c r="M116" i="27" s="1"/>
  <c r="J115" i="27"/>
  <c r="K115" i="27" s="1"/>
  <c r="I115" i="27"/>
  <c r="M115" i="27" s="1"/>
  <c r="J114" i="27"/>
  <c r="K114" i="27" s="1"/>
  <c r="I114" i="27"/>
  <c r="M114" i="27" s="1"/>
  <c r="J113" i="27"/>
  <c r="K113" i="27" s="1"/>
  <c r="I113" i="27"/>
  <c r="M113" i="27" s="1"/>
  <c r="J112" i="27"/>
  <c r="K112" i="27" s="1"/>
  <c r="I112" i="27"/>
  <c r="M112" i="27" s="1"/>
  <c r="J111" i="27"/>
  <c r="K111" i="27" s="1"/>
  <c r="I111" i="27"/>
  <c r="M111" i="27" s="1"/>
  <c r="J110" i="27"/>
  <c r="K110" i="27" s="1"/>
  <c r="I110" i="27"/>
  <c r="M110" i="27" s="1"/>
  <c r="J109" i="27"/>
  <c r="K109" i="27" s="1"/>
  <c r="I109" i="27"/>
  <c r="M109" i="27" s="1"/>
  <c r="J108" i="27"/>
  <c r="K108" i="27" s="1"/>
  <c r="I108" i="27"/>
  <c r="M108" i="27" s="1"/>
  <c r="J107" i="27"/>
  <c r="K107" i="27" s="1"/>
  <c r="I107" i="27"/>
  <c r="M107" i="27" s="1"/>
  <c r="J106" i="27"/>
  <c r="K106" i="27" s="1"/>
  <c r="I106" i="27"/>
  <c r="M106" i="27" s="1"/>
  <c r="J105" i="27"/>
  <c r="K105" i="27" s="1"/>
  <c r="I105" i="27"/>
  <c r="M105" i="27" s="1"/>
  <c r="J104" i="27"/>
  <c r="K104" i="27" s="1"/>
  <c r="I104" i="27"/>
  <c r="M104" i="27" s="1"/>
  <c r="J103" i="27"/>
  <c r="K103" i="27" s="1"/>
  <c r="I103" i="27"/>
  <c r="M103" i="27" s="1"/>
  <c r="J102" i="27"/>
  <c r="K102" i="27" s="1"/>
  <c r="I102" i="27"/>
  <c r="M102" i="27" s="1"/>
  <c r="J101" i="27"/>
  <c r="K101" i="27" s="1"/>
  <c r="I101" i="27"/>
  <c r="M101" i="27" s="1"/>
  <c r="J100" i="27"/>
  <c r="K100" i="27" s="1"/>
  <c r="I100" i="27"/>
  <c r="M100" i="27" s="1"/>
  <c r="J99" i="27"/>
  <c r="K99" i="27" s="1"/>
  <c r="I99" i="27"/>
  <c r="M99" i="27" s="1"/>
  <c r="J98" i="27"/>
  <c r="K98" i="27" s="1"/>
  <c r="I98" i="27"/>
  <c r="M98" i="27" s="1"/>
  <c r="J97" i="27"/>
  <c r="K97" i="27" s="1"/>
  <c r="I97" i="27"/>
  <c r="M97" i="27" s="1"/>
  <c r="J96" i="27"/>
  <c r="K96" i="27" s="1"/>
  <c r="I96" i="27"/>
  <c r="M96" i="27" s="1"/>
  <c r="J95" i="27"/>
  <c r="K95" i="27" s="1"/>
  <c r="I95" i="27"/>
  <c r="M95" i="27" s="1"/>
  <c r="J94" i="27"/>
  <c r="K94" i="27" s="1"/>
  <c r="I94" i="27"/>
  <c r="M94" i="27" s="1"/>
  <c r="J93" i="27"/>
  <c r="K93" i="27" s="1"/>
  <c r="I93" i="27"/>
  <c r="M93" i="27" s="1"/>
  <c r="J92" i="27"/>
  <c r="K92" i="27" s="1"/>
  <c r="I92" i="27"/>
  <c r="M92" i="27" s="1"/>
  <c r="J91" i="27"/>
  <c r="K91" i="27" s="1"/>
  <c r="I91" i="27"/>
  <c r="M91" i="27" s="1"/>
  <c r="J90" i="27"/>
  <c r="K90" i="27" s="1"/>
  <c r="I90" i="27"/>
  <c r="M90" i="27" s="1"/>
  <c r="J89" i="27"/>
  <c r="K89" i="27" s="1"/>
  <c r="I89" i="27"/>
  <c r="M89" i="27" s="1"/>
  <c r="J88" i="27"/>
  <c r="K88" i="27" s="1"/>
  <c r="I88" i="27"/>
  <c r="M88" i="27" s="1"/>
  <c r="J87" i="27"/>
  <c r="K87" i="27" s="1"/>
  <c r="I87" i="27"/>
  <c r="M87" i="27" s="1"/>
  <c r="J86" i="27"/>
  <c r="K86" i="27" s="1"/>
  <c r="I86" i="27"/>
  <c r="M86" i="27" s="1"/>
  <c r="J85" i="27"/>
  <c r="K85" i="27" s="1"/>
  <c r="I85" i="27"/>
  <c r="M85" i="27" s="1"/>
  <c r="J84" i="27"/>
  <c r="K84" i="27" s="1"/>
  <c r="I84" i="27"/>
  <c r="M84" i="27" s="1"/>
  <c r="J83" i="27"/>
  <c r="K83" i="27" s="1"/>
  <c r="I83" i="27"/>
  <c r="M83" i="27" s="1"/>
  <c r="J82" i="27"/>
  <c r="K82" i="27" s="1"/>
  <c r="I82" i="27"/>
  <c r="M82" i="27" s="1"/>
  <c r="J81" i="27"/>
  <c r="K81" i="27" s="1"/>
  <c r="I81" i="27"/>
  <c r="M81" i="27" s="1"/>
  <c r="J80" i="27"/>
  <c r="K80" i="27" s="1"/>
  <c r="I80" i="27"/>
  <c r="M80" i="27" s="1"/>
  <c r="J79" i="27"/>
  <c r="K79" i="27" s="1"/>
  <c r="I79" i="27"/>
  <c r="M79" i="27" s="1"/>
  <c r="A79" i="27" s="1"/>
  <c r="M78" i="27"/>
  <c r="A78" i="27" s="1"/>
  <c r="K78" i="27"/>
  <c r="J78" i="27"/>
  <c r="I78" i="27"/>
  <c r="M77" i="27"/>
  <c r="A77" i="27" s="1"/>
  <c r="K77" i="27"/>
  <c r="J77" i="27"/>
  <c r="I77" i="27"/>
  <c r="J76" i="27"/>
  <c r="K76" i="27" s="1"/>
  <c r="I76" i="27"/>
  <c r="M76" i="27" s="1"/>
  <c r="A76" i="27" s="1"/>
  <c r="K75" i="27"/>
  <c r="J75" i="27"/>
  <c r="I75" i="27"/>
  <c r="M75" i="27" s="1"/>
  <c r="A75" i="27" s="1"/>
  <c r="K74" i="27"/>
  <c r="J74" i="27"/>
  <c r="I74" i="27"/>
  <c r="M74" i="27" s="1"/>
  <c r="A74" i="27" s="1"/>
  <c r="J73" i="27"/>
  <c r="K73" i="27" s="1"/>
  <c r="I73" i="27"/>
  <c r="M73" i="27" s="1"/>
  <c r="A73" i="27" s="1"/>
  <c r="J72" i="27"/>
  <c r="K72" i="27" s="1"/>
  <c r="I72" i="27"/>
  <c r="M72" i="27" s="1"/>
  <c r="A72" i="27" s="1"/>
  <c r="J71" i="27"/>
  <c r="K71" i="27" s="1"/>
  <c r="I71" i="27"/>
  <c r="M71" i="27" s="1"/>
  <c r="A71" i="27" s="1"/>
  <c r="K70" i="27"/>
  <c r="J70" i="27"/>
  <c r="I70" i="27"/>
  <c r="M70" i="27" s="1"/>
  <c r="A70" i="27" s="1"/>
  <c r="K69" i="27"/>
  <c r="J69" i="27"/>
  <c r="I69" i="27"/>
  <c r="M69" i="27" s="1"/>
  <c r="A69" i="27" s="1"/>
  <c r="J68" i="27"/>
  <c r="K68" i="27" s="1"/>
  <c r="I68" i="27"/>
  <c r="M68" i="27" s="1"/>
  <c r="A68" i="27" s="1"/>
  <c r="K67" i="27"/>
  <c r="J67" i="27"/>
  <c r="I67" i="27"/>
  <c r="M67" i="27" s="1"/>
  <c r="A67" i="27" s="1"/>
  <c r="M66" i="27"/>
  <c r="K66" i="27"/>
  <c r="J66" i="27"/>
  <c r="I66" i="27"/>
  <c r="A66" i="27"/>
  <c r="K65" i="27"/>
  <c r="J65" i="27"/>
  <c r="I65" i="27"/>
  <c r="M65" i="27" s="1"/>
  <c r="A65" i="27" s="1"/>
  <c r="B65" i="27"/>
  <c r="K64" i="27"/>
  <c r="J64" i="27"/>
  <c r="I64" i="27"/>
  <c r="M64" i="27" s="1"/>
  <c r="A64" i="27" s="1"/>
  <c r="B64" i="27"/>
  <c r="J63" i="27"/>
  <c r="K63" i="27" s="1"/>
  <c r="I63" i="27"/>
  <c r="M63" i="27" s="1"/>
  <c r="A63" i="27" s="1"/>
  <c r="B63" i="27"/>
  <c r="J62" i="27"/>
  <c r="K62" i="27" s="1"/>
  <c r="I62" i="27"/>
  <c r="M62" i="27" s="1"/>
  <c r="A62" i="27" s="1"/>
  <c r="B62" i="27"/>
  <c r="J61" i="27"/>
  <c r="K61" i="27" s="1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J58" i="27"/>
  <c r="K58" i="27" s="1"/>
  <c r="I58" i="27"/>
  <c r="M58" i="27" s="1"/>
  <c r="A58" i="27" s="1"/>
  <c r="B58" i="27"/>
  <c r="K57" i="27"/>
  <c r="J57" i="27"/>
  <c r="I57" i="27"/>
  <c r="M57" i="27" s="1"/>
  <c r="A57" i="27" s="1"/>
  <c r="B57" i="27"/>
  <c r="K56" i="27"/>
  <c r="J56" i="27"/>
  <c r="I56" i="27"/>
  <c r="M56" i="27" s="1"/>
  <c r="A56" i="27" s="1"/>
  <c r="B56" i="27"/>
  <c r="M55" i="27"/>
  <c r="A55" i="27" s="1"/>
  <c r="J55" i="27"/>
  <c r="K55" i="27" s="1"/>
  <c r="I55" i="27"/>
  <c r="B55" i="27"/>
  <c r="M54" i="27"/>
  <c r="A54" i="27" s="1"/>
  <c r="J54" i="27"/>
  <c r="K54" i="27" s="1"/>
  <c r="I54" i="27"/>
  <c r="B54" i="27"/>
  <c r="K53" i="27"/>
  <c r="J53" i="27"/>
  <c r="I53" i="27"/>
  <c r="M53" i="27" s="1"/>
  <c r="A53" i="27" s="1"/>
  <c r="B53" i="27"/>
  <c r="K52" i="27"/>
  <c r="J52" i="27"/>
  <c r="I52" i="27"/>
  <c r="M52" i="27" s="1"/>
  <c r="A52" i="27" s="1"/>
  <c r="B52" i="27"/>
  <c r="K51" i="27"/>
  <c r="J51" i="27"/>
  <c r="I51" i="27"/>
  <c r="M51" i="27" s="1"/>
  <c r="B51" i="27"/>
  <c r="A51" i="27"/>
  <c r="K50" i="27"/>
  <c r="J50" i="27"/>
  <c r="I50" i="27"/>
  <c r="M50" i="27" s="1"/>
  <c r="A50" i="27" s="1"/>
  <c r="B50" i="27"/>
  <c r="J49" i="27"/>
  <c r="K49" i="27" s="1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A47" i="27" s="1"/>
  <c r="B47" i="27"/>
  <c r="T46" i="27"/>
  <c r="R46" i="27"/>
  <c r="M46" i="27"/>
  <c r="A46" i="27" s="1"/>
  <c r="J46" i="27"/>
  <c r="K46" i="27" s="1"/>
  <c r="I46" i="27"/>
  <c r="B46" i="27"/>
  <c r="M45" i="27"/>
  <c r="A45" i="27" s="1"/>
  <c r="J45" i="27"/>
  <c r="K45" i="27" s="1"/>
  <c r="I45" i="27"/>
  <c r="B45" i="27"/>
  <c r="M44" i="27"/>
  <c r="A44" i="27" s="1"/>
  <c r="J44" i="27"/>
  <c r="K44" i="27" s="1"/>
  <c r="I44" i="27"/>
  <c r="B44" i="27"/>
  <c r="M43" i="27"/>
  <c r="A43" i="27" s="1"/>
  <c r="J43" i="27"/>
  <c r="K43" i="27" s="1"/>
  <c r="I43" i="27"/>
  <c r="B43" i="27"/>
  <c r="M42" i="27"/>
  <c r="A42" i="27" s="1"/>
  <c r="J42" i="27"/>
  <c r="K42" i="27" s="1"/>
  <c r="I42" i="27"/>
  <c r="B42" i="27"/>
  <c r="M41" i="27"/>
  <c r="A41" i="27" s="1"/>
  <c r="J41" i="27"/>
  <c r="K41" i="27" s="1"/>
  <c r="I41" i="27"/>
  <c r="B41" i="27"/>
  <c r="M40" i="27"/>
  <c r="A40" i="27" s="1"/>
  <c r="J40" i="27"/>
  <c r="K40" i="27" s="1"/>
  <c r="I40" i="27"/>
  <c r="B40" i="27"/>
  <c r="M39" i="27"/>
  <c r="A39" i="27" s="1"/>
  <c r="J39" i="27"/>
  <c r="K39" i="27" s="1"/>
  <c r="I39" i="27"/>
  <c r="B39" i="27"/>
  <c r="M38" i="27"/>
  <c r="A38" i="27" s="1"/>
  <c r="J38" i="27"/>
  <c r="K38" i="27" s="1"/>
  <c r="I38" i="27"/>
  <c r="B38" i="27"/>
  <c r="M37" i="27"/>
  <c r="A37" i="27" s="1"/>
  <c r="J37" i="27"/>
  <c r="K37" i="27" s="1"/>
  <c r="I37" i="27"/>
  <c r="B37" i="27"/>
  <c r="M36" i="27"/>
  <c r="A36" i="27" s="1"/>
  <c r="J36" i="27"/>
  <c r="K36" i="27" s="1"/>
  <c r="I36" i="27"/>
  <c r="B36" i="27"/>
  <c r="M35" i="27"/>
  <c r="A35" i="27" s="1"/>
  <c r="J35" i="27"/>
  <c r="K35" i="27" s="1"/>
  <c r="I35" i="27"/>
  <c r="B35" i="27"/>
  <c r="M34" i="27"/>
  <c r="A34" i="27" s="1"/>
  <c r="J34" i="27"/>
  <c r="K34" i="27" s="1"/>
  <c r="I34" i="27"/>
  <c r="B34" i="27"/>
  <c r="M33" i="27"/>
  <c r="A33" i="27" s="1"/>
  <c r="J33" i="27"/>
  <c r="K33" i="27" s="1"/>
  <c r="I33" i="27"/>
  <c r="B33" i="27"/>
  <c r="M32" i="27"/>
  <c r="A32" i="27" s="1"/>
  <c r="J32" i="27"/>
  <c r="K32" i="27" s="1"/>
  <c r="I32" i="27"/>
  <c r="B32" i="27"/>
  <c r="M31" i="27"/>
  <c r="A31" i="27" s="1"/>
  <c r="J31" i="27"/>
  <c r="K31" i="27" s="1"/>
  <c r="I31" i="27"/>
  <c r="B31" i="27"/>
  <c r="M30" i="27"/>
  <c r="A30" i="27" s="1"/>
  <c r="J30" i="27"/>
  <c r="K30" i="27" s="1"/>
  <c r="I30" i="27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M27" i="27"/>
  <c r="A27" i="27" s="1"/>
  <c r="J27" i="27"/>
  <c r="K27" i="27" s="1"/>
  <c r="I27" i="27"/>
  <c r="B27" i="27"/>
  <c r="M26" i="27"/>
  <c r="A26" i="27" s="1"/>
  <c r="J26" i="27"/>
  <c r="K26" i="27" s="1"/>
  <c r="I26" i="27"/>
  <c r="B26" i="27"/>
  <c r="M25" i="27"/>
  <c r="A25" i="27" s="1"/>
  <c r="J25" i="27"/>
  <c r="K25" i="27" s="1"/>
  <c r="I25" i="27"/>
  <c r="B25" i="27"/>
  <c r="AL29" i="20" s="1"/>
  <c r="AM29" i="20" s="1"/>
  <c r="BG29" i="20" s="1"/>
  <c r="J24" i="27"/>
  <c r="K24" i="27" s="1"/>
  <c r="M24" i="27" s="1"/>
  <c r="A24" i="27" s="1"/>
  <c r="I24" i="27"/>
  <c r="B24" i="27"/>
  <c r="J23" i="27"/>
  <c r="K23" i="27" s="1"/>
  <c r="M23" i="27" s="1"/>
  <c r="A23" i="27" s="1"/>
  <c r="I23" i="27"/>
  <c r="B23" i="27"/>
  <c r="J22" i="27"/>
  <c r="K22" i="27" s="1"/>
  <c r="I22" i="27"/>
  <c r="B22" i="27"/>
  <c r="J21" i="27"/>
  <c r="K21" i="27" s="1"/>
  <c r="M21" i="27" s="1"/>
  <c r="A21" i="27" s="1"/>
  <c r="I21" i="27"/>
  <c r="B21" i="27"/>
  <c r="J20" i="27"/>
  <c r="K20" i="27" s="1"/>
  <c r="M20" i="27" s="1"/>
  <c r="A20" i="27" s="1"/>
  <c r="I20" i="27"/>
  <c r="B20" i="27"/>
  <c r="J19" i="27"/>
  <c r="K19" i="27" s="1"/>
  <c r="M19" i="27" s="1"/>
  <c r="A19" i="27" s="1"/>
  <c r="I19" i="27"/>
  <c r="B19" i="27"/>
  <c r="J18" i="27"/>
  <c r="K18" i="27" s="1"/>
  <c r="I18" i="27"/>
  <c r="B18" i="27"/>
  <c r="J17" i="27"/>
  <c r="K17" i="27" s="1"/>
  <c r="M17" i="27" s="1"/>
  <c r="A17" i="27" s="1"/>
  <c r="I17" i="27"/>
  <c r="B17" i="27"/>
  <c r="K16" i="27"/>
  <c r="J16" i="27"/>
  <c r="I16" i="27"/>
  <c r="B16" i="27"/>
  <c r="K15" i="27"/>
  <c r="J15" i="27"/>
  <c r="I15" i="27"/>
  <c r="B15" i="27"/>
  <c r="AI14" i="27"/>
  <c r="J14" i="27"/>
  <c r="K14" i="27" s="1"/>
  <c r="M14" i="27" s="1"/>
  <c r="A14" i="27" s="1"/>
  <c r="I14" i="27"/>
  <c r="B14" i="27"/>
  <c r="AI13" i="27"/>
  <c r="AI16" i="27" s="1"/>
  <c r="K13" i="27"/>
  <c r="J13" i="27"/>
  <c r="I13" i="27"/>
  <c r="B13" i="27"/>
  <c r="AI12" i="27"/>
  <c r="J12" i="27"/>
  <c r="K12" i="27" s="1"/>
  <c r="I12" i="27"/>
  <c r="B12" i="27"/>
  <c r="J11" i="27"/>
  <c r="K11" i="27" s="1"/>
  <c r="M11" i="27" s="1"/>
  <c r="A11" i="27" s="1"/>
  <c r="I11" i="27"/>
  <c r="B11" i="27"/>
  <c r="J10" i="27"/>
  <c r="K10" i="27" s="1"/>
  <c r="M10" i="27" s="1"/>
  <c r="A10" i="27" s="1"/>
  <c r="I10" i="27"/>
  <c r="B10" i="27"/>
  <c r="K9" i="27"/>
  <c r="J9" i="27"/>
  <c r="I9" i="27"/>
  <c r="B9" i="27"/>
  <c r="J8" i="27"/>
  <c r="K8" i="27" s="1"/>
  <c r="I8" i="27"/>
  <c r="B8" i="27"/>
  <c r="K7" i="27"/>
  <c r="J7" i="27"/>
  <c r="I7" i="27"/>
  <c r="B7" i="27"/>
  <c r="J6" i="27"/>
  <c r="K6" i="27" s="1"/>
  <c r="I6" i="27"/>
  <c r="M6" i="27" s="1"/>
  <c r="A6" i="27" s="1"/>
  <c r="B6" i="27"/>
  <c r="K2" i="27"/>
  <c r="L8" i="27" s="1"/>
  <c r="K305" i="26"/>
  <c r="J305" i="26"/>
  <c r="I305" i="26"/>
  <c r="M305" i="26" s="1"/>
  <c r="J304" i="26"/>
  <c r="K304" i="26" s="1"/>
  <c r="I304" i="26"/>
  <c r="M304" i="26" s="1"/>
  <c r="K303" i="26"/>
  <c r="J303" i="26"/>
  <c r="I303" i="26"/>
  <c r="M303" i="26" s="1"/>
  <c r="J302" i="26"/>
  <c r="K302" i="26" s="1"/>
  <c r="I302" i="26"/>
  <c r="M302" i="26" s="1"/>
  <c r="K301" i="26"/>
  <c r="J301" i="26"/>
  <c r="I301" i="26"/>
  <c r="M301" i="26" s="1"/>
  <c r="J300" i="26"/>
  <c r="K300" i="26" s="1"/>
  <c r="I300" i="26"/>
  <c r="M300" i="26" s="1"/>
  <c r="J299" i="26"/>
  <c r="K299" i="26" s="1"/>
  <c r="I299" i="26"/>
  <c r="M299" i="26" s="1"/>
  <c r="J298" i="26"/>
  <c r="K298" i="26" s="1"/>
  <c r="I298" i="26"/>
  <c r="M298" i="26" s="1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J292" i="26"/>
  <c r="K292" i="26" s="1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J285" i="26"/>
  <c r="K285" i="26" s="1"/>
  <c r="I285" i="26"/>
  <c r="M285" i="26" s="1"/>
  <c r="J284" i="26"/>
  <c r="K284" i="26" s="1"/>
  <c r="I284" i="26"/>
  <c r="M284" i="26" s="1"/>
  <c r="K283" i="26"/>
  <c r="J283" i="26"/>
  <c r="I283" i="26"/>
  <c r="M283" i="26" s="1"/>
  <c r="J282" i="26"/>
  <c r="K282" i="26" s="1"/>
  <c r="I282" i="26"/>
  <c r="M282" i="26" s="1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J276" i="26"/>
  <c r="K276" i="26" s="1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J270" i="26"/>
  <c r="K270" i="26" s="1"/>
  <c r="I270" i="26"/>
  <c r="M270" i="26" s="1"/>
  <c r="J269" i="26"/>
  <c r="K269" i="26" s="1"/>
  <c r="I269" i="26"/>
  <c r="M269" i="26" s="1"/>
  <c r="J268" i="26"/>
  <c r="K268" i="26" s="1"/>
  <c r="I268" i="26"/>
  <c r="M268" i="26" s="1"/>
  <c r="J267" i="26"/>
  <c r="K267" i="26" s="1"/>
  <c r="I267" i="26"/>
  <c r="M267" i="26" s="1"/>
  <c r="J266" i="26"/>
  <c r="K266" i="26" s="1"/>
  <c r="I266" i="26"/>
  <c r="M266" i="26" s="1"/>
  <c r="J265" i="26"/>
  <c r="K265" i="26" s="1"/>
  <c r="I265" i="26"/>
  <c r="M265" i="26" s="1"/>
  <c r="J264" i="26"/>
  <c r="K264" i="26" s="1"/>
  <c r="I264" i="26"/>
  <c r="M264" i="26" s="1"/>
  <c r="J263" i="26"/>
  <c r="K263" i="26" s="1"/>
  <c r="I263" i="26"/>
  <c r="M263" i="26" s="1"/>
  <c r="J262" i="26"/>
  <c r="K262" i="26" s="1"/>
  <c r="I262" i="26"/>
  <c r="M262" i="26" s="1"/>
  <c r="J261" i="26"/>
  <c r="K261" i="26" s="1"/>
  <c r="I261" i="26"/>
  <c r="M261" i="26" s="1"/>
  <c r="J260" i="26"/>
  <c r="K260" i="26" s="1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J254" i="26"/>
  <c r="K254" i="26" s="1"/>
  <c r="I254" i="26"/>
  <c r="M254" i="26" s="1"/>
  <c r="J253" i="26"/>
  <c r="K253" i="26" s="1"/>
  <c r="I253" i="26"/>
  <c r="M253" i="26" s="1"/>
  <c r="J252" i="26"/>
  <c r="K252" i="26" s="1"/>
  <c r="I252" i="26"/>
  <c r="M252" i="26" s="1"/>
  <c r="K251" i="26"/>
  <c r="J251" i="26"/>
  <c r="I251" i="26"/>
  <c r="M251" i="26" s="1"/>
  <c r="J250" i="26"/>
  <c r="K250" i="26" s="1"/>
  <c r="I250" i="26"/>
  <c r="M250" i="26" s="1"/>
  <c r="J249" i="26"/>
  <c r="K249" i="26" s="1"/>
  <c r="I249" i="26"/>
  <c r="M249" i="26" s="1"/>
  <c r="J248" i="26"/>
  <c r="K248" i="26" s="1"/>
  <c r="I248" i="26"/>
  <c r="M248" i="26" s="1"/>
  <c r="J247" i="26"/>
  <c r="K247" i="26" s="1"/>
  <c r="I247" i="26"/>
  <c r="M247" i="26" s="1"/>
  <c r="J246" i="26"/>
  <c r="K246" i="26" s="1"/>
  <c r="I246" i="26"/>
  <c r="M246" i="26" s="1"/>
  <c r="J245" i="26"/>
  <c r="K245" i="26" s="1"/>
  <c r="I245" i="26"/>
  <c r="M245" i="26" s="1"/>
  <c r="J244" i="26"/>
  <c r="K244" i="26" s="1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K239" i="26"/>
  <c r="J239" i="26"/>
  <c r="I239" i="26"/>
  <c r="M239" i="26" s="1"/>
  <c r="J238" i="26"/>
  <c r="K238" i="26" s="1"/>
  <c r="I238" i="26"/>
  <c r="M238" i="26" s="1"/>
  <c r="J237" i="26"/>
  <c r="K237" i="26" s="1"/>
  <c r="I237" i="26"/>
  <c r="M237" i="26" s="1"/>
  <c r="J236" i="26"/>
  <c r="K236" i="26" s="1"/>
  <c r="I236" i="26"/>
  <c r="M236" i="26" s="1"/>
  <c r="J235" i="26"/>
  <c r="K235" i="26" s="1"/>
  <c r="I235" i="26"/>
  <c r="M235" i="26" s="1"/>
  <c r="J234" i="26"/>
  <c r="K234" i="26" s="1"/>
  <c r="I234" i="26"/>
  <c r="M234" i="26" s="1"/>
  <c r="J233" i="26"/>
  <c r="K233" i="26" s="1"/>
  <c r="I233" i="26"/>
  <c r="M233" i="26" s="1"/>
  <c r="J232" i="26"/>
  <c r="K232" i="26" s="1"/>
  <c r="I232" i="26"/>
  <c r="M232" i="26" s="1"/>
  <c r="J231" i="26"/>
  <c r="K231" i="26" s="1"/>
  <c r="I231" i="26"/>
  <c r="M231" i="26" s="1"/>
  <c r="J230" i="26"/>
  <c r="K230" i="26" s="1"/>
  <c r="I230" i="26"/>
  <c r="M230" i="26" s="1"/>
  <c r="J229" i="26"/>
  <c r="K229" i="26" s="1"/>
  <c r="I229" i="26"/>
  <c r="M229" i="26" s="1"/>
  <c r="J228" i="26"/>
  <c r="K228" i="26" s="1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J222" i="26"/>
  <c r="K222" i="26" s="1"/>
  <c r="I222" i="26"/>
  <c r="M222" i="26" s="1"/>
  <c r="J221" i="26"/>
  <c r="K221" i="26" s="1"/>
  <c r="I221" i="26"/>
  <c r="M221" i="26" s="1"/>
  <c r="J220" i="26"/>
  <c r="K220" i="26" s="1"/>
  <c r="I220" i="26"/>
  <c r="M220" i="26" s="1"/>
  <c r="K219" i="26"/>
  <c r="J219" i="26"/>
  <c r="I219" i="26"/>
  <c r="M219" i="26" s="1"/>
  <c r="J218" i="26"/>
  <c r="K218" i="26" s="1"/>
  <c r="I218" i="26"/>
  <c r="M218" i="26" s="1"/>
  <c r="J217" i="26"/>
  <c r="K217" i="26" s="1"/>
  <c r="I217" i="26"/>
  <c r="M217" i="26" s="1"/>
  <c r="J216" i="26"/>
  <c r="K216" i="26" s="1"/>
  <c r="I216" i="26"/>
  <c r="M216" i="26" s="1"/>
  <c r="J215" i="26"/>
  <c r="K215" i="26" s="1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K211" i="26"/>
  <c r="J211" i="26"/>
  <c r="I211" i="26"/>
  <c r="M211" i="26" s="1"/>
  <c r="J210" i="26"/>
  <c r="K210" i="26" s="1"/>
  <c r="I210" i="26"/>
  <c r="M210" i="26" s="1"/>
  <c r="J209" i="26"/>
  <c r="K209" i="26" s="1"/>
  <c r="I209" i="26"/>
  <c r="M209" i="26" s="1"/>
  <c r="J208" i="26"/>
  <c r="K208" i="26" s="1"/>
  <c r="I208" i="26"/>
  <c r="M208" i="26" s="1"/>
  <c r="K207" i="26"/>
  <c r="J207" i="26"/>
  <c r="I207" i="26"/>
  <c r="M207" i="26" s="1"/>
  <c r="J206" i="26"/>
  <c r="K206" i="26" s="1"/>
  <c r="I206" i="26"/>
  <c r="M206" i="26" s="1"/>
  <c r="J205" i="26"/>
  <c r="K205" i="26" s="1"/>
  <c r="I205" i="26"/>
  <c r="M205" i="26" s="1"/>
  <c r="J204" i="26"/>
  <c r="K204" i="26" s="1"/>
  <c r="I204" i="26"/>
  <c r="M204" i="26" s="1"/>
  <c r="J203" i="26"/>
  <c r="K203" i="26" s="1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K198" i="26"/>
  <c r="J198" i="26"/>
  <c r="I198" i="26"/>
  <c r="M198" i="26" s="1"/>
  <c r="J197" i="26"/>
  <c r="K197" i="26" s="1"/>
  <c r="I197" i="26"/>
  <c r="M197" i="26" s="1"/>
  <c r="J196" i="26"/>
  <c r="K196" i="26" s="1"/>
  <c r="I196" i="26"/>
  <c r="M196" i="26" s="1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J192" i="26"/>
  <c r="K192" i="26" s="1"/>
  <c r="I192" i="26"/>
  <c r="M192" i="26" s="1"/>
  <c r="K191" i="26"/>
  <c r="J191" i="26"/>
  <c r="I191" i="26"/>
  <c r="M191" i="26" s="1"/>
  <c r="J190" i="26"/>
  <c r="K190" i="26" s="1"/>
  <c r="I190" i="26"/>
  <c r="M190" i="26" s="1"/>
  <c r="J189" i="26"/>
  <c r="K189" i="26" s="1"/>
  <c r="I189" i="26"/>
  <c r="M189" i="26" s="1"/>
  <c r="J188" i="26"/>
  <c r="K188" i="26" s="1"/>
  <c r="I188" i="26"/>
  <c r="M188" i="26" s="1"/>
  <c r="K187" i="26"/>
  <c r="J187" i="26"/>
  <c r="I187" i="26"/>
  <c r="M187" i="26" s="1"/>
  <c r="J186" i="26"/>
  <c r="K186" i="26" s="1"/>
  <c r="I186" i="26"/>
  <c r="M186" i="26" s="1"/>
  <c r="J185" i="26"/>
  <c r="K185" i="26" s="1"/>
  <c r="I185" i="26"/>
  <c r="M185" i="26" s="1"/>
  <c r="J184" i="26"/>
  <c r="K184" i="26" s="1"/>
  <c r="I184" i="26"/>
  <c r="M184" i="26" s="1"/>
  <c r="J183" i="26"/>
  <c r="K183" i="26" s="1"/>
  <c r="I183" i="26"/>
  <c r="M183" i="26" s="1"/>
  <c r="J182" i="26"/>
  <c r="K182" i="26" s="1"/>
  <c r="I182" i="26"/>
  <c r="M182" i="26" s="1"/>
  <c r="M181" i="26"/>
  <c r="J181" i="26"/>
  <c r="K181" i="26" s="1"/>
  <c r="I181" i="26"/>
  <c r="J180" i="26"/>
  <c r="K180" i="26" s="1"/>
  <c r="I180" i="26"/>
  <c r="M180" i="26" s="1"/>
  <c r="J179" i="26"/>
  <c r="K179" i="26" s="1"/>
  <c r="I179" i="26"/>
  <c r="M179" i="26" s="1"/>
  <c r="J178" i="26"/>
  <c r="K178" i="26" s="1"/>
  <c r="I178" i="26"/>
  <c r="M178" i="26" s="1"/>
  <c r="M177" i="26"/>
  <c r="J177" i="26"/>
  <c r="K177" i="26" s="1"/>
  <c r="I177" i="26"/>
  <c r="J176" i="26"/>
  <c r="K176" i="26" s="1"/>
  <c r="I176" i="26"/>
  <c r="M176" i="26" s="1"/>
  <c r="J175" i="26"/>
  <c r="K175" i="26" s="1"/>
  <c r="I175" i="26"/>
  <c r="M175" i="26" s="1"/>
  <c r="J174" i="26"/>
  <c r="K174" i="26" s="1"/>
  <c r="I174" i="26"/>
  <c r="M174" i="26" s="1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J170" i="26"/>
  <c r="K170" i="26" s="1"/>
  <c r="I170" i="26"/>
  <c r="M170" i="26" s="1"/>
  <c r="J169" i="26"/>
  <c r="K169" i="26" s="1"/>
  <c r="I169" i="26"/>
  <c r="M169" i="26" s="1"/>
  <c r="J168" i="26"/>
  <c r="K168" i="26" s="1"/>
  <c r="I168" i="26"/>
  <c r="M168" i="26" s="1"/>
  <c r="J167" i="26"/>
  <c r="K167" i="26" s="1"/>
  <c r="I167" i="26"/>
  <c r="M167" i="26" s="1"/>
  <c r="J166" i="26"/>
  <c r="K166" i="26" s="1"/>
  <c r="I166" i="26"/>
  <c r="M166" i="26" s="1"/>
  <c r="M165" i="26"/>
  <c r="J165" i="26"/>
  <c r="K165" i="26" s="1"/>
  <c r="I165" i="26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M161" i="26"/>
  <c r="J161" i="26"/>
  <c r="K161" i="26" s="1"/>
  <c r="I161" i="26"/>
  <c r="J160" i="26"/>
  <c r="K160" i="26" s="1"/>
  <c r="I160" i="26"/>
  <c r="M160" i="26" s="1"/>
  <c r="J159" i="26"/>
  <c r="K159" i="26" s="1"/>
  <c r="I159" i="26"/>
  <c r="M159" i="26" s="1"/>
  <c r="J158" i="26"/>
  <c r="K158" i="26" s="1"/>
  <c r="I158" i="26"/>
  <c r="M158" i="26" s="1"/>
  <c r="J157" i="26"/>
  <c r="K157" i="26" s="1"/>
  <c r="I157" i="26"/>
  <c r="M157" i="26" s="1"/>
  <c r="J156" i="26"/>
  <c r="K156" i="26" s="1"/>
  <c r="I156" i="26"/>
  <c r="M156" i="26" s="1"/>
  <c r="J155" i="26"/>
  <c r="K155" i="26" s="1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J151" i="26"/>
  <c r="K151" i="26" s="1"/>
  <c r="I151" i="26"/>
  <c r="M151" i="26" s="1"/>
  <c r="J150" i="26"/>
  <c r="K150" i="26" s="1"/>
  <c r="I150" i="26"/>
  <c r="M150" i="26" s="1"/>
  <c r="M149" i="26"/>
  <c r="J149" i="26"/>
  <c r="K149" i="26" s="1"/>
  <c r="I149" i="26"/>
  <c r="J148" i="26"/>
  <c r="K148" i="26" s="1"/>
  <c r="I148" i="26"/>
  <c r="M148" i="26" s="1"/>
  <c r="J147" i="26"/>
  <c r="K147" i="26" s="1"/>
  <c r="I147" i="26"/>
  <c r="M147" i="26" s="1"/>
  <c r="J146" i="26"/>
  <c r="K146" i="26" s="1"/>
  <c r="I146" i="26"/>
  <c r="M146" i="26" s="1"/>
  <c r="M145" i="26"/>
  <c r="J145" i="26"/>
  <c r="K145" i="26" s="1"/>
  <c r="I145" i="26"/>
  <c r="J144" i="26"/>
  <c r="K144" i="26" s="1"/>
  <c r="I144" i="26"/>
  <c r="M144" i="26" s="1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J140" i="26"/>
  <c r="K140" i="26" s="1"/>
  <c r="I140" i="26"/>
  <c r="M140" i="26" s="1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K136" i="26"/>
  <c r="J136" i="26"/>
  <c r="I136" i="26"/>
  <c r="M136" i="26" s="1"/>
  <c r="J135" i="26"/>
  <c r="K135" i="26" s="1"/>
  <c r="I135" i="26"/>
  <c r="M135" i="26" s="1"/>
  <c r="M134" i="26"/>
  <c r="J134" i="26"/>
  <c r="K134" i="26" s="1"/>
  <c r="I134" i="26"/>
  <c r="M133" i="26"/>
  <c r="J133" i="26"/>
  <c r="K133" i="26" s="1"/>
  <c r="I133" i="26"/>
  <c r="J132" i="26"/>
  <c r="K132" i="26" s="1"/>
  <c r="I132" i="26"/>
  <c r="M132" i="26" s="1"/>
  <c r="J131" i="26"/>
  <c r="K131" i="26" s="1"/>
  <c r="I131" i="26"/>
  <c r="M131" i="26" s="1"/>
  <c r="J130" i="26"/>
  <c r="K130" i="26" s="1"/>
  <c r="I130" i="26"/>
  <c r="M130" i="26" s="1"/>
  <c r="J129" i="26"/>
  <c r="K129" i="26" s="1"/>
  <c r="I129" i="26"/>
  <c r="M129" i="26" s="1"/>
  <c r="K128" i="26"/>
  <c r="J128" i="26"/>
  <c r="I128" i="26"/>
  <c r="M128" i="26" s="1"/>
  <c r="J127" i="26"/>
  <c r="K127" i="26" s="1"/>
  <c r="I127" i="26"/>
  <c r="M127" i="26" s="1"/>
  <c r="J126" i="26"/>
  <c r="K126" i="26" s="1"/>
  <c r="I126" i="26"/>
  <c r="M126" i="26" s="1"/>
  <c r="M125" i="26"/>
  <c r="J125" i="26"/>
  <c r="K125" i="26" s="1"/>
  <c r="I125" i="26"/>
  <c r="K124" i="26"/>
  <c r="J124" i="26"/>
  <c r="I124" i="26"/>
  <c r="M124" i="26" s="1"/>
  <c r="J123" i="26"/>
  <c r="K123" i="26" s="1"/>
  <c r="I123" i="26"/>
  <c r="M123" i="26" s="1"/>
  <c r="J122" i="26"/>
  <c r="K122" i="26" s="1"/>
  <c r="I122" i="26"/>
  <c r="M122" i="26" s="1"/>
  <c r="J121" i="26"/>
  <c r="K121" i="26" s="1"/>
  <c r="I121" i="26"/>
  <c r="M121" i="26" s="1"/>
  <c r="K120" i="26"/>
  <c r="J120" i="26"/>
  <c r="I120" i="26"/>
  <c r="M120" i="26" s="1"/>
  <c r="J119" i="26"/>
  <c r="K119" i="26" s="1"/>
  <c r="I119" i="26"/>
  <c r="M119" i="26" s="1"/>
  <c r="M118" i="26"/>
  <c r="K118" i="26"/>
  <c r="J118" i="26"/>
  <c r="I118" i="26"/>
  <c r="J117" i="26"/>
  <c r="K117" i="26" s="1"/>
  <c r="I117" i="26"/>
  <c r="M117" i="26" s="1"/>
  <c r="K116" i="26"/>
  <c r="J116" i="26"/>
  <c r="I116" i="26"/>
  <c r="M116" i="26" s="1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K110" i="26"/>
  <c r="J110" i="26"/>
  <c r="I110" i="26"/>
  <c r="M110" i="26" s="1"/>
  <c r="J109" i="26"/>
  <c r="K109" i="26" s="1"/>
  <c r="I109" i="26"/>
  <c r="M109" i="26" s="1"/>
  <c r="K108" i="26"/>
  <c r="J108" i="26"/>
  <c r="I108" i="26"/>
  <c r="M108" i="26" s="1"/>
  <c r="J107" i="26"/>
  <c r="K107" i="26" s="1"/>
  <c r="I107" i="26"/>
  <c r="M107" i="26" s="1"/>
  <c r="J106" i="26"/>
  <c r="K106" i="26" s="1"/>
  <c r="I106" i="26"/>
  <c r="M106" i="26" s="1"/>
  <c r="J105" i="26"/>
  <c r="K105" i="26" s="1"/>
  <c r="I105" i="26"/>
  <c r="M105" i="26" s="1"/>
  <c r="J104" i="26"/>
  <c r="K104" i="26" s="1"/>
  <c r="I104" i="26"/>
  <c r="M104" i="26" s="1"/>
  <c r="M103" i="26"/>
  <c r="J103" i="26"/>
  <c r="K103" i="26" s="1"/>
  <c r="I103" i="26"/>
  <c r="K102" i="26"/>
  <c r="J102" i="26"/>
  <c r="I102" i="26"/>
  <c r="M102" i="26" s="1"/>
  <c r="J101" i="26"/>
  <c r="K101" i="26" s="1"/>
  <c r="I101" i="26"/>
  <c r="M101" i="26" s="1"/>
  <c r="J100" i="26"/>
  <c r="K100" i="26" s="1"/>
  <c r="I100" i="26"/>
  <c r="M100" i="26" s="1"/>
  <c r="J99" i="26"/>
  <c r="K99" i="26" s="1"/>
  <c r="I99" i="26"/>
  <c r="M99" i="26" s="1"/>
  <c r="J98" i="26"/>
  <c r="K98" i="26" s="1"/>
  <c r="I98" i="26"/>
  <c r="M98" i="26" s="1"/>
  <c r="J97" i="26"/>
  <c r="K97" i="26" s="1"/>
  <c r="I97" i="26"/>
  <c r="M97" i="26" s="1"/>
  <c r="J96" i="26"/>
  <c r="K96" i="26" s="1"/>
  <c r="I96" i="26"/>
  <c r="M96" i="26" s="1"/>
  <c r="M95" i="26"/>
  <c r="J95" i="26"/>
  <c r="K95" i="26" s="1"/>
  <c r="I95" i="26"/>
  <c r="J94" i="26"/>
  <c r="K94" i="26" s="1"/>
  <c r="I94" i="26"/>
  <c r="M94" i="26" s="1"/>
  <c r="J93" i="26"/>
  <c r="K93" i="26" s="1"/>
  <c r="I93" i="26"/>
  <c r="M93" i="26" s="1"/>
  <c r="K92" i="26"/>
  <c r="J92" i="26"/>
  <c r="I92" i="26"/>
  <c r="M92" i="26" s="1"/>
  <c r="J91" i="26"/>
  <c r="K91" i="26" s="1"/>
  <c r="I91" i="26"/>
  <c r="M91" i="26" s="1"/>
  <c r="J90" i="26"/>
  <c r="K90" i="26" s="1"/>
  <c r="I90" i="26"/>
  <c r="M90" i="26" s="1"/>
  <c r="J89" i="26"/>
  <c r="K89" i="26" s="1"/>
  <c r="I89" i="26"/>
  <c r="M89" i="26" s="1"/>
  <c r="K88" i="26"/>
  <c r="J88" i="26"/>
  <c r="I88" i="26"/>
  <c r="M88" i="26" s="1"/>
  <c r="J87" i="26"/>
  <c r="K87" i="26" s="1"/>
  <c r="I87" i="26"/>
  <c r="M87" i="26" s="1"/>
  <c r="M86" i="26"/>
  <c r="K86" i="26"/>
  <c r="J86" i="26"/>
  <c r="I86" i="26"/>
  <c r="J85" i="26"/>
  <c r="K85" i="26" s="1"/>
  <c r="I85" i="26"/>
  <c r="M85" i="26" s="1"/>
  <c r="K84" i="26"/>
  <c r="J84" i="26"/>
  <c r="I84" i="26"/>
  <c r="M84" i="26" s="1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K78" i="26"/>
  <c r="J78" i="26"/>
  <c r="I78" i="26"/>
  <c r="M78" i="26" s="1"/>
  <c r="J77" i="26"/>
  <c r="K77" i="26" s="1"/>
  <c r="I77" i="26"/>
  <c r="M77" i="26" s="1"/>
  <c r="K76" i="26"/>
  <c r="J76" i="26"/>
  <c r="I76" i="26"/>
  <c r="M76" i="26" s="1"/>
  <c r="J75" i="26"/>
  <c r="K75" i="26" s="1"/>
  <c r="I75" i="26"/>
  <c r="M75" i="26" s="1"/>
  <c r="J74" i="26"/>
  <c r="K74" i="26" s="1"/>
  <c r="I74" i="26"/>
  <c r="M74" i="26" s="1"/>
  <c r="J73" i="26"/>
  <c r="K73" i="26" s="1"/>
  <c r="I73" i="26"/>
  <c r="M73" i="26" s="1"/>
  <c r="J72" i="26"/>
  <c r="K72" i="26" s="1"/>
  <c r="I72" i="26"/>
  <c r="M72" i="26" s="1"/>
  <c r="M71" i="26"/>
  <c r="J71" i="26"/>
  <c r="K71" i="26" s="1"/>
  <c r="I71" i="26"/>
  <c r="K70" i="26"/>
  <c r="J70" i="26"/>
  <c r="I70" i="26"/>
  <c r="M70" i="26" s="1"/>
  <c r="J69" i="26"/>
  <c r="K69" i="26" s="1"/>
  <c r="I69" i="26"/>
  <c r="M69" i="26" s="1"/>
  <c r="J68" i="26"/>
  <c r="K68" i="26" s="1"/>
  <c r="I68" i="26"/>
  <c r="M68" i="26" s="1"/>
  <c r="J67" i="26"/>
  <c r="K67" i="26" s="1"/>
  <c r="I67" i="26"/>
  <c r="M67" i="26" s="1"/>
  <c r="J66" i="26"/>
  <c r="K66" i="26" s="1"/>
  <c r="I66" i="26"/>
  <c r="M66" i="26" s="1"/>
  <c r="J65" i="26"/>
  <c r="K65" i="26" s="1"/>
  <c r="I65" i="26"/>
  <c r="M65" i="26" s="1"/>
  <c r="B65" i="26"/>
  <c r="J64" i="26"/>
  <c r="K64" i="26" s="1"/>
  <c r="I64" i="26"/>
  <c r="M64" i="26" s="1"/>
  <c r="B64" i="26"/>
  <c r="J63" i="26"/>
  <c r="K63" i="26" s="1"/>
  <c r="I63" i="26"/>
  <c r="M63" i="26" s="1"/>
  <c r="B63" i="26"/>
  <c r="K62" i="26"/>
  <c r="J62" i="26"/>
  <c r="I62" i="26"/>
  <c r="M62" i="26" s="1"/>
  <c r="B62" i="26"/>
  <c r="K61" i="26"/>
  <c r="J61" i="26"/>
  <c r="I61" i="26"/>
  <c r="M61" i="26" s="1"/>
  <c r="B61" i="26"/>
  <c r="K60" i="26"/>
  <c r="J60" i="26"/>
  <c r="I60" i="26"/>
  <c r="M60" i="26" s="1"/>
  <c r="B60" i="26"/>
  <c r="M59" i="26"/>
  <c r="J59" i="26"/>
  <c r="K59" i="26" s="1"/>
  <c r="I59" i="26"/>
  <c r="B59" i="26"/>
  <c r="K58" i="26"/>
  <c r="J58" i="26"/>
  <c r="I58" i="26"/>
  <c r="M58" i="26" s="1"/>
  <c r="B58" i="26"/>
  <c r="M57" i="26"/>
  <c r="J57" i="26"/>
  <c r="K57" i="26" s="1"/>
  <c r="I57" i="26"/>
  <c r="B57" i="26"/>
  <c r="M56" i="26"/>
  <c r="J56" i="26"/>
  <c r="K56" i="26" s="1"/>
  <c r="I56" i="26"/>
  <c r="B56" i="26"/>
  <c r="K55" i="26"/>
  <c r="J55" i="26"/>
  <c r="I55" i="26"/>
  <c r="M55" i="26" s="1"/>
  <c r="B55" i="26"/>
  <c r="J54" i="26"/>
  <c r="K54" i="26" s="1"/>
  <c r="I54" i="26"/>
  <c r="M54" i="26" s="1"/>
  <c r="B54" i="26"/>
  <c r="K53" i="26"/>
  <c r="J53" i="26"/>
  <c r="I53" i="26"/>
  <c r="M53" i="26" s="1"/>
  <c r="B53" i="26"/>
  <c r="J52" i="26"/>
  <c r="K52" i="26" s="1"/>
  <c r="I52" i="26"/>
  <c r="M52" i="26" s="1"/>
  <c r="B52" i="26"/>
  <c r="J51" i="26"/>
  <c r="K51" i="26" s="1"/>
  <c r="I51" i="26"/>
  <c r="M51" i="26" s="1"/>
  <c r="B51" i="26"/>
  <c r="M50" i="26"/>
  <c r="J50" i="26"/>
  <c r="K50" i="26" s="1"/>
  <c r="I50" i="26"/>
  <c r="B50" i="26"/>
  <c r="J49" i="26"/>
  <c r="K49" i="26" s="1"/>
  <c r="I49" i="26"/>
  <c r="M49" i="26" s="1"/>
  <c r="B49" i="26"/>
  <c r="J48" i="26"/>
  <c r="K48" i="26" s="1"/>
  <c r="I48" i="26"/>
  <c r="M48" i="26" s="1"/>
  <c r="B48" i="26"/>
  <c r="K47" i="26"/>
  <c r="J47" i="26"/>
  <c r="I47" i="26"/>
  <c r="M47" i="26" s="1"/>
  <c r="B47" i="26"/>
  <c r="U46" i="26"/>
  <c r="T46" i="26"/>
  <c r="R46" i="26"/>
  <c r="K46" i="26"/>
  <c r="J46" i="26"/>
  <c r="I46" i="26"/>
  <c r="M46" i="26" s="1"/>
  <c r="B46" i="26"/>
  <c r="M45" i="26"/>
  <c r="J45" i="26"/>
  <c r="K45" i="26" s="1"/>
  <c r="I45" i="26"/>
  <c r="B45" i="26"/>
  <c r="J44" i="26"/>
  <c r="K44" i="26" s="1"/>
  <c r="I44" i="26"/>
  <c r="M44" i="26" s="1"/>
  <c r="B44" i="26"/>
  <c r="K43" i="26"/>
  <c r="J43" i="26"/>
  <c r="I43" i="26"/>
  <c r="M43" i="26" s="1"/>
  <c r="B43" i="26"/>
  <c r="J42" i="26"/>
  <c r="K42" i="26" s="1"/>
  <c r="I42" i="26"/>
  <c r="M42" i="26" s="1"/>
  <c r="B42" i="26"/>
  <c r="K41" i="26"/>
  <c r="J41" i="26"/>
  <c r="I41" i="26"/>
  <c r="M41" i="26" s="1"/>
  <c r="B41" i="26"/>
  <c r="J40" i="26"/>
  <c r="K40" i="26" s="1"/>
  <c r="I40" i="26"/>
  <c r="M40" i="26" s="1"/>
  <c r="B40" i="26"/>
  <c r="M39" i="26"/>
  <c r="J39" i="26"/>
  <c r="K39" i="26" s="1"/>
  <c r="I39" i="26"/>
  <c r="B39" i="26"/>
  <c r="J38" i="26"/>
  <c r="K38" i="26" s="1"/>
  <c r="I38" i="26"/>
  <c r="M38" i="26" s="1"/>
  <c r="B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A34" i="26" s="1"/>
  <c r="B34" i="26"/>
  <c r="J33" i="26"/>
  <c r="K33" i="26" s="1"/>
  <c r="I33" i="26"/>
  <c r="M33" i="26" s="1"/>
  <c r="A33" i="26" s="1"/>
  <c r="B33" i="26"/>
  <c r="K32" i="26"/>
  <c r="J32" i="26"/>
  <c r="I32" i="26"/>
  <c r="M32" i="26" s="1"/>
  <c r="A32" i="26" s="1"/>
  <c r="B32" i="26"/>
  <c r="J31" i="26"/>
  <c r="K31" i="26" s="1"/>
  <c r="I31" i="26"/>
  <c r="M31" i="26" s="1"/>
  <c r="A31" i="26" s="1"/>
  <c r="B31" i="26"/>
  <c r="K30" i="26"/>
  <c r="J30" i="26"/>
  <c r="I30" i="26"/>
  <c r="M30" i="26" s="1"/>
  <c r="A30" i="26" s="1"/>
  <c r="B30" i="26"/>
  <c r="J29" i="26"/>
  <c r="K29" i="26" s="1"/>
  <c r="I29" i="26"/>
  <c r="M29" i="26" s="1"/>
  <c r="A29" i="26" s="1"/>
  <c r="B29" i="26"/>
  <c r="M28" i="26"/>
  <c r="A28" i="26" s="1"/>
  <c r="J28" i="26"/>
  <c r="K28" i="26" s="1"/>
  <c r="I28" i="26"/>
  <c r="B28" i="26"/>
  <c r="J27" i="26"/>
  <c r="K27" i="26" s="1"/>
  <c r="I27" i="26"/>
  <c r="M27" i="26" s="1"/>
  <c r="A27" i="26" s="1"/>
  <c r="B27" i="26"/>
  <c r="M26" i="26"/>
  <c r="A26" i="26" s="1"/>
  <c r="J26" i="26"/>
  <c r="K26" i="26" s="1"/>
  <c r="I26" i="26"/>
  <c r="B26" i="26"/>
  <c r="J25" i="26"/>
  <c r="K25" i="26" s="1"/>
  <c r="I25" i="26"/>
  <c r="M25" i="26" s="1"/>
  <c r="A25" i="26" s="1"/>
  <c r="B25" i="26"/>
  <c r="K24" i="26"/>
  <c r="J24" i="26"/>
  <c r="I24" i="26"/>
  <c r="M24" i="26" s="1"/>
  <c r="A24" i="26" s="1"/>
  <c r="B24" i="26"/>
  <c r="J23" i="26"/>
  <c r="K23" i="26" s="1"/>
  <c r="I23" i="26"/>
  <c r="M23" i="26" s="1"/>
  <c r="A23" i="26" s="1"/>
  <c r="B23" i="26"/>
  <c r="K22" i="26"/>
  <c r="J22" i="26"/>
  <c r="I22" i="26"/>
  <c r="M22" i="26" s="1"/>
  <c r="A22" i="26" s="1"/>
  <c r="B22" i="26"/>
  <c r="J21" i="26"/>
  <c r="K21" i="26" s="1"/>
  <c r="I21" i="26"/>
  <c r="M21" i="26" s="1"/>
  <c r="A21" i="26" s="1"/>
  <c r="B21" i="26"/>
  <c r="M20" i="26"/>
  <c r="A20" i="26" s="1"/>
  <c r="J20" i="26"/>
  <c r="K20" i="26" s="1"/>
  <c r="I20" i="26"/>
  <c r="B20" i="26"/>
  <c r="J19" i="26"/>
  <c r="K19" i="26" s="1"/>
  <c r="I19" i="26"/>
  <c r="M19" i="26" s="1"/>
  <c r="A19" i="26" s="1"/>
  <c r="B19" i="26"/>
  <c r="J18" i="26"/>
  <c r="K18" i="26" s="1"/>
  <c r="M18" i="26" s="1"/>
  <c r="A18" i="26" s="1"/>
  <c r="I18" i="26"/>
  <c r="B18" i="26"/>
  <c r="J17" i="26"/>
  <c r="K17" i="26" s="1"/>
  <c r="I17" i="26"/>
  <c r="B17" i="26"/>
  <c r="AI16" i="26"/>
  <c r="K16" i="26"/>
  <c r="J16" i="26"/>
  <c r="I16" i="26"/>
  <c r="B16" i="26"/>
  <c r="J15" i="26"/>
  <c r="K15" i="26" s="1"/>
  <c r="I15" i="26"/>
  <c r="B15" i="26"/>
  <c r="AI14" i="26"/>
  <c r="J14" i="26"/>
  <c r="K14" i="26" s="1"/>
  <c r="I14" i="26"/>
  <c r="B14" i="26"/>
  <c r="AI13" i="26"/>
  <c r="J13" i="26"/>
  <c r="K13" i="26" s="1"/>
  <c r="I13" i="26"/>
  <c r="B13" i="26"/>
  <c r="AI12" i="26"/>
  <c r="J12" i="26"/>
  <c r="K12" i="26" s="1"/>
  <c r="I12" i="26"/>
  <c r="B12" i="26"/>
  <c r="J11" i="26"/>
  <c r="K11" i="26" s="1"/>
  <c r="I11" i="26"/>
  <c r="B11" i="26"/>
  <c r="K10" i="26"/>
  <c r="J10" i="26"/>
  <c r="I10" i="26"/>
  <c r="M10" i="26" s="1"/>
  <c r="A10" i="26" s="1"/>
  <c r="B10" i="26"/>
  <c r="J9" i="26"/>
  <c r="K9" i="26" s="1"/>
  <c r="I9" i="26"/>
  <c r="B9" i="26"/>
  <c r="J8" i="26"/>
  <c r="K8" i="26" s="1"/>
  <c r="I8" i="26"/>
  <c r="B8" i="26"/>
  <c r="J7" i="26"/>
  <c r="K7" i="26" s="1"/>
  <c r="M7" i="26" s="1"/>
  <c r="A7" i="26" s="1"/>
  <c r="I7" i="26"/>
  <c r="B7" i="26"/>
  <c r="K6" i="26"/>
  <c r="J6" i="26"/>
  <c r="I6" i="26"/>
  <c r="B6" i="26"/>
  <c r="K2" i="26"/>
  <c r="L7" i="26" s="1"/>
  <c r="J305" i="25"/>
  <c r="K305" i="25" s="1"/>
  <c r="I305" i="25"/>
  <c r="M305" i="25" s="1"/>
  <c r="J304" i="25"/>
  <c r="K304" i="25" s="1"/>
  <c r="I304" i="25"/>
  <c r="M304" i="25" s="1"/>
  <c r="K303" i="25"/>
  <c r="J303" i="25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K297" i="25"/>
  <c r="J297" i="25"/>
  <c r="I297" i="25"/>
  <c r="M297" i="25" s="1"/>
  <c r="K296" i="25"/>
  <c r="J296" i="25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K290" i="25"/>
  <c r="J290" i="25"/>
  <c r="I290" i="25"/>
  <c r="M290" i="25" s="1"/>
  <c r="J289" i="25"/>
  <c r="K289" i="25" s="1"/>
  <c r="I289" i="25"/>
  <c r="M289" i="25" s="1"/>
  <c r="J288" i="25"/>
  <c r="K288" i="25" s="1"/>
  <c r="I288" i="25"/>
  <c r="M288" i="25" s="1"/>
  <c r="K287" i="25"/>
  <c r="J287" i="25"/>
  <c r="I287" i="25"/>
  <c r="M287" i="25" s="1"/>
  <c r="J286" i="25"/>
  <c r="K286" i="25" s="1"/>
  <c r="I286" i="25"/>
  <c r="M286" i="25" s="1"/>
  <c r="J285" i="25"/>
  <c r="K285" i="25" s="1"/>
  <c r="I285" i="25"/>
  <c r="M285" i="25" s="1"/>
  <c r="J284" i="25"/>
  <c r="K284" i="25" s="1"/>
  <c r="I284" i="25"/>
  <c r="M284" i="25" s="1"/>
  <c r="J283" i="25"/>
  <c r="K283" i="25" s="1"/>
  <c r="I283" i="25"/>
  <c r="M283" i="25" s="1"/>
  <c r="K282" i="25"/>
  <c r="J282" i="25"/>
  <c r="I282" i="25"/>
  <c r="M282" i="25" s="1"/>
  <c r="J281" i="25"/>
  <c r="K281" i="25" s="1"/>
  <c r="I281" i="25"/>
  <c r="M281" i="25" s="1"/>
  <c r="K280" i="25"/>
  <c r="J280" i="25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K250" i="25"/>
  <c r="J250" i="25"/>
  <c r="I250" i="25"/>
  <c r="M250" i="25" s="1"/>
  <c r="J249" i="25"/>
  <c r="K249" i="25" s="1"/>
  <c r="I249" i="25"/>
  <c r="M249" i="25" s="1"/>
  <c r="J248" i="25"/>
  <c r="K248" i="25" s="1"/>
  <c r="I248" i="25"/>
  <c r="M248" i="25" s="1"/>
  <c r="K247" i="25"/>
  <c r="J247" i="25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K242" i="25"/>
  <c r="J242" i="25"/>
  <c r="I242" i="25"/>
  <c r="M242" i="25" s="1"/>
  <c r="J241" i="25"/>
  <c r="K241" i="25" s="1"/>
  <c r="I241" i="25"/>
  <c r="M241" i="25" s="1"/>
  <c r="K240" i="25"/>
  <c r="J240" i="25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K226" i="25"/>
  <c r="J226" i="25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K202" i="25"/>
  <c r="J202" i="25"/>
  <c r="I202" i="25"/>
  <c r="M202" i="25" s="1"/>
  <c r="J201" i="25"/>
  <c r="K201" i="25" s="1"/>
  <c r="I201" i="25"/>
  <c r="M201" i="25" s="1"/>
  <c r="J200" i="25"/>
  <c r="K200" i="25" s="1"/>
  <c r="I200" i="25"/>
  <c r="M200" i="25" s="1"/>
  <c r="K199" i="25"/>
  <c r="J199" i="25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K194" i="25"/>
  <c r="J194" i="25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K186" i="25"/>
  <c r="J186" i="25"/>
  <c r="I186" i="25"/>
  <c r="M186" i="25" s="1"/>
  <c r="J185" i="25"/>
  <c r="K185" i="25" s="1"/>
  <c r="I185" i="25"/>
  <c r="M185" i="25" s="1"/>
  <c r="J184" i="25"/>
  <c r="K184" i="25" s="1"/>
  <c r="I184" i="25"/>
  <c r="M184" i="25" s="1"/>
  <c r="K183" i="25"/>
  <c r="J183" i="25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K178" i="25"/>
  <c r="J178" i="25"/>
  <c r="I178" i="25"/>
  <c r="M178" i="25" s="1"/>
  <c r="J177" i="25"/>
  <c r="K177" i="25" s="1"/>
  <c r="I177" i="25"/>
  <c r="M177" i="25" s="1"/>
  <c r="K176" i="25"/>
  <c r="J176" i="25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J164" i="25"/>
  <c r="K164" i="25" s="1"/>
  <c r="I164" i="25"/>
  <c r="M164" i="25" s="1"/>
  <c r="J163" i="25"/>
  <c r="K163" i="25" s="1"/>
  <c r="I163" i="25"/>
  <c r="M163" i="25" s="1"/>
  <c r="K162" i="25"/>
  <c r="J162" i="25"/>
  <c r="I162" i="25"/>
  <c r="M162" i="25" s="1"/>
  <c r="J161" i="25"/>
  <c r="K161" i="25" s="1"/>
  <c r="I161" i="25"/>
  <c r="M161" i="25" s="1"/>
  <c r="J160" i="25"/>
  <c r="K160" i="25" s="1"/>
  <c r="I160" i="25"/>
  <c r="M160" i="25" s="1"/>
  <c r="K159" i="25"/>
  <c r="J159" i="25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K138" i="25"/>
  <c r="J138" i="25"/>
  <c r="I138" i="25"/>
  <c r="M138" i="25" s="1"/>
  <c r="J137" i="25"/>
  <c r="K137" i="25" s="1"/>
  <c r="I137" i="25"/>
  <c r="M137" i="25" s="1"/>
  <c r="K136" i="25"/>
  <c r="J136" i="25"/>
  <c r="I136" i="25"/>
  <c r="M136" i="25" s="1"/>
  <c r="J135" i="25"/>
  <c r="K135" i="25" s="1"/>
  <c r="I135" i="25"/>
  <c r="M135" i="25" s="1"/>
  <c r="J134" i="25"/>
  <c r="K134" i="25" s="1"/>
  <c r="I134" i="25"/>
  <c r="M134" i="25" s="1"/>
  <c r="J133" i="25"/>
  <c r="K133" i="25" s="1"/>
  <c r="I133" i="25"/>
  <c r="M133" i="25" s="1"/>
  <c r="J132" i="25"/>
  <c r="K132" i="25" s="1"/>
  <c r="I132" i="25"/>
  <c r="M132" i="25" s="1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J124" i="25"/>
  <c r="K124" i="25" s="1"/>
  <c r="I124" i="25"/>
  <c r="M124" i="25" s="1"/>
  <c r="J123" i="25"/>
  <c r="K123" i="25" s="1"/>
  <c r="I123" i="25"/>
  <c r="M123" i="25" s="1"/>
  <c r="K122" i="25"/>
  <c r="J122" i="25"/>
  <c r="I122" i="25"/>
  <c r="M122" i="25" s="1"/>
  <c r="J121" i="25"/>
  <c r="K121" i="25" s="1"/>
  <c r="I121" i="25"/>
  <c r="M121" i="25" s="1"/>
  <c r="K120" i="25"/>
  <c r="J120" i="25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K106" i="25"/>
  <c r="J106" i="25"/>
  <c r="I106" i="25"/>
  <c r="M106" i="25" s="1"/>
  <c r="K105" i="25"/>
  <c r="J105" i="25"/>
  <c r="I105" i="25"/>
  <c r="M105" i="25" s="1"/>
  <c r="K104" i="25"/>
  <c r="J104" i="25"/>
  <c r="I104" i="25"/>
  <c r="M104" i="25" s="1"/>
  <c r="J103" i="25"/>
  <c r="K103" i="25" s="1"/>
  <c r="I103" i="25"/>
  <c r="M103" i="25" s="1"/>
  <c r="J102" i="25"/>
  <c r="K102" i="25" s="1"/>
  <c r="I102" i="25"/>
  <c r="M102" i="25" s="1"/>
  <c r="J101" i="25"/>
  <c r="K101" i="25" s="1"/>
  <c r="I101" i="25"/>
  <c r="M101" i="25" s="1"/>
  <c r="J100" i="25"/>
  <c r="K100" i="25" s="1"/>
  <c r="I100" i="25"/>
  <c r="M100" i="25" s="1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J92" i="25"/>
  <c r="K92" i="25" s="1"/>
  <c r="I92" i="25"/>
  <c r="M92" i="25" s="1"/>
  <c r="J91" i="25"/>
  <c r="K91" i="25" s="1"/>
  <c r="I91" i="25"/>
  <c r="M91" i="25" s="1"/>
  <c r="K90" i="25"/>
  <c r="J90" i="25"/>
  <c r="I90" i="25"/>
  <c r="M90" i="25" s="1"/>
  <c r="K89" i="25"/>
  <c r="J89" i="25"/>
  <c r="I89" i="25"/>
  <c r="M89" i="25" s="1"/>
  <c r="K88" i="25"/>
  <c r="J88" i="25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J84" i="25"/>
  <c r="K84" i="25" s="1"/>
  <c r="I84" i="25"/>
  <c r="M84" i="25" s="1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K73" i="25"/>
  <c r="J73" i="25"/>
  <c r="I73" i="25"/>
  <c r="M73" i="25" s="1"/>
  <c r="K72" i="25"/>
  <c r="J72" i="25"/>
  <c r="I72" i="25"/>
  <c r="M72" i="25" s="1"/>
  <c r="K71" i="25"/>
  <c r="J71" i="25"/>
  <c r="I71" i="25"/>
  <c r="M71" i="25" s="1"/>
  <c r="J70" i="25"/>
  <c r="K70" i="25" s="1"/>
  <c r="I70" i="25"/>
  <c r="M70" i="25" s="1"/>
  <c r="J69" i="25"/>
  <c r="K69" i="25" s="1"/>
  <c r="I69" i="25"/>
  <c r="M69" i="25" s="1"/>
  <c r="J68" i="25"/>
  <c r="K68" i="25" s="1"/>
  <c r="I68" i="25"/>
  <c r="M68" i="25" s="1"/>
  <c r="J67" i="25"/>
  <c r="K67" i="25" s="1"/>
  <c r="I67" i="25"/>
  <c r="M67" i="25" s="1"/>
  <c r="J66" i="25"/>
  <c r="K66" i="25" s="1"/>
  <c r="I66" i="25"/>
  <c r="M66" i="25" s="1"/>
  <c r="J65" i="25"/>
  <c r="K65" i="25" s="1"/>
  <c r="I65" i="25"/>
  <c r="M65" i="25" s="1"/>
  <c r="B65" i="25"/>
  <c r="J64" i="25"/>
  <c r="K64" i="25" s="1"/>
  <c r="I64" i="25"/>
  <c r="M64" i="25" s="1"/>
  <c r="B64" i="25"/>
  <c r="K63" i="25"/>
  <c r="J63" i="25"/>
  <c r="I63" i="25"/>
  <c r="M63" i="25" s="1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M53" i="25"/>
  <c r="A53" i="25" s="1"/>
  <c r="J53" i="25"/>
  <c r="K53" i="25" s="1"/>
  <c r="I53" i="25"/>
  <c r="B53" i="25"/>
  <c r="M52" i="25"/>
  <c r="J52" i="25"/>
  <c r="K52" i="25" s="1"/>
  <c r="I52" i="25"/>
  <c r="B52" i="25"/>
  <c r="A52" i="25"/>
  <c r="J51" i="25"/>
  <c r="K51" i="25" s="1"/>
  <c r="I51" i="25"/>
  <c r="M51" i="25" s="1"/>
  <c r="A51" i="25" s="1"/>
  <c r="B51" i="25"/>
  <c r="M50" i="25"/>
  <c r="J50" i="25"/>
  <c r="K50" i="25" s="1"/>
  <c r="I50" i="25"/>
  <c r="B50" i="25"/>
  <c r="A50" i="25"/>
  <c r="J49" i="25"/>
  <c r="K49" i="25" s="1"/>
  <c r="I49" i="25"/>
  <c r="M49" i="25" s="1"/>
  <c r="A49" i="25" s="1"/>
  <c r="B49" i="25"/>
  <c r="M48" i="25"/>
  <c r="A48" i="25" s="1"/>
  <c r="K48" i="25"/>
  <c r="J48" i="25"/>
  <c r="I48" i="25"/>
  <c r="B48" i="25"/>
  <c r="J47" i="25"/>
  <c r="K47" i="25" s="1"/>
  <c r="I47" i="25"/>
  <c r="M47" i="25" s="1"/>
  <c r="A47" i="25" s="1"/>
  <c r="B47" i="25"/>
  <c r="T46" i="25"/>
  <c r="R46" i="25"/>
  <c r="U46" i="25" s="1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M40" i="25"/>
  <c r="A40" i="25" s="1"/>
  <c r="J40" i="25"/>
  <c r="K40" i="25" s="1"/>
  <c r="I40" i="25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K36" i="25"/>
  <c r="J36" i="25"/>
  <c r="I36" i="25"/>
  <c r="M36" i="25" s="1"/>
  <c r="A36" i="25" s="1"/>
  <c r="B36" i="25"/>
  <c r="M35" i="25"/>
  <c r="A35" i="25" s="1"/>
  <c r="J35" i="25"/>
  <c r="K35" i="25" s="1"/>
  <c r="I35" i="25"/>
  <c r="B35" i="25"/>
  <c r="M34" i="25"/>
  <c r="A34" i="25" s="1"/>
  <c r="J34" i="25"/>
  <c r="K34" i="25" s="1"/>
  <c r="I34" i="25"/>
  <c r="B34" i="25"/>
  <c r="K33" i="25"/>
  <c r="J33" i="25"/>
  <c r="I33" i="25"/>
  <c r="M33" i="25" s="1"/>
  <c r="A33" i="25" s="1"/>
  <c r="B33" i="25"/>
  <c r="K32" i="25"/>
  <c r="J32" i="25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M28" i="25"/>
  <c r="A28" i="25" s="1"/>
  <c r="J28" i="25"/>
  <c r="K28" i="25" s="1"/>
  <c r="I28" i="25"/>
  <c r="B28" i="25"/>
  <c r="M27" i="25"/>
  <c r="A27" i="25" s="1"/>
  <c r="J27" i="25"/>
  <c r="K27" i="25" s="1"/>
  <c r="I27" i="25"/>
  <c r="B27" i="25"/>
  <c r="J26" i="25"/>
  <c r="K26" i="25" s="1"/>
  <c r="M26" i="25" s="1"/>
  <c r="A26" i="25" s="1"/>
  <c r="I26" i="25"/>
  <c r="B26" i="25"/>
  <c r="J25" i="25"/>
  <c r="K25" i="25" s="1"/>
  <c r="I25" i="25"/>
  <c r="B25" i="25"/>
  <c r="J24" i="25"/>
  <c r="K24" i="25" s="1"/>
  <c r="M24" i="25" s="1"/>
  <c r="A24" i="25" s="1"/>
  <c r="I24" i="25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B21" i="25"/>
  <c r="K20" i="25"/>
  <c r="J20" i="25"/>
  <c r="I20" i="25"/>
  <c r="M20" i="25" s="1"/>
  <c r="A20" i="25" s="1"/>
  <c r="B20" i="25"/>
  <c r="J19" i="25"/>
  <c r="K19" i="25" s="1"/>
  <c r="M19" i="25" s="1"/>
  <c r="A19" i="25" s="1"/>
  <c r="I19" i="25"/>
  <c r="B19" i="25"/>
  <c r="M18" i="25"/>
  <c r="A18" i="25" s="1"/>
  <c r="J18" i="25"/>
  <c r="K18" i="25" s="1"/>
  <c r="I18" i="25"/>
  <c r="B18" i="25"/>
  <c r="K17" i="25"/>
  <c r="J17" i="25"/>
  <c r="I17" i="25"/>
  <c r="B17" i="25"/>
  <c r="AI16" i="25"/>
  <c r="J16" i="25"/>
  <c r="K16" i="25" s="1"/>
  <c r="I16" i="25"/>
  <c r="M16" i="25" s="1"/>
  <c r="A16" i="25" s="1"/>
  <c r="B16" i="25"/>
  <c r="J15" i="25"/>
  <c r="K15" i="25" s="1"/>
  <c r="I15" i="25"/>
  <c r="B15" i="25"/>
  <c r="AI14" i="25"/>
  <c r="J14" i="25"/>
  <c r="K14" i="25" s="1"/>
  <c r="M14" i="25" s="1"/>
  <c r="A14" i="25" s="1"/>
  <c r="I14" i="25"/>
  <c r="B14" i="25"/>
  <c r="AI13" i="25"/>
  <c r="J13" i="25"/>
  <c r="K13" i="25" s="1"/>
  <c r="I13" i="25"/>
  <c r="B13" i="25"/>
  <c r="AI12" i="25"/>
  <c r="J12" i="25"/>
  <c r="K12" i="25" s="1"/>
  <c r="I12" i="25"/>
  <c r="M12" i="25" s="1"/>
  <c r="A12" i="25" s="1"/>
  <c r="B12" i="25"/>
  <c r="J11" i="25"/>
  <c r="K11" i="25" s="1"/>
  <c r="I11" i="25"/>
  <c r="B11" i="25"/>
  <c r="K10" i="25"/>
  <c r="J10" i="25"/>
  <c r="I10" i="25"/>
  <c r="M10" i="25" s="1"/>
  <c r="A10" i="25" s="1"/>
  <c r="B10" i="25"/>
  <c r="K9" i="25"/>
  <c r="J9" i="25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M6" i="25" s="1"/>
  <c r="A6" i="25" s="1"/>
  <c r="B6" i="25"/>
  <c r="K2" i="25"/>
  <c r="L6" i="25" s="1"/>
  <c r="J305" i="24"/>
  <c r="K305" i="24" s="1"/>
  <c r="I305" i="24"/>
  <c r="M305" i="24" s="1"/>
  <c r="J304" i="24"/>
  <c r="K304" i="24" s="1"/>
  <c r="I304" i="24"/>
  <c r="M304" i="24" s="1"/>
  <c r="J303" i="24"/>
  <c r="K303" i="24" s="1"/>
  <c r="I303" i="24"/>
  <c r="M303" i="24" s="1"/>
  <c r="J302" i="24"/>
  <c r="K302" i="24" s="1"/>
  <c r="I302" i="24"/>
  <c r="M302" i="24" s="1"/>
  <c r="J301" i="24"/>
  <c r="K301" i="24" s="1"/>
  <c r="I301" i="24"/>
  <c r="M301" i="24" s="1"/>
  <c r="K300" i="24"/>
  <c r="J300" i="24"/>
  <c r="I300" i="24"/>
  <c r="M300" i="24" s="1"/>
  <c r="M299" i="24"/>
  <c r="J299" i="24"/>
  <c r="K299" i="24" s="1"/>
  <c r="I299" i="24"/>
  <c r="J298" i="24"/>
  <c r="K298" i="24" s="1"/>
  <c r="I298" i="24"/>
  <c r="M298" i="24" s="1"/>
  <c r="J297" i="24"/>
  <c r="K297" i="24" s="1"/>
  <c r="I297" i="24"/>
  <c r="M297" i="24" s="1"/>
  <c r="J296" i="24"/>
  <c r="K296" i="24" s="1"/>
  <c r="I296" i="24"/>
  <c r="M296" i="24" s="1"/>
  <c r="J295" i="24"/>
  <c r="K295" i="24" s="1"/>
  <c r="I295" i="24"/>
  <c r="M295" i="24" s="1"/>
  <c r="K294" i="24"/>
  <c r="J294" i="24"/>
  <c r="I294" i="24"/>
  <c r="M294" i="24" s="1"/>
  <c r="M293" i="24"/>
  <c r="J293" i="24"/>
  <c r="K293" i="24" s="1"/>
  <c r="I293" i="24"/>
  <c r="J292" i="24"/>
  <c r="K292" i="24" s="1"/>
  <c r="I292" i="24"/>
  <c r="M292" i="24" s="1"/>
  <c r="J291" i="24"/>
  <c r="K291" i="24" s="1"/>
  <c r="I291" i="24"/>
  <c r="M291" i="24" s="1"/>
  <c r="K290" i="24"/>
  <c r="J290" i="24"/>
  <c r="I290" i="24"/>
  <c r="M290" i="24" s="1"/>
  <c r="J289" i="24"/>
  <c r="K289" i="24" s="1"/>
  <c r="I289" i="24"/>
  <c r="M289" i="24" s="1"/>
  <c r="K288" i="24"/>
  <c r="J288" i="24"/>
  <c r="I288" i="24"/>
  <c r="M288" i="24" s="1"/>
  <c r="J287" i="24"/>
  <c r="K287" i="24" s="1"/>
  <c r="I287" i="24"/>
  <c r="M287" i="24" s="1"/>
  <c r="J286" i="24"/>
  <c r="K286" i="24" s="1"/>
  <c r="I286" i="24"/>
  <c r="M286" i="24" s="1"/>
  <c r="J285" i="24"/>
  <c r="K285" i="24" s="1"/>
  <c r="I285" i="24"/>
  <c r="M285" i="24" s="1"/>
  <c r="K284" i="24"/>
  <c r="J284" i="24"/>
  <c r="I284" i="24"/>
  <c r="M284" i="24" s="1"/>
  <c r="M283" i="24"/>
  <c r="J283" i="24"/>
  <c r="K283" i="24" s="1"/>
  <c r="I283" i="24"/>
  <c r="J282" i="24"/>
  <c r="K282" i="24" s="1"/>
  <c r="I282" i="24"/>
  <c r="M282" i="24" s="1"/>
  <c r="J281" i="24"/>
  <c r="K281" i="24" s="1"/>
  <c r="I281" i="24"/>
  <c r="M281" i="24" s="1"/>
  <c r="K280" i="24"/>
  <c r="J280" i="24"/>
  <c r="I280" i="24"/>
  <c r="M280" i="24" s="1"/>
  <c r="J279" i="24"/>
  <c r="K279" i="24" s="1"/>
  <c r="I279" i="24"/>
  <c r="M279" i="24" s="1"/>
  <c r="K278" i="24"/>
  <c r="J278" i="24"/>
  <c r="I278" i="24"/>
  <c r="M278" i="24" s="1"/>
  <c r="M277" i="24"/>
  <c r="J277" i="24"/>
  <c r="K277" i="24" s="1"/>
  <c r="I277" i="24"/>
  <c r="J276" i="24"/>
  <c r="K276" i="24" s="1"/>
  <c r="I276" i="24"/>
  <c r="M276" i="24" s="1"/>
  <c r="J275" i="24"/>
  <c r="K275" i="24" s="1"/>
  <c r="I275" i="24"/>
  <c r="M275" i="24" s="1"/>
  <c r="K274" i="24"/>
  <c r="J274" i="24"/>
  <c r="I274" i="24"/>
  <c r="M274" i="24" s="1"/>
  <c r="J273" i="24"/>
  <c r="K273" i="24" s="1"/>
  <c r="I273" i="24"/>
  <c r="M273" i="24" s="1"/>
  <c r="J272" i="24"/>
  <c r="K272" i="24" s="1"/>
  <c r="I272" i="24"/>
  <c r="M272" i="24" s="1"/>
  <c r="J271" i="24"/>
  <c r="K271" i="24" s="1"/>
  <c r="I271" i="24"/>
  <c r="M271" i="24" s="1"/>
  <c r="J270" i="24"/>
  <c r="K270" i="24" s="1"/>
  <c r="I270" i="24"/>
  <c r="M270" i="24" s="1"/>
  <c r="J269" i="24"/>
  <c r="K269" i="24" s="1"/>
  <c r="I269" i="24"/>
  <c r="M269" i="24" s="1"/>
  <c r="K268" i="24"/>
  <c r="J268" i="24"/>
  <c r="I268" i="24"/>
  <c r="M268" i="24" s="1"/>
  <c r="M267" i="24"/>
  <c r="J267" i="24"/>
  <c r="K267" i="24" s="1"/>
  <c r="I267" i="24"/>
  <c r="J266" i="24"/>
  <c r="K266" i="24" s="1"/>
  <c r="I266" i="24"/>
  <c r="M266" i="24" s="1"/>
  <c r="J265" i="24"/>
  <c r="K265" i="24" s="1"/>
  <c r="I265" i="24"/>
  <c r="M265" i="24" s="1"/>
  <c r="J264" i="24"/>
  <c r="K264" i="24" s="1"/>
  <c r="I264" i="24"/>
  <c r="M264" i="24" s="1"/>
  <c r="J263" i="24"/>
  <c r="K263" i="24" s="1"/>
  <c r="I263" i="24"/>
  <c r="M263" i="24" s="1"/>
  <c r="K262" i="24"/>
  <c r="J262" i="24"/>
  <c r="I262" i="24"/>
  <c r="M262" i="24" s="1"/>
  <c r="M261" i="24"/>
  <c r="J261" i="24"/>
  <c r="K261" i="24" s="1"/>
  <c r="I261" i="24"/>
  <c r="J260" i="24"/>
  <c r="K260" i="24" s="1"/>
  <c r="I260" i="24"/>
  <c r="M260" i="24" s="1"/>
  <c r="J259" i="24"/>
  <c r="K259" i="24" s="1"/>
  <c r="I259" i="24"/>
  <c r="M259" i="24" s="1"/>
  <c r="K258" i="24"/>
  <c r="J258" i="24"/>
  <c r="I258" i="24"/>
  <c r="M258" i="24" s="1"/>
  <c r="J257" i="24"/>
  <c r="K257" i="24" s="1"/>
  <c r="I257" i="24"/>
  <c r="M257" i="24" s="1"/>
  <c r="J256" i="24"/>
  <c r="K256" i="24" s="1"/>
  <c r="I256" i="24"/>
  <c r="M256" i="24" s="1"/>
  <c r="J255" i="24"/>
  <c r="K255" i="24" s="1"/>
  <c r="I255" i="24"/>
  <c r="M255" i="24" s="1"/>
  <c r="J254" i="24"/>
  <c r="K254" i="24" s="1"/>
  <c r="I254" i="24"/>
  <c r="M254" i="24" s="1"/>
  <c r="J253" i="24"/>
  <c r="K253" i="24" s="1"/>
  <c r="I253" i="24"/>
  <c r="M253" i="24" s="1"/>
  <c r="K252" i="24"/>
  <c r="J252" i="24"/>
  <c r="I252" i="24"/>
  <c r="M252" i="24" s="1"/>
  <c r="M251" i="24"/>
  <c r="J251" i="24"/>
  <c r="K251" i="24" s="1"/>
  <c r="I251" i="24"/>
  <c r="J250" i="24"/>
  <c r="K250" i="24" s="1"/>
  <c r="I250" i="24"/>
  <c r="M250" i="24" s="1"/>
  <c r="J249" i="24"/>
  <c r="K249" i="24" s="1"/>
  <c r="I249" i="24"/>
  <c r="M249" i="24" s="1"/>
  <c r="K248" i="24"/>
  <c r="J248" i="24"/>
  <c r="I248" i="24"/>
  <c r="M248" i="24" s="1"/>
  <c r="J247" i="24"/>
  <c r="K247" i="24" s="1"/>
  <c r="I247" i="24"/>
  <c r="M247" i="24" s="1"/>
  <c r="K246" i="24"/>
  <c r="J246" i="24"/>
  <c r="I246" i="24"/>
  <c r="M246" i="24" s="1"/>
  <c r="M245" i="24"/>
  <c r="J245" i="24"/>
  <c r="K245" i="24" s="1"/>
  <c r="I245" i="24"/>
  <c r="J244" i="24"/>
  <c r="K244" i="24" s="1"/>
  <c r="I244" i="24"/>
  <c r="M244" i="24" s="1"/>
  <c r="J243" i="24"/>
  <c r="K243" i="24" s="1"/>
  <c r="I243" i="24"/>
  <c r="M243" i="24" s="1"/>
  <c r="K242" i="24"/>
  <c r="J242" i="24"/>
  <c r="I242" i="24"/>
  <c r="M242" i="24" s="1"/>
  <c r="J241" i="24"/>
  <c r="K241" i="24" s="1"/>
  <c r="I241" i="24"/>
  <c r="M241" i="24" s="1"/>
  <c r="J240" i="24"/>
  <c r="K240" i="24" s="1"/>
  <c r="I240" i="24"/>
  <c r="M240" i="24" s="1"/>
  <c r="J239" i="24"/>
  <c r="K239" i="24" s="1"/>
  <c r="I239" i="24"/>
  <c r="M239" i="24" s="1"/>
  <c r="J238" i="24"/>
  <c r="K238" i="24" s="1"/>
  <c r="I238" i="24"/>
  <c r="M238" i="24" s="1"/>
  <c r="J237" i="24"/>
  <c r="K237" i="24" s="1"/>
  <c r="I237" i="24"/>
  <c r="M237" i="24" s="1"/>
  <c r="K236" i="24"/>
  <c r="J236" i="24"/>
  <c r="I236" i="24"/>
  <c r="M236" i="24" s="1"/>
  <c r="M235" i="24"/>
  <c r="J235" i="24"/>
  <c r="K235" i="24" s="1"/>
  <c r="I235" i="24"/>
  <c r="J234" i="24"/>
  <c r="K234" i="24" s="1"/>
  <c r="I234" i="24"/>
  <c r="M234" i="24" s="1"/>
  <c r="J233" i="24"/>
  <c r="K233" i="24" s="1"/>
  <c r="I233" i="24"/>
  <c r="M233" i="24" s="1"/>
  <c r="J232" i="24"/>
  <c r="K232" i="24" s="1"/>
  <c r="I232" i="24"/>
  <c r="M232" i="24" s="1"/>
  <c r="J231" i="24"/>
  <c r="K231" i="24" s="1"/>
  <c r="I231" i="24"/>
  <c r="M231" i="24" s="1"/>
  <c r="K230" i="24"/>
  <c r="J230" i="24"/>
  <c r="I230" i="24"/>
  <c r="M230" i="24" s="1"/>
  <c r="M229" i="24"/>
  <c r="J229" i="24"/>
  <c r="K229" i="24" s="1"/>
  <c r="I229" i="24"/>
  <c r="J228" i="24"/>
  <c r="K228" i="24" s="1"/>
  <c r="I228" i="24"/>
  <c r="M228" i="24" s="1"/>
  <c r="J227" i="24"/>
  <c r="K227" i="24" s="1"/>
  <c r="I227" i="24"/>
  <c r="M227" i="24" s="1"/>
  <c r="K226" i="24"/>
  <c r="J226" i="24"/>
  <c r="I226" i="24"/>
  <c r="M226" i="24" s="1"/>
  <c r="J225" i="24"/>
  <c r="K225" i="24" s="1"/>
  <c r="I225" i="24"/>
  <c r="M225" i="24" s="1"/>
  <c r="J224" i="24"/>
  <c r="K224" i="24" s="1"/>
  <c r="I224" i="24"/>
  <c r="M224" i="24" s="1"/>
  <c r="J223" i="24"/>
  <c r="K223" i="24" s="1"/>
  <c r="I223" i="24"/>
  <c r="M223" i="24" s="1"/>
  <c r="J222" i="24"/>
  <c r="K222" i="24" s="1"/>
  <c r="I222" i="24"/>
  <c r="M222" i="24" s="1"/>
  <c r="J221" i="24"/>
  <c r="K221" i="24" s="1"/>
  <c r="I221" i="24"/>
  <c r="M221" i="24" s="1"/>
  <c r="K220" i="24"/>
  <c r="J220" i="24"/>
  <c r="I220" i="24"/>
  <c r="M220" i="24" s="1"/>
  <c r="M219" i="24"/>
  <c r="J219" i="24"/>
  <c r="K219" i="24" s="1"/>
  <c r="I219" i="24"/>
  <c r="J218" i="24"/>
  <c r="K218" i="24" s="1"/>
  <c r="I218" i="24"/>
  <c r="M218" i="24" s="1"/>
  <c r="J217" i="24"/>
  <c r="K217" i="24" s="1"/>
  <c r="I217" i="24"/>
  <c r="M217" i="24" s="1"/>
  <c r="K216" i="24"/>
  <c r="J216" i="24"/>
  <c r="I216" i="24"/>
  <c r="M216" i="24" s="1"/>
  <c r="J215" i="24"/>
  <c r="K215" i="24" s="1"/>
  <c r="I215" i="24"/>
  <c r="M215" i="24" s="1"/>
  <c r="J214" i="24"/>
  <c r="K214" i="24" s="1"/>
  <c r="I214" i="24"/>
  <c r="M214" i="24" s="1"/>
  <c r="J213" i="24"/>
  <c r="K213" i="24" s="1"/>
  <c r="I213" i="24"/>
  <c r="M213" i="24" s="1"/>
  <c r="J212" i="24"/>
  <c r="K212" i="24" s="1"/>
  <c r="I212" i="24"/>
  <c r="M212" i="24" s="1"/>
  <c r="M211" i="24"/>
  <c r="J211" i="24"/>
  <c r="K211" i="24" s="1"/>
  <c r="I211" i="24"/>
  <c r="J210" i="24"/>
  <c r="K210" i="24" s="1"/>
  <c r="I210" i="24"/>
  <c r="M210" i="24" s="1"/>
  <c r="J209" i="24"/>
  <c r="K209" i="24" s="1"/>
  <c r="I209" i="24"/>
  <c r="M209" i="24" s="1"/>
  <c r="J208" i="24"/>
  <c r="K208" i="24" s="1"/>
  <c r="I208" i="24"/>
  <c r="M208" i="24" s="1"/>
  <c r="J207" i="24"/>
  <c r="K207" i="24" s="1"/>
  <c r="I207" i="24"/>
  <c r="M207" i="24" s="1"/>
  <c r="J206" i="24"/>
  <c r="K206" i="24" s="1"/>
  <c r="I206" i="24"/>
  <c r="M206" i="24" s="1"/>
  <c r="J205" i="24"/>
  <c r="K205" i="24" s="1"/>
  <c r="I205" i="24"/>
  <c r="M205" i="24" s="1"/>
  <c r="J204" i="24"/>
  <c r="K204" i="24" s="1"/>
  <c r="I204" i="24"/>
  <c r="M204" i="24" s="1"/>
  <c r="M203" i="24"/>
  <c r="J203" i="24"/>
  <c r="K203" i="24" s="1"/>
  <c r="I203" i="24"/>
  <c r="J202" i="24"/>
  <c r="K202" i="24" s="1"/>
  <c r="I202" i="24"/>
  <c r="M202" i="24" s="1"/>
  <c r="J201" i="24"/>
  <c r="K201" i="24" s="1"/>
  <c r="I201" i="24"/>
  <c r="M201" i="24" s="1"/>
  <c r="J200" i="24"/>
  <c r="K200" i="24" s="1"/>
  <c r="I200" i="24"/>
  <c r="M200" i="24" s="1"/>
  <c r="M199" i="24"/>
  <c r="J199" i="24"/>
  <c r="K199" i="24" s="1"/>
  <c r="I199" i="24"/>
  <c r="J198" i="24"/>
  <c r="K198" i="24" s="1"/>
  <c r="I198" i="24"/>
  <c r="M198" i="24" s="1"/>
  <c r="K197" i="24"/>
  <c r="J197" i="24"/>
  <c r="I197" i="24"/>
  <c r="M197" i="24" s="1"/>
  <c r="J196" i="24"/>
  <c r="K196" i="24" s="1"/>
  <c r="I196" i="24"/>
  <c r="M196" i="24" s="1"/>
  <c r="J195" i="24"/>
  <c r="K195" i="24" s="1"/>
  <c r="I195" i="24"/>
  <c r="M195" i="24" s="1"/>
  <c r="K194" i="24"/>
  <c r="J194" i="24"/>
  <c r="I194" i="24"/>
  <c r="M194" i="24" s="1"/>
  <c r="J193" i="24"/>
  <c r="K193" i="24" s="1"/>
  <c r="I193" i="24"/>
  <c r="M193" i="24" s="1"/>
  <c r="J192" i="24"/>
  <c r="K192" i="24" s="1"/>
  <c r="I192" i="24"/>
  <c r="M192" i="24" s="1"/>
  <c r="M191" i="24"/>
  <c r="J191" i="24"/>
  <c r="K191" i="24" s="1"/>
  <c r="I191" i="24"/>
  <c r="J190" i="24"/>
  <c r="K190" i="24" s="1"/>
  <c r="I190" i="24"/>
  <c r="M190" i="24" s="1"/>
  <c r="J189" i="24"/>
  <c r="K189" i="24" s="1"/>
  <c r="I189" i="24"/>
  <c r="M189" i="24" s="1"/>
  <c r="J188" i="24"/>
  <c r="K188" i="24" s="1"/>
  <c r="I188" i="24"/>
  <c r="M188" i="24" s="1"/>
  <c r="J187" i="24"/>
  <c r="K187" i="24" s="1"/>
  <c r="I187" i="24"/>
  <c r="M187" i="24" s="1"/>
  <c r="J186" i="24"/>
  <c r="K186" i="24" s="1"/>
  <c r="I186" i="24"/>
  <c r="M186" i="24" s="1"/>
  <c r="M185" i="24"/>
  <c r="J185" i="24"/>
  <c r="K185" i="24" s="1"/>
  <c r="I185" i="24"/>
  <c r="M184" i="24"/>
  <c r="J184" i="24"/>
  <c r="K184" i="24" s="1"/>
  <c r="I184" i="24"/>
  <c r="J183" i="24"/>
  <c r="K183" i="24" s="1"/>
  <c r="I183" i="24"/>
  <c r="M183" i="24" s="1"/>
  <c r="J182" i="24"/>
  <c r="K182" i="24" s="1"/>
  <c r="I182" i="24"/>
  <c r="M182" i="24" s="1"/>
  <c r="M181" i="24"/>
  <c r="J181" i="24"/>
  <c r="K181" i="24" s="1"/>
  <c r="I181" i="24"/>
  <c r="M180" i="24"/>
  <c r="J180" i="24"/>
  <c r="K180" i="24" s="1"/>
  <c r="I180" i="24"/>
  <c r="J179" i="24"/>
  <c r="K179" i="24" s="1"/>
  <c r="I179" i="24"/>
  <c r="M179" i="24" s="1"/>
  <c r="J178" i="24"/>
  <c r="K178" i="24" s="1"/>
  <c r="I178" i="24"/>
  <c r="M178" i="24" s="1"/>
  <c r="M177" i="24"/>
  <c r="J177" i="24"/>
  <c r="K177" i="24" s="1"/>
  <c r="I177" i="24"/>
  <c r="M176" i="24"/>
  <c r="J176" i="24"/>
  <c r="K176" i="24" s="1"/>
  <c r="I176" i="24"/>
  <c r="J175" i="24"/>
  <c r="K175" i="24" s="1"/>
  <c r="I175" i="24"/>
  <c r="M175" i="24" s="1"/>
  <c r="J174" i="24"/>
  <c r="K174" i="24" s="1"/>
  <c r="I174" i="24"/>
  <c r="M174" i="24" s="1"/>
  <c r="M173" i="24"/>
  <c r="J173" i="24"/>
  <c r="K173" i="24" s="1"/>
  <c r="I173" i="24"/>
  <c r="M172" i="24"/>
  <c r="J172" i="24"/>
  <c r="K172" i="24" s="1"/>
  <c r="I172" i="24"/>
  <c r="J171" i="24"/>
  <c r="K171" i="24" s="1"/>
  <c r="I171" i="24"/>
  <c r="M171" i="24" s="1"/>
  <c r="J170" i="24"/>
  <c r="K170" i="24" s="1"/>
  <c r="I170" i="24"/>
  <c r="M170" i="24" s="1"/>
  <c r="M169" i="24"/>
  <c r="J169" i="24"/>
  <c r="K169" i="24" s="1"/>
  <c r="I169" i="24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M165" i="24"/>
  <c r="J165" i="24"/>
  <c r="K165" i="24" s="1"/>
  <c r="I165" i="24"/>
  <c r="M164" i="24"/>
  <c r="J164" i="24"/>
  <c r="K164" i="24" s="1"/>
  <c r="I164" i="24"/>
  <c r="J163" i="24"/>
  <c r="K163" i="24" s="1"/>
  <c r="I163" i="24"/>
  <c r="M163" i="24" s="1"/>
  <c r="J162" i="24"/>
  <c r="K162" i="24" s="1"/>
  <c r="I162" i="24"/>
  <c r="M162" i="24" s="1"/>
  <c r="M161" i="24"/>
  <c r="J161" i="24"/>
  <c r="K161" i="24" s="1"/>
  <c r="I161" i="24"/>
  <c r="M160" i="24"/>
  <c r="J160" i="24"/>
  <c r="K160" i="24" s="1"/>
  <c r="I160" i="24"/>
  <c r="J159" i="24"/>
  <c r="K159" i="24" s="1"/>
  <c r="I159" i="24"/>
  <c r="M159" i="24" s="1"/>
  <c r="J158" i="24"/>
  <c r="K158" i="24" s="1"/>
  <c r="I158" i="24"/>
  <c r="M158" i="24" s="1"/>
  <c r="M157" i="24"/>
  <c r="J157" i="24"/>
  <c r="K157" i="24" s="1"/>
  <c r="I157" i="24"/>
  <c r="M156" i="24"/>
  <c r="J156" i="24"/>
  <c r="K156" i="24" s="1"/>
  <c r="I156" i="24"/>
  <c r="J155" i="24"/>
  <c r="K155" i="24" s="1"/>
  <c r="I155" i="24"/>
  <c r="M155" i="24" s="1"/>
  <c r="J154" i="24"/>
  <c r="K154" i="24" s="1"/>
  <c r="I154" i="24"/>
  <c r="M154" i="24" s="1"/>
  <c r="M153" i="24"/>
  <c r="J153" i="24"/>
  <c r="K153" i="24" s="1"/>
  <c r="I153" i="24"/>
  <c r="M152" i="24"/>
  <c r="J152" i="24"/>
  <c r="K152" i="24" s="1"/>
  <c r="I152" i="24"/>
  <c r="J151" i="24"/>
  <c r="K151" i="24" s="1"/>
  <c r="I151" i="24"/>
  <c r="M151" i="24" s="1"/>
  <c r="J150" i="24"/>
  <c r="K150" i="24" s="1"/>
  <c r="I150" i="24"/>
  <c r="M150" i="24" s="1"/>
  <c r="M149" i="24"/>
  <c r="J149" i="24"/>
  <c r="K149" i="24" s="1"/>
  <c r="I149" i="24"/>
  <c r="M148" i="24"/>
  <c r="J148" i="24"/>
  <c r="K148" i="24" s="1"/>
  <c r="I148" i="24"/>
  <c r="J147" i="24"/>
  <c r="K147" i="24" s="1"/>
  <c r="I147" i="24"/>
  <c r="M147" i="24" s="1"/>
  <c r="J146" i="24"/>
  <c r="K146" i="24" s="1"/>
  <c r="I146" i="24"/>
  <c r="M146" i="24" s="1"/>
  <c r="M145" i="24"/>
  <c r="J145" i="24"/>
  <c r="K145" i="24" s="1"/>
  <c r="I145" i="24"/>
  <c r="M144" i="24"/>
  <c r="J144" i="24"/>
  <c r="K144" i="24" s="1"/>
  <c r="I144" i="24"/>
  <c r="J143" i="24"/>
  <c r="K143" i="24" s="1"/>
  <c r="I143" i="24"/>
  <c r="M143" i="24" s="1"/>
  <c r="J142" i="24"/>
  <c r="K142" i="24" s="1"/>
  <c r="I142" i="24"/>
  <c r="M142" i="24" s="1"/>
  <c r="M141" i="24"/>
  <c r="J141" i="24"/>
  <c r="K141" i="24" s="1"/>
  <c r="I141" i="24"/>
  <c r="M140" i="24"/>
  <c r="A140" i="24" s="1"/>
  <c r="J140" i="24"/>
  <c r="K140" i="24" s="1"/>
  <c r="I140" i="24"/>
  <c r="B140" i="24"/>
  <c r="M139" i="24"/>
  <c r="A139" i="24" s="1"/>
  <c r="J139" i="24"/>
  <c r="K139" i="24" s="1"/>
  <c r="I139" i="24"/>
  <c r="B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M136" i="24"/>
  <c r="A136" i="24" s="1"/>
  <c r="J136" i="24"/>
  <c r="K136" i="24" s="1"/>
  <c r="I136" i="24"/>
  <c r="B136" i="24"/>
  <c r="M135" i="24"/>
  <c r="A135" i="24" s="1"/>
  <c r="J135" i="24"/>
  <c r="K135" i="24" s="1"/>
  <c r="I135" i="24"/>
  <c r="B135" i="24"/>
  <c r="M134" i="24"/>
  <c r="A134" i="24" s="1"/>
  <c r="J134" i="24"/>
  <c r="K134" i="24" s="1"/>
  <c r="I134" i="24"/>
  <c r="B134" i="24"/>
  <c r="M133" i="24"/>
  <c r="A133" i="24" s="1"/>
  <c r="J133" i="24"/>
  <c r="K133" i="24" s="1"/>
  <c r="I133" i="24"/>
  <c r="B133" i="24"/>
  <c r="M132" i="24"/>
  <c r="A132" i="24" s="1"/>
  <c r="J132" i="24"/>
  <c r="K132" i="24" s="1"/>
  <c r="I132" i="24"/>
  <c r="B132" i="24"/>
  <c r="M131" i="24"/>
  <c r="A131" i="24" s="1"/>
  <c r="J131" i="24"/>
  <c r="K131" i="24" s="1"/>
  <c r="I131" i="24"/>
  <c r="B131" i="24"/>
  <c r="M130" i="24"/>
  <c r="A130" i="24" s="1"/>
  <c r="J130" i="24"/>
  <c r="K130" i="24" s="1"/>
  <c r="I130" i="24"/>
  <c r="B130" i="24"/>
  <c r="M129" i="24"/>
  <c r="A129" i="24" s="1"/>
  <c r="J129" i="24"/>
  <c r="K129" i="24" s="1"/>
  <c r="I129" i="24"/>
  <c r="B129" i="24"/>
  <c r="M128" i="24"/>
  <c r="A128" i="24" s="1"/>
  <c r="J128" i="24"/>
  <c r="K128" i="24" s="1"/>
  <c r="I128" i="24"/>
  <c r="B128" i="24"/>
  <c r="M127" i="24"/>
  <c r="A127" i="24" s="1"/>
  <c r="J127" i="24"/>
  <c r="K127" i="24" s="1"/>
  <c r="I127" i="24"/>
  <c r="B127" i="24"/>
  <c r="M126" i="24"/>
  <c r="A126" i="24" s="1"/>
  <c r="J126" i="24"/>
  <c r="K126" i="24" s="1"/>
  <c r="I126" i="24"/>
  <c r="B126" i="24"/>
  <c r="M125" i="24"/>
  <c r="A125" i="24" s="1"/>
  <c r="J125" i="24"/>
  <c r="K125" i="24" s="1"/>
  <c r="I125" i="24"/>
  <c r="B125" i="24"/>
  <c r="M124" i="24"/>
  <c r="A124" i="24" s="1"/>
  <c r="J124" i="24"/>
  <c r="K124" i="24" s="1"/>
  <c r="I124" i="24"/>
  <c r="B124" i="24"/>
  <c r="M123" i="24"/>
  <c r="A123" i="24" s="1"/>
  <c r="J123" i="24"/>
  <c r="K123" i="24" s="1"/>
  <c r="I123" i="24"/>
  <c r="B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M120" i="24"/>
  <c r="A120" i="24" s="1"/>
  <c r="J120" i="24"/>
  <c r="K120" i="24" s="1"/>
  <c r="I120" i="24"/>
  <c r="B120" i="24"/>
  <c r="M119" i="24"/>
  <c r="A119" i="24" s="1"/>
  <c r="J119" i="24"/>
  <c r="K119" i="24" s="1"/>
  <c r="I119" i="24"/>
  <c r="B119" i="24"/>
  <c r="M118" i="24"/>
  <c r="A118" i="24" s="1"/>
  <c r="J118" i="24"/>
  <c r="K118" i="24" s="1"/>
  <c r="I118" i="24"/>
  <c r="B118" i="24"/>
  <c r="M117" i="24"/>
  <c r="A117" i="24" s="1"/>
  <c r="J117" i="24"/>
  <c r="K117" i="24" s="1"/>
  <c r="I117" i="24"/>
  <c r="B117" i="24"/>
  <c r="M116" i="24"/>
  <c r="A116" i="24" s="1"/>
  <c r="J116" i="24"/>
  <c r="K116" i="24" s="1"/>
  <c r="I116" i="24"/>
  <c r="B116" i="24"/>
  <c r="M115" i="24"/>
  <c r="A115" i="24" s="1"/>
  <c r="J115" i="24"/>
  <c r="K115" i="24" s="1"/>
  <c r="I115" i="24"/>
  <c r="B115" i="24"/>
  <c r="M114" i="24"/>
  <c r="A114" i="24" s="1"/>
  <c r="J114" i="24"/>
  <c r="K114" i="24" s="1"/>
  <c r="I114" i="24"/>
  <c r="B114" i="24"/>
  <c r="M113" i="24"/>
  <c r="A113" i="24" s="1"/>
  <c r="J113" i="24"/>
  <c r="K113" i="24" s="1"/>
  <c r="I113" i="24"/>
  <c r="B113" i="24"/>
  <c r="M112" i="24"/>
  <c r="A112" i="24" s="1"/>
  <c r="J112" i="24"/>
  <c r="K112" i="24" s="1"/>
  <c r="I112" i="24"/>
  <c r="B112" i="24"/>
  <c r="M111" i="24"/>
  <c r="A111" i="24" s="1"/>
  <c r="J111" i="24"/>
  <c r="K111" i="24" s="1"/>
  <c r="I111" i="24"/>
  <c r="B111" i="24"/>
  <c r="M110" i="24"/>
  <c r="A110" i="24" s="1"/>
  <c r="J110" i="24"/>
  <c r="K110" i="24" s="1"/>
  <c r="I110" i="24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M107" i="24"/>
  <c r="A107" i="24" s="1"/>
  <c r="J107" i="24"/>
  <c r="K107" i="24" s="1"/>
  <c r="I107" i="24"/>
  <c r="B107" i="24"/>
  <c r="M106" i="24"/>
  <c r="A106" i="24" s="1"/>
  <c r="J106" i="24"/>
  <c r="K106" i="24" s="1"/>
  <c r="I106" i="24"/>
  <c r="B106" i="24"/>
  <c r="M105" i="24"/>
  <c r="A105" i="24" s="1"/>
  <c r="J105" i="24"/>
  <c r="K105" i="24" s="1"/>
  <c r="I105" i="24"/>
  <c r="B105" i="24"/>
  <c r="M104" i="24"/>
  <c r="A104" i="24" s="1"/>
  <c r="J104" i="24"/>
  <c r="K104" i="24" s="1"/>
  <c r="I104" i="24"/>
  <c r="B104" i="24"/>
  <c r="M103" i="24"/>
  <c r="A103" i="24" s="1"/>
  <c r="J103" i="24"/>
  <c r="K103" i="24" s="1"/>
  <c r="I103" i="24"/>
  <c r="B103" i="24"/>
  <c r="M102" i="24"/>
  <c r="A102" i="24" s="1"/>
  <c r="J102" i="24"/>
  <c r="K102" i="24" s="1"/>
  <c r="I102" i="24"/>
  <c r="B102" i="24"/>
  <c r="M101" i="24"/>
  <c r="A101" i="24" s="1"/>
  <c r="J101" i="24"/>
  <c r="K101" i="24" s="1"/>
  <c r="I101" i="24"/>
  <c r="B101" i="24"/>
  <c r="M100" i="24"/>
  <c r="A100" i="24" s="1"/>
  <c r="J100" i="24"/>
  <c r="K100" i="24" s="1"/>
  <c r="I100" i="24"/>
  <c r="B100" i="24"/>
  <c r="M99" i="24"/>
  <c r="A99" i="24" s="1"/>
  <c r="J99" i="24"/>
  <c r="K99" i="24" s="1"/>
  <c r="I99" i="24"/>
  <c r="B99" i="24"/>
  <c r="M98" i="24"/>
  <c r="A98" i="24" s="1"/>
  <c r="J98" i="24"/>
  <c r="K98" i="24" s="1"/>
  <c r="I98" i="24"/>
  <c r="B98" i="24"/>
  <c r="M97" i="24"/>
  <c r="A97" i="24" s="1"/>
  <c r="J97" i="24"/>
  <c r="K97" i="24" s="1"/>
  <c r="I97" i="24"/>
  <c r="B97" i="24"/>
  <c r="M96" i="24"/>
  <c r="A96" i="24" s="1"/>
  <c r="J96" i="24"/>
  <c r="K96" i="24" s="1"/>
  <c r="I96" i="24"/>
  <c r="B96" i="24"/>
  <c r="M95" i="24"/>
  <c r="A95" i="24" s="1"/>
  <c r="J95" i="24"/>
  <c r="K95" i="24" s="1"/>
  <c r="I95" i="24"/>
  <c r="B95" i="24"/>
  <c r="M94" i="24"/>
  <c r="A94" i="24" s="1"/>
  <c r="J94" i="24"/>
  <c r="K94" i="24" s="1"/>
  <c r="I94" i="24"/>
  <c r="B94" i="24"/>
  <c r="M93" i="24"/>
  <c r="A93" i="24" s="1"/>
  <c r="J93" i="24"/>
  <c r="K93" i="24" s="1"/>
  <c r="I93" i="24"/>
  <c r="B93" i="24"/>
  <c r="M92" i="24"/>
  <c r="A92" i="24" s="1"/>
  <c r="J92" i="24"/>
  <c r="K92" i="24" s="1"/>
  <c r="I92" i="24"/>
  <c r="B92" i="24"/>
  <c r="M91" i="24"/>
  <c r="A91" i="24" s="1"/>
  <c r="J91" i="24"/>
  <c r="K91" i="24" s="1"/>
  <c r="I91" i="24"/>
  <c r="B91" i="24"/>
  <c r="M90" i="24"/>
  <c r="A90" i="24" s="1"/>
  <c r="J90" i="24"/>
  <c r="K90" i="24" s="1"/>
  <c r="I90" i="24"/>
  <c r="B90" i="24"/>
  <c r="M89" i="24"/>
  <c r="A89" i="24" s="1"/>
  <c r="J89" i="24"/>
  <c r="K89" i="24" s="1"/>
  <c r="I89" i="24"/>
  <c r="B89" i="24"/>
  <c r="M88" i="24"/>
  <c r="A88" i="24" s="1"/>
  <c r="J88" i="24"/>
  <c r="K88" i="24" s="1"/>
  <c r="I88" i="24"/>
  <c r="B88" i="24"/>
  <c r="M87" i="24"/>
  <c r="A87" i="24" s="1"/>
  <c r="J87" i="24"/>
  <c r="K87" i="24" s="1"/>
  <c r="I87" i="24"/>
  <c r="B87" i="24"/>
  <c r="M86" i="24"/>
  <c r="A86" i="24" s="1"/>
  <c r="J86" i="24"/>
  <c r="K86" i="24" s="1"/>
  <c r="I86" i="24"/>
  <c r="B86" i="24"/>
  <c r="M85" i="24"/>
  <c r="A85" i="24" s="1"/>
  <c r="J85" i="24"/>
  <c r="K85" i="24" s="1"/>
  <c r="I85" i="24"/>
  <c r="B85" i="24"/>
  <c r="M84" i="24"/>
  <c r="A84" i="24" s="1"/>
  <c r="J84" i="24"/>
  <c r="K84" i="24" s="1"/>
  <c r="I84" i="24"/>
  <c r="B84" i="24"/>
  <c r="M83" i="24"/>
  <c r="A83" i="24" s="1"/>
  <c r="J83" i="24"/>
  <c r="K83" i="24" s="1"/>
  <c r="I83" i="24"/>
  <c r="B83" i="24"/>
  <c r="M82" i="24"/>
  <c r="A82" i="24" s="1"/>
  <c r="J82" i="24"/>
  <c r="K82" i="24" s="1"/>
  <c r="I82" i="24"/>
  <c r="B82" i="24"/>
  <c r="M81" i="24"/>
  <c r="A81" i="24" s="1"/>
  <c r="J81" i="24"/>
  <c r="K81" i="24" s="1"/>
  <c r="I81" i="24"/>
  <c r="B81" i="24"/>
  <c r="M80" i="24"/>
  <c r="A80" i="24" s="1"/>
  <c r="J80" i="24"/>
  <c r="K80" i="24" s="1"/>
  <c r="I80" i="24"/>
  <c r="B80" i="24"/>
  <c r="M79" i="24"/>
  <c r="A79" i="24" s="1"/>
  <c r="J79" i="24"/>
  <c r="K79" i="24" s="1"/>
  <c r="I79" i="24"/>
  <c r="B79" i="24"/>
  <c r="M78" i="24"/>
  <c r="A78" i="24" s="1"/>
  <c r="J78" i="24"/>
  <c r="K78" i="24" s="1"/>
  <c r="I78" i="24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M75" i="24"/>
  <c r="A75" i="24" s="1"/>
  <c r="J75" i="24"/>
  <c r="K75" i="24" s="1"/>
  <c r="I75" i="24"/>
  <c r="B75" i="24"/>
  <c r="M74" i="24"/>
  <c r="A74" i="24" s="1"/>
  <c r="J74" i="24"/>
  <c r="K74" i="24" s="1"/>
  <c r="I74" i="24"/>
  <c r="B74" i="24"/>
  <c r="M73" i="24"/>
  <c r="A73" i="24" s="1"/>
  <c r="J73" i="24"/>
  <c r="K73" i="24" s="1"/>
  <c r="I73" i="24"/>
  <c r="B73" i="24"/>
  <c r="M72" i="24"/>
  <c r="A72" i="24" s="1"/>
  <c r="J72" i="24"/>
  <c r="K72" i="24" s="1"/>
  <c r="I72" i="24"/>
  <c r="B72" i="24"/>
  <c r="M71" i="24"/>
  <c r="A71" i="24" s="1"/>
  <c r="J71" i="24"/>
  <c r="K71" i="24" s="1"/>
  <c r="I71" i="24"/>
  <c r="B71" i="24"/>
  <c r="M70" i="24"/>
  <c r="A70" i="24" s="1"/>
  <c r="J70" i="24"/>
  <c r="K70" i="24" s="1"/>
  <c r="I70" i="24"/>
  <c r="B70" i="24"/>
  <c r="M69" i="24"/>
  <c r="A69" i="24" s="1"/>
  <c r="J69" i="24"/>
  <c r="K69" i="24" s="1"/>
  <c r="I69" i="24"/>
  <c r="B69" i="24"/>
  <c r="M68" i="24"/>
  <c r="A68" i="24" s="1"/>
  <c r="J68" i="24"/>
  <c r="K68" i="24" s="1"/>
  <c r="I68" i="24"/>
  <c r="B68" i="24"/>
  <c r="M67" i="24"/>
  <c r="A67" i="24" s="1"/>
  <c r="J67" i="24"/>
  <c r="K67" i="24" s="1"/>
  <c r="I67" i="24"/>
  <c r="B67" i="24"/>
  <c r="M66" i="24"/>
  <c r="A66" i="24" s="1"/>
  <c r="J66" i="24"/>
  <c r="K66" i="24" s="1"/>
  <c r="I66" i="24"/>
  <c r="B66" i="24"/>
  <c r="M65" i="24"/>
  <c r="A65" i="24" s="1"/>
  <c r="J65" i="24"/>
  <c r="K65" i="24" s="1"/>
  <c r="I65" i="24"/>
  <c r="B65" i="24"/>
  <c r="M64" i="24"/>
  <c r="A64" i="24" s="1"/>
  <c r="J64" i="24"/>
  <c r="K64" i="24" s="1"/>
  <c r="I64" i="24"/>
  <c r="B64" i="24"/>
  <c r="M63" i="24"/>
  <c r="A63" i="24" s="1"/>
  <c r="J63" i="24"/>
  <c r="K63" i="24" s="1"/>
  <c r="I63" i="24"/>
  <c r="B63" i="24"/>
  <c r="M62" i="24"/>
  <c r="A62" i="24" s="1"/>
  <c r="J62" i="24"/>
  <c r="K62" i="24" s="1"/>
  <c r="I62" i="24"/>
  <c r="B62" i="24"/>
  <c r="M61" i="24"/>
  <c r="A61" i="24" s="1"/>
  <c r="J61" i="24"/>
  <c r="K61" i="24" s="1"/>
  <c r="I61" i="24"/>
  <c r="B61" i="24"/>
  <c r="M60" i="24"/>
  <c r="A60" i="24" s="1"/>
  <c r="J60" i="24"/>
  <c r="K60" i="24" s="1"/>
  <c r="I60" i="24"/>
  <c r="B60" i="24"/>
  <c r="M59" i="24"/>
  <c r="A59" i="24" s="1"/>
  <c r="J59" i="24"/>
  <c r="K59" i="24" s="1"/>
  <c r="I59" i="24"/>
  <c r="B59" i="24"/>
  <c r="M58" i="24"/>
  <c r="A58" i="24" s="1"/>
  <c r="J58" i="24"/>
  <c r="K58" i="24" s="1"/>
  <c r="I58" i="24"/>
  <c r="B58" i="24"/>
  <c r="M57" i="24"/>
  <c r="A57" i="24" s="1"/>
  <c r="J57" i="24"/>
  <c r="K57" i="24" s="1"/>
  <c r="I57" i="24"/>
  <c r="B57" i="24"/>
  <c r="M56" i="24"/>
  <c r="A56" i="24" s="1"/>
  <c r="J56" i="24"/>
  <c r="K56" i="24" s="1"/>
  <c r="I56" i="24"/>
  <c r="B56" i="24"/>
  <c r="M55" i="24"/>
  <c r="A55" i="24" s="1"/>
  <c r="J55" i="24"/>
  <c r="K55" i="24" s="1"/>
  <c r="I55" i="24"/>
  <c r="B55" i="24"/>
  <c r="M54" i="24"/>
  <c r="A54" i="24" s="1"/>
  <c r="J54" i="24"/>
  <c r="K54" i="24" s="1"/>
  <c r="I54" i="24"/>
  <c r="B54" i="24"/>
  <c r="M53" i="24"/>
  <c r="A53" i="24" s="1"/>
  <c r="J53" i="24"/>
  <c r="K53" i="24" s="1"/>
  <c r="I53" i="24"/>
  <c r="B53" i="24"/>
  <c r="M52" i="24"/>
  <c r="A52" i="24" s="1"/>
  <c r="J52" i="24"/>
  <c r="K52" i="24" s="1"/>
  <c r="I52" i="24"/>
  <c r="B52" i="24"/>
  <c r="M51" i="24"/>
  <c r="A51" i="24" s="1"/>
  <c r="J51" i="24"/>
  <c r="K51" i="24" s="1"/>
  <c r="I51" i="24"/>
  <c r="B51" i="24"/>
  <c r="M50" i="24"/>
  <c r="A50" i="24" s="1"/>
  <c r="J50" i="24"/>
  <c r="K50" i="24" s="1"/>
  <c r="I50" i="24"/>
  <c r="B50" i="24"/>
  <c r="M49" i="24"/>
  <c r="A49" i="24" s="1"/>
  <c r="J49" i="24"/>
  <c r="K49" i="24" s="1"/>
  <c r="I49" i="24"/>
  <c r="B49" i="24"/>
  <c r="M48" i="24"/>
  <c r="A48" i="24" s="1"/>
  <c r="J48" i="24"/>
  <c r="K48" i="24" s="1"/>
  <c r="I48" i="24"/>
  <c r="B48" i="24"/>
  <c r="M47" i="24"/>
  <c r="A47" i="24" s="1"/>
  <c r="J47" i="24"/>
  <c r="K47" i="24" s="1"/>
  <c r="I47" i="24"/>
  <c r="B47" i="24"/>
  <c r="M46" i="24"/>
  <c r="A46" i="24" s="1"/>
  <c r="J46" i="24"/>
  <c r="K46" i="24" s="1"/>
  <c r="I46" i="24"/>
  <c r="B46" i="24"/>
  <c r="M45" i="24"/>
  <c r="A45" i="24" s="1"/>
  <c r="J45" i="24"/>
  <c r="K45" i="24" s="1"/>
  <c r="I45" i="24"/>
  <c r="B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J42" i="24"/>
  <c r="K42" i="24" s="1"/>
  <c r="I42" i="24"/>
  <c r="B42" i="24"/>
  <c r="M41" i="24"/>
  <c r="A41" i="24" s="1"/>
  <c r="J41" i="24"/>
  <c r="K41" i="24" s="1"/>
  <c r="I41" i="24"/>
  <c r="B41" i="24"/>
  <c r="M40" i="24"/>
  <c r="A40" i="24" s="1"/>
  <c r="J40" i="24"/>
  <c r="K40" i="24" s="1"/>
  <c r="I40" i="24"/>
  <c r="B40" i="24"/>
  <c r="M39" i="24"/>
  <c r="A39" i="24" s="1"/>
  <c r="J39" i="24"/>
  <c r="K39" i="24" s="1"/>
  <c r="I39" i="24"/>
  <c r="B39" i="24"/>
  <c r="M38" i="24"/>
  <c r="A38" i="24" s="1"/>
  <c r="J38" i="24"/>
  <c r="K38" i="24" s="1"/>
  <c r="I38" i="24"/>
  <c r="B38" i="24"/>
  <c r="M37" i="24"/>
  <c r="A37" i="24" s="1"/>
  <c r="J37" i="24"/>
  <c r="K37" i="24" s="1"/>
  <c r="I37" i="24"/>
  <c r="B37" i="24"/>
  <c r="M36" i="24"/>
  <c r="A36" i="24" s="1"/>
  <c r="J36" i="24"/>
  <c r="K36" i="24" s="1"/>
  <c r="I36" i="24"/>
  <c r="B36" i="24"/>
  <c r="M35" i="24"/>
  <c r="A35" i="24" s="1"/>
  <c r="J35" i="24"/>
  <c r="K35" i="24" s="1"/>
  <c r="I35" i="24"/>
  <c r="B35" i="24"/>
  <c r="M34" i="24"/>
  <c r="A34" i="24" s="1"/>
  <c r="J34" i="24"/>
  <c r="K34" i="24" s="1"/>
  <c r="I34" i="24"/>
  <c r="B34" i="24"/>
  <c r="M33" i="24"/>
  <c r="A33" i="24" s="1"/>
  <c r="J33" i="24"/>
  <c r="K33" i="24" s="1"/>
  <c r="I33" i="24"/>
  <c r="B33" i="24"/>
  <c r="M32" i="24"/>
  <c r="A32" i="24" s="1"/>
  <c r="J32" i="24"/>
  <c r="K32" i="24" s="1"/>
  <c r="I32" i="24"/>
  <c r="B32" i="24"/>
  <c r="M31" i="24"/>
  <c r="A31" i="24" s="1"/>
  <c r="J31" i="24"/>
  <c r="K31" i="24" s="1"/>
  <c r="I31" i="24"/>
  <c r="B31" i="24"/>
  <c r="M30" i="24"/>
  <c r="A30" i="24" s="1"/>
  <c r="J30" i="24"/>
  <c r="K30" i="24" s="1"/>
  <c r="I30" i="24"/>
  <c r="B30" i="24"/>
  <c r="M29" i="24"/>
  <c r="A29" i="24" s="1"/>
  <c r="J29" i="24"/>
  <c r="K29" i="24" s="1"/>
  <c r="I29" i="24"/>
  <c r="B29" i="24"/>
  <c r="M28" i="24"/>
  <c r="A28" i="24" s="1"/>
  <c r="J28" i="24"/>
  <c r="K28" i="24" s="1"/>
  <c r="I28" i="24"/>
  <c r="B28" i="24"/>
  <c r="M27" i="24"/>
  <c r="A27" i="24" s="1"/>
  <c r="J27" i="24"/>
  <c r="K27" i="24" s="1"/>
  <c r="I27" i="24"/>
  <c r="B27" i="24"/>
  <c r="M26" i="24"/>
  <c r="A26" i="24" s="1"/>
  <c r="J26" i="24"/>
  <c r="K26" i="24" s="1"/>
  <c r="I26" i="24"/>
  <c r="B26" i="24"/>
  <c r="M25" i="24"/>
  <c r="A25" i="24" s="1"/>
  <c r="J25" i="24"/>
  <c r="K25" i="24" s="1"/>
  <c r="I25" i="24"/>
  <c r="B25" i="24"/>
  <c r="J24" i="24"/>
  <c r="K24" i="24" s="1"/>
  <c r="I24" i="24"/>
  <c r="B24" i="24"/>
  <c r="J23" i="24"/>
  <c r="K23" i="24" s="1"/>
  <c r="I23" i="24"/>
  <c r="B23" i="24"/>
  <c r="J22" i="24"/>
  <c r="K22" i="24" s="1"/>
  <c r="M22" i="24" s="1"/>
  <c r="A22" i="24" s="1"/>
  <c r="I22" i="24"/>
  <c r="B22" i="24"/>
  <c r="J21" i="24"/>
  <c r="K21" i="24" s="1"/>
  <c r="M21" i="24" s="1"/>
  <c r="A21" i="24" s="1"/>
  <c r="I21" i="24"/>
  <c r="B21" i="24"/>
  <c r="J20" i="24"/>
  <c r="K20" i="24" s="1"/>
  <c r="I20" i="24"/>
  <c r="B20" i="24"/>
  <c r="J19" i="24"/>
  <c r="K19" i="24" s="1"/>
  <c r="I19" i="24"/>
  <c r="B19" i="24"/>
  <c r="J18" i="24"/>
  <c r="K18" i="24" s="1"/>
  <c r="I18" i="24"/>
  <c r="B18" i="24"/>
  <c r="J17" i="24"/>
  <c r="K17" i="24" s="1"/>
  <c r="M17" i="24" s="1"/>
  <c r="A17" i="24" s="1"/>
  <c r="I17" i="24"/>
  <c r="B17" i="24"/>
  <c r="AI16" i="24"/>
  <c r="K16" i="24"/>
  <c r="J16" i="24"/>
  <c r="I16" i="24"/>
  <c r="M16" i="24" s="1"/>
  <c r="A16" i="24" s="1"/>
  <c r="B16" i="24"/>
  <c r="K15" i="24"/>
  <c r="J15" i="24"/>
  <c r="I15" i="24"/>
  <c r="M15" i="24" s="1"/>
  <c r="B15" i="24"/>
  <c r="A15" i="24"/>
  <c r="AI14" i="24"/>
  <c r="J14" i="24"/>
  <c r="K14" i="24" s="1"/>
  <c r="I14" i="24"/>
  <c r="B14" i="24"/>
  <c r="AI13" i="24"/>
  <c r="J13" i="24"/>
  <c r="K13" i="24" s="1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K10" i="24"/>
  <c r="I10" i="24"/>
  <c r="M10" i="24" s="1"/>
  <c r="A10" i="24" s="1"/>
  <c r="B10" i="24"/>
  <c r="J9" i="24"/>
  <c r="K9" i="24" s="1"/>
  <c r="I9" i="24"/>
  <c r="B9" i="24"/>
  <c r="J8" i="24"/>
  <c r="K8" i="24" s="1"/>
  <c r="I8" i="24"/>
  <c r="M8" i="24" s="1"/>
  <c r="A8" i="24" s="1"/>
  <c r="B8" i="24"/>
  <c r="J7" i="24"/>
  <c r="K7" i="24" s="1"/>
  <c r="I7" i="24"/>
  <c r="B7" i="24"/>
  <c r="J6" i="24"/>
  <c r="K6" i="24" s="1"/>
  <c r="M6" i="24" s="1"/>
  <c r="A6" i="24" s="1"/>
  <c r="I6" i="24"/>
  <c r="B6" i="24"/>
  <c r="K2" i="24"/>
  <c r="L8" i="24" s="1"/>
  <c r="M305" i="23"/>
  <c r="J305" i="23"/>
  <c r="K305" i="23" s="1"/>
  <c r="I305" i="23"/>
  <c r="J304" i="23"/>
  <c r="K304" i="23" s="1"/>
  <c r="I304" i="23"/>
  <c r="M304" i="23" s="1"/>
  <c r="J303" i="23"/>
  <c r="K303" i="23" s="1"/>
  <c r="I303" i="23"/>
  <c r="M303" i="23" s="1"/>
  <c r="K302" i="23"/>
  <c r="J302" i="23"/>
  <c r="I302" i="23"/>
  <c r="M302" i="23" s="1"/>
  <c r="J301" i="23"/>
  <c r="K301" i="23" s="1"/>
  <c r="I301" i="23"/>
  <c r="M301" i="23" s="1"/>
  <c r="M300" i="23"/>
  <c r="J300" i="23"/>
  <c r="K300" i="23" s="1"/>
  <c r="I300" i="23"/>
  <c r="M299" i="23"/>
  <c r="J299" i="23"/>
  <c r="K299" i="23" s="1"/>
  <c r="I299" i="23"/>
  <c r="M298" i="23"/>
  <c r="J298" i="23"/>
  <c r="K298" i="23" s="1"/>
  <c r="I298" i="23"/>
  <c r="J297" i="23"/>
  <c r="K297" i="23" s="1"/>
  <c r="I297" i="23"/>
  <c r="M297" i="23" s="1"/>
  <c r="J296" i="23"/>
  <c r="K296" i="23" s="1"/>
  <c r="I296" i="23"/>
  <c r="M296" i="23" s="1"/>
  <c r="M295" i="23"/>
  <c r="J295" i="23"/>
  <c r="K295" i="23" s="1"/>
  <c r="I295" i="23"/>
  <c r="K294" i="23"/>
  <c r="J294" i="23"/>
  <c r="I294" i="23"/>
  <c r="M294" i="23" s="1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M289" i="23"/>
  <c r="J289" i="23"/>
  <c r="K289" i="23" s="1"/>
  <c r="I289" i="23"/>
  <c r="J288" i="23"/>
  <c r="K288" i="23" s="1"/>
  <c r="I288" i="23"/>
  <c r="M288" i="23" s="1"/>
  <c r="J287" i="23"/>
  <c r="K287" i="23" s="1"/>
  <c r="I287" i="23"/>
  <c r="M287" i="23" s="1"/>
  <c r="K286" i="23"/>
  <c r="J286" i="23"/>
  <c r="I286" i="23"/>
  <c r="M286" i="23" s="1"/>
  <c r="J285" i="23"/>
  <c r="K285" i="23" s="1"/>
  <c r="I285" i="23"/>
  <c r="M285" i="23" s="1"/>
  <c r="M284" i="23"/>
  <c r="J284" i="23"/>
  <c r="K284" i="23" s="1"/>
  <c r="I284" i="23"/>
  <c r="J283" i="23"/>
  <c r="K283" i="23" s="1"/>
  <c r="I283" i="23"/>
  <c r="M283" i="23" s="1"/>
  <c r="M282" i="23"/>
  <c r="J282" i="23"/>
  <c r="K282" i="23" s="1"/>
  <c r="I282" i="23"/>
  <c r="J281" i="23"/>
  <c r="K281" i="23" s="1"/>
  <c r="I281" i="23"/>
  <c r="M281" i="23" s="1"/>
  <c r="J280" i="23"/>
  <c r="K280" i="23" s="1"/>
  <c r="I280" i="23"/>
  <c r="M280" i="23" s="1"/>
  <c r="M279" i="23"/>
  <c r="J279" i="23"/>
  <c r="K279" i="23" s="1"/>
  <c r="I279" i="23"/>
  <c r="K278" i="23"/>
  <c r="J278" i="23"/>
  <c r="I278" i="23"/>
  <c r="M278" i="23" s="1"/>
  <c r="M277" i="23"/>
  <c r="J277" i="23"/>
  <c r="K277" i="23" s="1"/>
  <c r="I277" i="23"/>
  <c r="J276" i="23"/>
  <c r="K276" i="23" s="1"/>
  <c r="I276" i="23"/>
  <c r="M276" i="23" s="1"/>
  <c r="M275" i="23"/>
  <c r="J275" i="23"/>
  <c r="K275" i="23" s="1"/>
  <c r="I275" i="23"/>
  <c r="M274" i="23"/>
  <c r="J274" i="23"/>
  <c r="K274" i="23" s="1"/>
  <c r="I274" i="23"/>
  <c r="M273" i="23"/>
  <c r="J273" i="23"/>
  <c r="K273" i="23" s="1"/>
  <c r="I273" i="23"/>
  <c r="M272" i="23"/>
  <c r="J272" i="23"/>
  <c r="K272" i="23" s="1"/>
  <c r="I272" i="23"/>
  <c r="J271" i="23"/>
  <c r="K271" i="23" s="1"/>
  <c r="I271" i="23"/>
  <c r="M271" i="23" s="1"/>
  <c r="K270" i="23"/>
  <c r="J270" i="23"/>
  <c r="I270" i="23"/>
  <c r="M270" i="23" s="1"/>
  <c r="J269" i="23"/>
  <c r="K269" i="23" s="1"/>
  <c r="I269" i="23"/>
  <c r="M269" i="23" s="1"/>
  <c r="M268" i="23"/>
  <c r="J268" i="23"/>
  <c r="K268" i="23" s="1"/>
  <c r="I268" i="23"/>
  <c r="M267" i="23"/>
  <c r="J267" i="23"/>
  <c r="K267" i="23" s="1"/>
  <c r="I267" i="23"/>
  <c r="M266" i="23"/>
  <c r="J266" i="23"/>
  <c r="K266" i="23" s="1"/>
  <c r="I266" i="23"/>
  <c r="J265" i="23"/>
  <c r="K265" i="23" s="1"/>
  <c r="I265" i="23"/>
  <c r="M265" i="23" s="1"/>
  <c r="J264" i="23"/>
  <c r="K264" i="23" s="1"/>
  <c r="I264" i="23"/>
  <c r="M264" i="23" s="1"/>
  <c r="M263" i="23"/>
  <c r="J263" i="23"/>
  <c r="K263" i="23" s="1"/>
  <c r="I263" i="23"/>
  <c r="K262" i="23"/>
  <c r="J262" i="23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J258" i="23"/>
  <c r="K258" i="23" s="1"/>
  <c r="I258" i="23"/>
  <c r="M257" i="23"/>
  <c r="J257" i="23"/>
  <c r="K257" i="23" s="1"/>
  <c r="I257" i="23"/>
  <c r="J256" i="23"/>
  <c r="K256" i="23" s="1"/>
  <c r="I256" i="23"/>
  <c r="M256" i="23" s="1"/>
  <c r="J255" i="23"/>
  <c r="K255" i="23" s="1"/>
  <c r="I255" i="23"/>
  <c r="M255" i="23" s="1"/>
  <c r="K254" i="23"/>
  <c r="J254" i="23"/>
  <c r="I254" i="23"/>
  <c r="M254" i="23" s="1"/>
  <c r="J253" i="23"/>
  <c r="K253" i="23" s="1"/>
  <c r="I253" i="23"/>
  <c r="M253" i="23" s="1"/>
  <c r="M252" i="23"/>
  <c r="J252" i="23"/>
  <c r="K252" i="23" s="1"/>
  <c r="I252" i="23"/>
  <c r="J251" i="23"/>
  <c r="K251" i="23" s="1"/>
  <c r="I251" i="23"/>
  <c r="M251" i="23" s="1"/>
  <c r="M250" i="23"/>
  <c r="J250" i="23"/>
  <c r="K250" i="23" s="1"/>
  <c r="I250" i="23"/>
  <c r="J249" i="23"/>
  <c r="K249" i="23" s="1"/>
  <c r="I249" i="23"/>
  <c r="M249" i="23" s="1"/>
  <c r="J248" i="23"/>
  <c r="K248" i="23" s="1"/>
  <c r="I248" i="23"/>
  <c r="M248" i="23" s="1"/>
  <c r="M247" i="23"/>
  <c r="J247" i="23"/>
  <c r="K247" i="23" s="1"/>
  <c r="I247" i="23"/>
  <c r="K246" i="23"/>
  <c r="J246" i="23"/>
  <c r="I246" i="23"/>
  <c r="M246" i="23" s="1"/>
  <c r="M245" i="23"/>
  <c r="J245" i="23"/>
  <c r="K245" i="23" s="1"/>
  <c r="I245" i="23"/>
  <c r="J244" i="23"/>
  <c r="K244" i="23" s="1"/>
  <c r="I244" i="23"/>
  <c r="M244" i="23" s="1"/>
  <c r="J243" i="23"/>
  <c r="K243" i="23" s="1"/>
  <c r="I243" i="23"/>
  <c r="M243" i="23" s="1"/>
  <c r="M242" i="23"/>
  <c r="J242" i="23"/>
  <c r="K242" i="23" s="1"/>
  <c r="I242" i="23"/>
  <c r="M241" i="23"/>
  <c r="J241" i="23"/>
  <c r="K241" i="23" s="1"/>
  <c r="I241" i="23"/>
  <c r="J240" i="23"/>
  <c r="K240" i="23" s="1"/>
  <c r="I240" i="23"/>
  <c r="M240" i="23" s="1"/>
  <c r="J239" i="23"/>
  <c r="K239" i="23" s="1"/>
  <c r="I239" i="23"/>
  <c r="M239" i="23" s="1"/>
  <c r="K238" i="23"/>
  <c r="J238" i="23"/>
  <c r="I238" i="23"/>
  <c r="M238" i="23" s="1"/>
  <c r="J237" i="23"/>
  <c r="K237" i="23" s="1"/>
  <c r="I237" i="23"/>
  <c r="M237" i="23" s="1"/>
  <c r="M236" i="23"/>
  <c r="J236" i="23"/>
  <c r="K236" i="23" s="1"/>
  <c r="I236" i="23"/>
  <c r="M235" i="23"/>
  <c r="J235" i="23"/>
  <c r="K235" i="23" s="1"/>
  <c r="I235" i="23"/>
  <c r="K234" i="23"/>
  <c r="J234" i="23"/>
  <c r="I234" i="23"/>
  <c r="M234" i="23" s="1"/>
  <c r="J233" i="23"/>
  <c r="K233" i="23" s="1"/>
  <c r="I233" i="23"/>
  <c r="M233" i="23" s="1"/>
  <c r="M232" i="23"/>
  <c r="J232" i="23"/>
  <c r="K232" i="23" s="1"/>
  <c r="I232" i="23"/>
  <c r="J231" i="23"/>
  <c r="K231" i="23" s="1"/>
  <c r="I231" i="23"/>
  <c r="M231" i="23" s="1"/>
  <c r="K230" i="23"/>
  <c r="J230" i="23"/>
  <c r="I230" i="23"/>
  <c r="M230" i="23" s="1"/>
  <c r="M229" i="23"/>
  <c r="J229" i="23"/>
  <c r="K229" i="23" s="1"/>
  <c r="I229" i="23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J225" i="23"/>
  <c r="K225" i="23" s="1"/>
  <c r="I225" i="23"/>
  <c r="M225" i="23" s="1"/>
  <c r="M224" i="23"/>
  <c r="J224" i="23"/>
  <c r="K224" i="23" s="1"/>
  <c r="I224" i="23"/>
  <c r="J223" i="23"/>
  <c r="K223" i="23" s="1"/>
  <c r="I223" i="23"/>
  <c r="M223" i="23" s="1"/>
  <c r="K222" i="23"/>
  <c r="J222" i="23"/>
  <c r="I222" i="23"/>
  <c r="M222" i="23" s="1"/>
  <c r="M221" i="23"/>
  <c r="J221" i="23"/>
  <c r="K221" i="23" s="1"/>
  <c r="I221" i="23"/>
  <c r="M220" i="23"/>
  <c r="J220" i="23"/>
  <c r="K220" i="23" s="1"/>
  <c r="I220" i="23"/>
  <c r="J219" i="23"/>
  <c r="K219" i="23" s="1"/>
  <c r="I219" i="23"/>
  <c r="M219" i="23" s="1"/>
  <c r="K218" i="23"/>
  <c r="J218" i="23"/>
  <c r="I218" i="23"/>
  <c r="M218" i="23" s="1"/>
  <c r="J217" i="23"/>
  <c r="K217" i="23" s="1"/>
  <c r="I217" i="23"/>
  <c r="M217" i="23" s="1"/>
  <c r="J216" i="23"/>
  <c r="K216" i="23" s="1"/>
  <c r="I216" i="23"/>
  <c r="M216" i="23" s="1"/>
  <c r="J215" i="23"/>
  <c r="K215" i="23" s="1"/>
  <c r="I215" i="23"/>
  <c r="M215" i="23" s="1"/>
  <c r="K214" i="23"/>
  <c r="J214" i="23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J210" i="23"/>
  <c r="K210" i="23" s="1"/>
  <c r="I210" i="23"/>
  <c r="M210" i="23" s="1"/>
  <c r="J209" i="23"/>
  <c r="K209" i="23" s="1"/>
  <c r="I209" i="23"/>
  <c r="M209" i="23" s="1"/>
  <c r="M208" i="23"/>
  <c r="J208" i="23"/>
  <c r="K208" i="23" s="1"/>
  <c r="I208" i="23"/>
  <c r="J207" i="23"/>
  <c r="K207" i="23" s="1"/>
  <c r="I207" i="23"/>
  <c r="M207" i="23" s="1"/>
  <c r="K206" i="23"/>
  <c r="J206" i="23"/>
  <c r="I206" i="23"/>
  <c r="M206" i="23" s="1"/>
  <c r="J205" i="23"/>
  <c r="K205" i="23" s="1"/>
  <c r="I205" i="23"/>
  <c r="M205" i="23" s="1"/>
  <c r="J204" i="23"/>
  <c r="K204" i="23" s="1"/>
  <c r="I204" i="23"/>
  <c r="M204" i="23" s="1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J197" i="23"/>
  <c r="K197" i="23" s="1"/>
  <c r="I197" i="23"/>
  <c r="M197" i="23" s="1"/>
  <c r="M196" i="23"/>
  <c r="J196" i="23"/>
  <c r="K196" i="23" s="1"/>
  <c r="I196" i="23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K190" i="23"/>
  <c r="J190" i="23"/>
  <c r="I190" i="23"/>
  <c r="M190" i="23" s="1"/>
  <c r="J189" i="23"/>
  <c r="K189" i="23" s="1"/>
  <c r="I189" i="23"/>
  <c r="M189" i="23" s="1"/>
  <c r="J188" i="23"/>
  <c r="K188" i="23" s="1"/>
  <c r="I188" i="23"/>
  <c r="M188" i="23" s="1"/>
  <c r="M187" i="23"/>
  <c r="J187" i="23"/>
  <c r="K187" i="23" s="1"/>
  <c r="I187" i="23"/>
  <c r="J186" i="23"/>
  <c r="K186" i="23" s="1"/>
  <c r="I186" i="23"/>
  <c r="M186" i="23" s="1"/>
  <c r="J185" i="23"/>
  <c r="K185" i="23" s="1"/>
  <c r="I185" i="23"/>
  <c r="M185" i="23" s="1"/>
  <c r="M184" i="23"/>
  <c r="J184" i="23"/>
  <c r="K184" i="23" s="1"/>
  <c r="I184" i="23"/>
  <c r="J183" i="23"/>
  <c r="K183" i="23" s="1"/>
  <c r="I183" i="23"/>
  <c r="M183" i="23" s="1"/>
  <c r="J182" i="23"/>
  <c r="K182" i="23" s="1"/>
  <c r="I182" i="23"/>
  <c r="M182" i="23" s="1"/>
  <c r="J181" i="23"/>
  <c r="K181" i="23" s="1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M176" i="23"/>
  <c r="J176" i="23"/>
  <c r="K176" i="23" s="1"/>
  <c r="I176" i="23"/>
  <c r="J175" i="23"/>
  <c r="K175" i="23" s="1"/>
  <c r="I175" i="23"/>
  <c r="M175" i="23" s="1"/>
  <c r="K174" i="23"/>
  <c r="J174" i="23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J170" i="23"/>
  <c r="K170" i="23" s="1"/>
  <c r="I170" i="23"/>
  <c r="M170" i="23" s="1"/>
  <c r="J169" i="23"/>
  <c r="K169" i="23" s="1"/>
  <c r="I169" i="23"/>
  <c r="M169" i="23" s="1"/>
  <c r="J168" i="23"/>
  <c r="K168" i="23" s="1"/>
  <c r="I168" i="23"/>
  <c r="M168" i="23" s="1"/>
  <c r="J167" i="23"/>
  <c r="K167" i="23" s="1"/>
  <c r="I167" i="23"/>
  <c r="M167" i="23" s="1"/>
  <c r="J166" i="23"/>
  <c r="K166" i="23" s="1"/>
  <c r="I166" i="23"/>
  <c r="M166" i="23" s="1"/>
  <c r="J165" i="23"/>
  <c r="K165" i="23" s="1"/>
  <c r="I165" i="23"/>
  <c r="M165" i="23" s="1"/>
  <c r="M164" i="23"/>
  <c r="J164" i="23"/>
  <c r="K164" i="23" s="1"/>
  <c r="I164" i="23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K158" i="23"/>
  <c r="J158" i="23"/>
  <c r="I158" i="23"/>
  <c r="M158" i="23" s="1"/>
  <c r="J157" i="23"/>
  <c r="K157" i="23" s="1"/>
  <c r="I157" i="23"/>
  <c r="M157" i="23" s="1"/>
  <c r="J156" i="23"/>
  <c r="K156" i="23" s="1"/>
  <c r="I156" i="23"/>
  <c r="M156" i="23" s="1"/>
  <c r="M155" i="23"/>
  <c r="J155" i="23"/>
  <c r="K155" i="23" s="1"/>
  <c r="I155" i="23"/>
  <c r="J154" i="23"/>
  <c r="K154" i="23" s="1"/>
  <c r="I154" i="23"/>
  <c r="M154" i="23" s="1"/>
  <c r="J153" i="23"/>
  <c r="K153" i="23" s="1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M149" i="23"/>
  <c r="J149" i="23"/>
  <c r="K149" i="23" s="1"/>
  <c r="I149" i="23"/>
  <c r="J148" i="23"/>
  <c r="K148" i="23" s="1"/>
  <c r="I148" i="23"/>
  <c r="M148" i="23" s="1"/>
  <c r="J147" i="23"/>
  <c r="K147" i="23" s="1"/>
  <c r="I147" i="23"/>
  <c r="M147" i="23" s="1"/>
  <c r="K146" i="23"/>
  <c r="J146" i="23"/>
  <c r="I146" i="23"/>
  <c r="M146" i="23" s="1"/>
  <c r="J145" i="23"/>
  <c r="K145" i="23" s="1"/>
  <c r="I145" i="23"/>
  <c r="M145" i="23" s="1"/>
  <c r="J144" i="23"/>
  <c r="K144" i="23" s="1"/>
  <c r="I144" i="23"/>
  <c r="M144" i="23" s="1"/>
  <c r="M143" i="23"/>
  <c r="J143" i="23"/>
  <c r="K143" i="23" s="1"/>
  <c r="I143" i="23"/>
  <c r="J142" i="23"/>
  <c r="K142" i="23" s="1"/>
  <c r="I142" i="23"/>
  <c r="M142" i="23" s="1"/>
  <c r="J141" i="23"/>
  <c r="K141" i="23" s="1"/>
  <c r="I141" i="23"/>
  <c r="M141" i="23" s="1"/>
  <c r="M140" i="23"/>
  <c r="J140" i="23"/>
  <c r="K140" i="23" s="1"/>
  <c r="I140" i="23"/>
  <c r="J139" i="23"/>
  <c r="K139" i="23" s="1"/>
  <c r="I139" i="23"/>
  <c r="M139" i="23" s="1"/>
  <c r="K138" i="23"/>
  <c r="J138" i="23"/>
  <c r="I138" i="23"/>
  <c r="M138" i="23" s="1"/>
  <c r="J137" i="23"/>
  <c r="K137" i="23" s="1"/>
  <c r="I137" i="23"/>
  <c r="M137" i="23" s="1"/>
  <c r="J136" i="23"/>
  <c r="K136" i="23" s="1"/>
  <c r="I136" i="23"/>
  <c r="M136" i="23" s="1"/>
  <c r="J135" i="23"/>
  <c r="K135" i="23" s="1"/>
  <c r="I135" i="23"/>
  <c r="M135" i="23" s="1"/>
  <c r="K134" i="23"/>
  <c r="J134" i="23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M130" i="23"/>
  <c r="J130" i="23"/>
  <c r="K130" i="23" s="1"/>
  <c r="I130" i="23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M126" i="23"/>
  <c r="J126" i="23"/>
  <c r="K126" i="23" s="1"/>
  <c r="I126" i="23"/>
  <c r="J125" i="23"/>
  <c r="K125" i="23" s="1"/>
  <c r="I125" i="23"/>
  <c r="M125" i="23" s="1"/>
  <c r="J124" i="23"/>
  <c r="K124" i="23" s="1"/>
  <c r="I124" i="23"/>
  <c r="M124" i="23" s="1"/>
  <c r="M123" i="23"/>
  <c r="J123" i="23"/>
  <c r="K123" i="23" s="1"/>
  <c r="I123" i="23"/>
  <c r="M122" i="23"/>
  <c r="J122" i="23"/>
  <c r="K122" i="23" s="1"/>
  <c r="I122" i="23"/>
  <c r="J121" i="23"/>
  <c r="K121" i="23" s="1"/>
  <c r="I121" i="23"/>
  <c r="M121" i="23" s="1"/>
  <c r="J120" i="23"/>
  <c r="K120" i="23" s="1"/>
  <c r="I120" i="23"/>
  <c r="M120" i="23" s="1"/>
  <c r="J119" i="23"/>
  <c r="K119" i="23" s="1"/>
  <c r="I119" i="23"/>
  <c r="M119" i="23" s="1"/>
  <c r="M118" i="23"/>
  <c r="J118" i="23"/>
  <c r="K118" i="23" s="1"/>
  <c r="I118" i="23"/>
  <c r="J117" i="23"/>
  <c r="K117" i="23" s="1"/>
  <c r="I117" i="23"/>
  <c r="M117" i="23" s="1"/>
  <c r="J116" i="23"/>
  <c r="K116" i="23" s="1"/>
  <c r="I116" i="23"/>
  <c r="M116" i="23" s="1"/>
  <c r="M115" i="23"/>
  <c r="J115" i="23"/>
  <c r="K115" i="23" s="1"/>
  <c r="I115" i="23"/>
  <c r="M114" i="23"/>
  <c r="J114" i="23"/>
  <c r="K114" i="23" s="1"/>
  <c r="I114" i="23"/>
  <c r="J113" i="23"/>
  <c r="K113" i="23" s="1"/>
  <c r="I113" i="23"/>
  <c r="M113" i="23" s="1"/>
  <c r="J112" i="23"/>
  <c r="K112" i="23" s="1"/>
  <c r="I112" i="23"/>
  <c r="M112" i="23" s="1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J108" i="23"/>
  <c r="K108" i="23" s="1"/>
  <c r="I108" i="23"/>
  <c r="M108" i="23" s="1"/>
  <c r="M107" i="23"/>
  <c r="J107" i="23"/>
  <c r="K107" i="23" s="1"/>
  <c r="I107" i="23"/>
  <c r="M106" i="23"/>
  <c r="J106" i="23"/>
  <c r="K106" i="23" s="1"/>
  <c r="I106" i="23"/>
  <c r="J105" i="23"/>
  <c r="K105" i="23" s="1"/>
  <c r="I105" i="23"/>
  <c r="M105" i="23" s="1"/>
  <c r="J104" i="23"/>
  <c r="K104" i="23" s="1"/>
  <c r="I104" i="23"/>
  <c r="M104" i="23" s="1"/>
  <c r="J103" i="23"/>
  <c r="K103" i="23" s="1"/>
  <c r="I103" i="23"/>
  <c r="M103" i="23" s="1"/>
  <c r="M102" i="23"/>
  <c r="J102" i="23"/>
  <c r="K102" i="23" s="1"/>
  <c r="I102" i="23"/>
  <c r="J101" i="23"/>
  <c r="K101" i="23" s="1"/>
  <c r="I101" i="23"/>
  <c r="M101" i="23" s="1"/>
  <c r="J100" i="23"/>
  <c r="K100" i="23" s="1"/>
  <c r="I100" i="23"/>
  <c r="M100" i="23" s="1"/>
  <c r="M99" i="23"/>
  <c r="J99" i="23"/>
  <c r="K99" i="23" s="1"/>
  <c r="I99" i="23"/>
  <c r="M98" i="23"/>
  <c r="J98" i="23"/>
  <c r="K98" i="23" s="1"/>
  <c r="I98" i="23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M94" i="23"/>
  <c r="J94" i="23"/>
  <c r="K94" i="23" s="1"/>
  <c r="I94" i="23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J90" i="23"/>
  <c r="K90" i="23" s="1"/>
  <c r="I90" i="23"/>
  <c r="M90" i="23" s="1"/>
  <c r="J89" i="23"/>
  <c r="K89" i="23" s="1"/>
  <c r="I89" i="23"/>
  <c r="M89" i="23" s="1"/>
  <c r="J88" i="23"/>
  <c r="K88" i="23" s="1"/>
  <c r="I88" i="23"/>
  <c r="M88" i="23" s="1"/>
  <c r="J87" i="23"/>
  <c r="K87" i="23" s="1"/>
  <c r="I87" i="23"/>
  <c r="M87" i="23" s="1"/>
  <c r="M86" i="23"/>
  <c r="J86" i="23"/>
  <c r="K86" i="23" s="1"/>
  <c r="I86" i="23"/>
  <c r="J85" i="23"/>
  <c r="K85" i="23" s="1"/>
  <c r="I85" i="23"/>
  <c r="M85" i="23" s="1"/>
  <c r="M84" i="23"/>
  <c r="J84" i="23"/>
  <c r="K84" i="23" s="1"/>
  <c r="I84" i="23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M78" i="23"/>
  <c r="J78" i="23"/>
  <c r="K78" i="23" s="1"/>
  <c r="I78" i="23"/>
  <c r="J77" i="23"/>
  <c r="K77" i="23" s="1"/>
  <c r="I77" i="23"/>
  <c r="M77" i="23" s="1"/>
  <c r="J76" i="23"/>
  <c r="K76" i="23" s="1"/>
  <c r="I76" i="23"/>
  <c r="M76" i="23" s="1"/>
  <c r="J75" i="23"/>
  <c r="K75" i="23" s="1"/>
  <c r="I75" i="23"/>
  <c r="M75" i="23" s="1"/>
  <c r="J74" i="23"/>
  <c r="K74" i="23" s="1"/>
  <c r="I74" i="23"/>
  <c r="M74" i="23" s="1"/>
  <c r="J73" i="23"/>
  <c r="K73" i="23" s="1"/>
  <c r="I73" i="23"/>
  <c r="M73" i="23" s="1"/>
  <c r="J72" i="23"/>
  <c r="K72" i="23" s="1"/>
  <c r="I72" i="23"/>
  <c r="M72" i="23" s="1"/>
  <c r="J71" i="23"/>
  <c r="K71" i="23" s="1"/>
  <c r="I71" i="23"/>
  <c r="M71" i="23" s="1"/>
  <c r="M70" i="23"/>
  <c r="J70" i="23"/>
  <c r="K70" i="23" s="1"/>
  <c r="I70" i="23"/>
  <c r="J69" i="23"/>
  <c r="K69" i="23" s="1"/>
  <c r="I69" i="23"/>
  <c r="M69" i="23" s="1"/>
  <c r="M68" i="23"/>
  <c r="J68" i="23"/>
  <c r="K68" i="23" s="1"/>
  <c r="I68" i="23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K64" i="23"/>
  <c r="J64" i="23"/>
  <c r="I64" i="23"/>
  <c r="M64" i="23" s="1"/>
  <c r="B64" i="23"/>
  <c r="M63" i="23"/>
  <c r="J63" i="23"/>
  <c r="K63" i="23" s="1"/>
  <c r="I63" i="23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J58" i="23"/>
  <c r="K58" i="23" s="1"/>
  <c r="I58" i="23"/>
  <c r="M58" i="23" s="1"/>
  <c r="B58" i="23"/>
  <c r="J57" i="23"/>
  <c r="K57" i="23" s="1"/>
  <c r="I57" i="23"/>
  <c r="M57" i="23" s="1"/>
  <c r="B57" i="23"/>
  <c r="M56" i="23"/>
  <c r="J56" i="23"/>
  <c r="K56" i="23" s="1"/>
  <c r="I56" i="23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K52" i="23"/>
  <c r="J52" i="23"/>
  <c r="I52" i="23"/>
  <c r="M52" i="23" s="1"/>
  <c r="B52" i="23"/>
  <c r="J51" i="23"/>
  <c r="K51" i="23" s="1"/>
  <c r="I51" i="23"/>
  <c r="M51" i="23" s="1"/>
  <c r="B51" i="23"/>
  <c r="K50" i="23"/>
  <c r="J50" i="23"/>
  <c r="I50" i="23"/>
  <c r="M50" i="23" s="1"/>
  <c r="B50" i="23"/>
  <c r="J49" i="23"/>
  <c r="K49" i="23" s="1"/>
  <c r="I49" i="23"/>
  <c r="M49" i="23" s="1"/>
  <c r="B49" i="23"/>
  <c r="K48" i="23"/>
  <c r="J48" i="23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J45" i="23"/>
  <c r="K45" i="23" s="1"/>
  <c r="I45" i="23"/>
  <c r="M45" i="23" s="1"/>
  <c r="B45" i="23"/>
  <c r="M44" i="23"/>
  <c r="J44" i="23"/>
  <c r="K44" i="23" s="1"/>
  <c r="I44" i="23"/>
  <c r="B44" i="23"/>
  <c r="K43" i="23"/>
  <c r="J43" i="23"/>
  <c r="I43" i="23"/>
  <c r="M43" i="23" s="1"/>
  <c r="B43" i="23"/>
  <c r="M42" i="23"/>
  <c r="J42" i="23"/>
  <c r="K42" i="23" s="1"/>
  <c r="I42" i="23"/>
  <c r="B42" i="23"/>
  <c r="K41" i="23"/>
  <c r="J41" i="23"/>
  <c r="I41" i="23"/>
  <c r="M41" i="23" s="1"/>
  <c r="B41" i="23"/>
  <c r="J40" i="23"/>
  <c r="K40" i="23" s="1"/>
  <c r="I40" i="23"/>
  <c r="M40" i="23" s="1"/>
  <c r="B40" i="23"/>
  <c r="K39" i="23"/>
  <c r="J39" i="23"/>
  <c r="I39" i="23"/>
  <c r="M39" i="23" s="1"/>
  <c r="B39" i="23"/>
  <c r="M38" i="23"/>
  <c r="J38" i="23"/>
  <c r="K38" i="23" s="1"/>
  <c r="I38" i="23"/>
  <c r="B38" i="23"/>
  <c r="J37" i="23"/>
  <c r="K37" i="23" s="1"/>
  <c r="I37" i="23"/>
  <c r="M37" i="23" s="1"/>
  <c r="A37" i="23" s="1"/>
  <c r="B37" i="23"/>
  <c r="K36" i="23"/>
  <c r="J36" i="23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J33" i="23"/>
  <c r="K33" i="23" s="1"/>
  <c r="I33" i="23"/>
  <c r="M33" i="23" s="1"/>
  <c r="B33" i="23"/>
  <c r="A33" i="23"/>
  <c r="K32" i="23"/>
  <c r="J32" i="23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M28" i="23"/>
  <c r="A28" i="23" s="1"/>
  <c r="J28" i="23"/>
  <c r="K28" i="23" s="1"/>
  <c r="I28" i="23"/>
  <c r="B28" i="23"/>
  <c r="AB28" i="20" s="1"/>
  <c r="K27" i="23"/>
  <c r="J27" i="23"/>
  <c r="I27" i="23"/>
  <c r="M27" i="23" s="1"/>
  <c r="A27" i="23" s="1"/>
  <c r="B27" i="23"/>
  <c r="K26" i="23"/>
  <c r="J26" i="23"/>
  <c r="I26" i="23"/>
  <c r="M26" i="23" s="1"/>
  <c r="A26" i="23" s="1"/>
  <c r="B26" i="23"/>
  <c r="J25" i="23"/>
  <c r="K25" i="23" s="1"/>
  <c r="I25" i="23"/>
  <c r="M25" i="23" s="1"/>
  <c r="A25" i="23" s="1"/>
  <c r="B25" i="23"/>
  <c r="K24" i="23"/>
  <c r="M24" i="23" s="1"/>
  <c r="A24" i="23" s="1"/>
  <c r="J24" i="23"/>
  <c r="I24" i="23"/>
  <c r="B24" i="23"/>
  <c r="K23" i="23"/>
  <c r="J23" i="23"/>
  <c r="I23" i="23"/>
  <c r="M23" i="23" s="1"/>
  <c r="A23" i="23" s="1"/>
  <c r="B23" i="23"/>
  <c r="K22" i="23"/>
  <c r="J22" i="23"/>
  <c r="I22" i="23"/>
  <c r="M22" i="23" s="1"/>
  <c r="A22" i="23" s="1"/>
  <c r="B22" i="23"/>
  <c r="J21" i="23"/>
  <c r="K21" i="23" s="1"/>
  <c r="I21" i="23"/>
  <c r="M21" i="23" s="1"/>
  <c r="A21" i="23" s="1"/>
  <c r="B21" i="23"/>
  <c r="K20" i="23"/>
  <c r="M20" i="23" s="1"/>
  <c r="A20" i="23" s="1"/>
  <c r="J20" i="23"/>
  <c r="I20" i="23"/>
  <c r="B20" i="23"/>
  <c r="K19" i="23"/>
  <c r="J19" i="23"/>
  <c r="I19" i="23"/>
  <c r="M19" i="23" s="1"/>
  <c r="A19" i="23" s="1"/>
  <c r="B19" i="23"/>
  <c r="K18" i="23"/>
  <c r="J18" i="23"/>
  <c r="I18" i="23"/>
  <c r="M18" i="23" s="1"/>
  <c r="A18" i="23" s="1"/>
  <c r="B18" i="23"/>
  <c r="J17" i="23"/>
  <c r="K17" i="23" s="1"/>
  <c r="I17" i="23"/>
  <c r="M17" i="23" s="1"/>
  <c r="A17" i="23" s="1"/>
  <c r="B17" i="23"/>
  <c r="M16" i="23"/>
  <c r="A16" i="23" s="1"/>
  <c r="J16" i="23"/>
  <c r="K16" i="23" s="1"/>
  <c r="I16" i="23"/>
  <c r="B16" i="23"/>
  <c r="J15" i="23"/>
  <c r="K15" i="23" s="1"/>
  <c r="I15" i="23"/>
  <c r="B15" i="23"/>
  <c r="AI14" i="23"/>
  <c r="AI16" i="23" s="1"/>
  <c r="J14" i="23"/>
  <c r="K14" i="23" s="1"/>
  <c r="I14" i="23"/>
  <c r="B14" i="23"/>
  <c r="AI13" i="23"/>
  <c r="J13" i="23"/>
  <c r="K13" i="23" s="1"/>
  <c r="M13" i="23" s="1"/>
  <c r="A13" i="23" s="1"/>
  <c r="I13" i="23"/>
  <c r="B13" i="23"/>
  <c r="AI12" i="23"/>
  <c r="K12" i="23"/>
  <c r="J12" i="23"/>
  <c r="I12" i="23"/>
  <c r="M12" i="23" s="1"/>
  <c r="A12" i="23" s="1"/>
  <c r="B12" i="23"/>
  <c r="J11" i="23"/>
  <c r="K11" i="23" s="1"/>
  <c r="I11" i="23"/>
  <c r="M11" i="23" s="1"/>
  <c r="A11" i="23" s="1"/>
  <c r="B11" i="23"/>
  <c r="J10" i="23"/>
  <c r="K10" i="23" s="1"/>
  <c r="M10" i="23" s="1"/>
  <c r="A10" i="23" s="1"/>
  <c r="I10" i="23"/>
  <c r="B10" i="23"/>
  <c r="K9" i="23"/>
  <c r="I9" i="23"/>
  <c r="B9" i="23"/>
  <c r="K8" i="23"/>
  <c r="I8" i="23"/>
  <c r="M8" i="23" s="1"/>
  <c r="A8" i="23" s="1"/>
  <c r="B8" i="23"/>
  <c r="K7" i="23"/>
  <c r="I7" i="23"/>
  <c r="M7" i="23" s="1"/>
  <c r="A7" i="23" s="1"/>
  <c r="B7" i="23"/>
  <c r="K6" i="23"/>
  <c r="I6" i="23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J304" i="22"/>
  <c r="K304" i="22" s="1"/>
  <c r="I304" i="22"/>
  <c r="M304" i="22" s="1"/>
  <c r="K303" i="22"/>
  <c r="J303" i="22"/>
  <c r="I303" i="22"/>
  <c r="M303" i="22" s="1"/>
  <c r="M302" i="22"/>
  <c r="K302" i="22"/>
  <c r="J302" i="22"/>
  <c r="I302" i="22"/>
  <c r="K301" i="22"/>
  <c r="J301" i="22"/>
  <c r="I301" i="22"/>
  <c r="M301" i="22" s="1"/>
  <c r="M300" i="22"/>
  <c r="K300" i="22"/>
  <c r="J300" i="22"/>
  <c r="I300" i="22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K295" i="22"/>
  <c r="J295" i="22"/>
  <c r="I295" i="22"/>
  <c r="M295" i="22" s="1"/>
  <c r="M294" i="22"/>
  <c r="K294" i="22"/>
  <c r="J294" i="22"/>
  <c r="I294" i="22"/>
  <c r="K293" i="22"/>
  <c r="J293" i="22"/>
  <c r="I293" i="22"/>
  <c r="M293" i="22" s="1"/>
  <c r="M292" i="22"/>
  <c r="K292" i="22"/>
  <c r="J292" i="22"/>
  <c r="I292" i="22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K287" i="22"/>
  <c r="J287" i="22"/>
  <c r="I287" i="22"/>
  <c r="M287" i="22" s="1"/>
  <c r="M286" i="22"/>
  <c r="K286" i="22"/>
  <c r="J286" i="22"/>
  <c r="I286" i="22"/>
  <c r="K285" i="22"/>
  <c r="J285" i="22"/>
  <c r="I285" i="22"/>
  <c r="M285" i="22" s="1"/>
  <c r="M284" i="22"/>
  <c r="K284" i="22"/>
  <c r="J284" i="22"/>
  <c r="I284" i="22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K279" i="22"/>
  <c r="J279" i="22"/>
  <c r="I279" i="22"/>
  <c r="M279" i="22" s="1"/>
  <c r="M278" i="22"/>
  <c r="K278" i="22"/>
  <c r="J278" i="22"/>
  <c r="I278" i="22"/>
  <c r="K277" i="22"/>
  <c r="J277" i="22"/>
  <c r="I277" i="22"/>
  <c r="M277" i="22" s="1"/>
  <c r="M276" i="22"/>
  <c r="K276" i="22"/>
  <c r="J276" i="22"/>
  <c r="I276" i="22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K271" i="22"/>
  <c r="J271" i="22"/>
  <c r="I271" i="22"/>
  <c r="M271" i="22" s="1"/>
  <c r="M270" i="22"/>
  <c r="K270" i="22"/>
  <c r="J270" i="22"/>
  <c r="I270" i="22"/>
  <c r="K269" i="22"/>
  <c r="J269" i="22"/>
  <c r="I269" i="22"/>
  <c r="M269" i="22" s="1"/>
  <c r="M268" i="22"/>
  <c r="K268" i="22"/>
  <c r="J268" i="22"/>
  <c r="I268" i="22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K263" i="22"/>
  <c r="J263" i="22"/>
  <c r="I263" i="22"/>
  <c r="M263" i="22" s="1"/>
  <c r="M262" i="22"/>
  <c r="K262" i="22"/>
  <c r="J262" i="22"/>
  <c r="I262" i="22"/>
  <c r="K261" i="22"/>
  <c r="J261" i="22"/>
  <c r="I261" i="22"/>
  <c r="M261" i="22" s="1"/>
  <c r="M260" i="22"/>
  <c r="K260" i="22"/>
  <c r="J260" i="22"/>
  <c r="I260" i="22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K255" i="22"/>
  <c r="J255" i="22"/>
  <c r="I255" i="22"/>
  <c r="M255" i="22" s="1"/>
  <c r="M254" i="22"/>
  <c r="K254" i="22"/>
  <c r="J254" i="22"/>
  <c r="I254" i="22"/>
  <c r="K253" i="22"/>
  <c r="J253" i="22"/>
  <c r="I253" i="22"/>
  <c r="M253" i="22" s="1"/>
  <c r="M252" i="22"/>
  <c r="K252" i="22"/>
  <c r="J252" i="22"/>
  <c r="I252" i="22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K247" i="22"/>
  <c r="J247" i="22"/>
  <c r="I247" i="22"/>
  <c r="M247" i="22" s="1"/>
  <c r="M246" i="22"/>
  <c r="K246" i="22"/>
  <c r="J246" i="22"/>
  <c r="I246" i="22"/>
  <c r="K245" i="22"/>
  <c r="J245" i="22"/>
  <c r="I245" i="22"/>
  <c r="M245" i="22" s="1"/>
  <c r="M244" i="22"/>
  <c r="K244" i="22"/>
  <c r="J244" i="22"/>
  <c r="I244" i="22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K239" i="22"/>
  <c r="J239" i="22"/>
  <c r="I239" i="22"/>
  <c r="M239" i="22" s="1"/>
  <c r="M238" i="22"/>
  <c r="K238" i="22"/>
  <c r="J238" i="22"/>
  <c r="I238" i="22"/>
  <c r="K237" i="22"/>
  <c r="J237" i="22"/>
  <c r="I237" i="22"/>
  <c r="M237" i="22" s="1"/>
  <c r="M236" i="22"/>
  <c r="K236" i="22"/>
  <c r="J236" i="22"/>
  <c r="I236" i="22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M232" i="22"/>
  <c r="J232" i="22"/>
  <c r="K232" i="22" s="1"/>
  <c r="I232" i="22"/>
  <c r="K231" i="22"/>
  <c r="J231" i="22"/>
  <c r="I231" i="22"/>
  <c r="M231" i="22" s="1"/>
  <c r="J230" i="22"/>
  <c r="K230" i="22" s="1"/>
  <c r="I230" i="22"/>
  <c r="M230" i="22" s="1"/>
  <c r="J229" i="22"/>
  <c r="K229" i="22" s="1"/>
  <c r="I229" i="22"/>
  <c r="M229" i="22" s="1"/>
  <c r="M228" i="22"/>
  <c r="J228" i="22"/>
  <c r="K228" i="22" s="1"/>
  <c r="I228" i="22"/>
  <c r="J227" i="22"/>
  <c r="K227" i="22" s="1"/>
  <c r="I227" i="22"/>
  <c r="M227" i="22" s="1"/>
  <c r="M226" i="22"/>
  <c r="J226" i="22"/>
  <c r="K226" i="22" s="1"/>
  <c r="I226" i="22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M220" i="22"/>
  <c r="J220" i="22"/>
  <c r="K220" i="22" s="1"/>
  <c r="I220" i="22"/>
  <c r="J219" i="22"/>
  <c r="K219" i="22" s="1"/>
  <c r="I219" i="22"/>
  <c r="M219" i="22" s="1"/>
  <c r="M218" i="22"/>
  <c r="J218" i="22"/>
  <c r="K218" i="22" s="1"/>
  <c r="I218" i="22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M212" i="22"/>
  <c r="J212" i="22"/>
  <c r="K212" i="22" s="1"/>
  <c r="I212" i="22"/>
  <c r="J211" i="22"/>
  <c r="K211" i="22" s="1"/>
  <c r="I211" i="22"/>
  <c r="M211" i="22" s="1"/>
  <c r="M210" i="22"/>
  <c r="J210" i="22"/>
  <c r="K210" i="22" s="1"/>
  <c r="I210" i="22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M204" i="22"/>
  <c r="J204" i="22"/>
  <c r="K204" i="22" s="1"/>
  <c r="I204" i="22"/>
  <c r="J203" i="22"/>
  <c r="K203" i="22" s="1"/>
  <c r="I203" i="22"/>
  <c r="M203" i="22" s="1"/>
  <c r="M202" i="22"/>
  <c r="J202" i="22"/>
  <c r="K202" i="22" s="1"/>
  <c r="I202" i="22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K189" i="22"/>
  <c r="J189" i="22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K173" i="22"/>
  <c r="J173" i="22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K157" i="22"/>
  <c r="J157" i="22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K141" i="22"/>
  <c r="J141" i="22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K125" i="22"/>
  <c r="J125" i="22"/>
  <c r="I125" i="22"/>
  <c r="M125" i="22" s="1"/>
  <c r="K124" i="22"/>
  <c r="J124" i="22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K118" i="22"/>
  <c r="J118" i="22"/>
  <c r="I118" i="22"/>
  <c r="M118" i="22" s="1"/>
  <c r="K117" i="22"/>
  <c r="J117" i="22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M112" i="22"/>
  <c r="J112" i="22"/>
  <c r="K112" i="22" s="1"/>
  <c r="I112" i="22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M106" i="22"/>
  <c r="J106" i="22"/>
  <c r="K106" i="22" s="1"/>
  <c r="I106" i="22"/>
  <c r="J105" i="22"/>
  <c r="K105" i="22" s="1"/>
  <c r="I105" i="22"/>
  <c r="M105" i="22" s="1"/>
  <c r="M104" i="22"/>
  <c r="J104" i="22"/>
  <c r="K104" i="22" s="1"/>
  <c r="I104" i="22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M98" i="22"/>
  <c r="J98" i="22"/>
  <c r="K98" i="22" s="1"/>
  <c r="I98" i="22"/>
  <c r="J97" i="22"/>
  <c r="K97" i="22" s="1"/>
  <c r="I97" i="22"/>
  <c r="M97" i="22" s="1"/>
  <c r="M96" i="22"/>
  <c r="J96" i="22"/>
  <c r="K96" i="22" s="1"/>
  <c r="I96" i="22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M90" i="22"/>
  <c r="J90" i="22"/>
  <c r="K90" i="22" s="1"/>
  <c r="I90" i="22"/>
  <c r="J89" i="22"/>
  <c r="K89" i="22" s="1"/>
  <c r="I89" i="22"/>
  <c r="M89" i="22" s="1"/>
  <c r="M88" i="22"/>
  <c r="J88" i="22"/>
  <c r="K88" i="22" s="1"/>
  <c r="I88" i="22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M82" i="22"/>
  <c r="J82" i="22"/>
  <c r="K82" i="22" s="1"/>
  <c r="I82" i="22"/>
  <c r="J81" i="22"/>
  <c r="K81" i="22" s="1"/>
  <c r="I81" i="22"/>
  <c r="M81" i="22" s="1"/>
  <c r="M80" i="22"/>
  <c r="J80" i="22"/>
  <c r="K80" i="22" s="1"/>
  <c r="I80" i="22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M74" i="22"/>
  <c r="J74" i="22"/>
  <c r="K74" i="22" s="1"/>
  <c r="I74" i="22"/>
  <c r="J73" i="22"/>
  <c r="K73" i="22" s="1"/>
  <c r="I73" i="22"/>
  <c r="M73" i="22" s="1"/>
  <c r="M72" i="22"/>
  <c r="J72" i="22"/>
  <c r="K72" i="22" s="1"/>
  <c r="I72" i="22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M66" i="22"/>
  <c r="J66" i="22"/>
  <c r="K66" i="22" s="1"/>
  <c r="I66" i="22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M61" i="22"/>
  <c r="J61" i="22"/>
  <c r="K61" i="22" s="1"/>
  <c r="I61" i="22"/>
  <c r="B61" i="22"/>
  <c r="K60" i="22"/>
  <c r="J60" i="22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K56" i="22"/>
  <c r="J56" i="22"/>
  <c r="I56" i="22"/>
  <c r="M56" i="22" s="1"/>
  <c r="B56" i="22"/>
  <c r="M55" i="22"/>
  <c r="J55" i="22"/>
  <c r="K55" i="22" s="1"/>
  <c r="I55" i="22"/>
  <c r="B55" i="22"/>
  <c r="J54" i="22"/>
  <c r="K54" i="22" s="1"/>
  <c r="I54" i="22"/>
  <c r="M54" i="22" s="1"/>
  <c r="B54" i="22"/>
  <c r="M53" i="22"/>
  <c r="J53" i="22"/>
  <c r="K53" i="22" s="1"/>
  <c r="I53" i="22"/>
  <c r="B53" i="22"/>
  <c r="K52" i="22"/>
  <c r="J52" i="22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J47" i="22"/>
  <c r="K47" i="22" s="1"/>
  <c r="I47" i="22"/>
  <c r="B47" i="22"/>
  <c r="U46" i="22"/>
  <c r="T46" i="22"/>
  <c r="R46" i="22"/>
  <c r="M46" i="22"/>
  <c r="J46" i="22"/>
  <c r="K46" i="22" s="1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K39" i="22"/>
  <c r="J39" i="22"/>
  <c r="I39" i="22"/>
  <c r="M39" i="22" s="1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M36" i="22"/>
  <c r="A36" i="22" s="1"/>
  <c r="K36" i="22"/>
  <c r="J36" i="22"/>
  <c r="I36" i="22"/>
  <c r="B36" i="22"/>
  <c r="K35" i="22"/>
  <c r="J35" i="22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B33" i="22"/>
  <c r="A33" i="22"/>
  <c r="J32" i="22"/>
  <c r="K32" i="22" s="1"/>
  <c r="I32" i="22"/>
  <c r="M32" i="22" s="1"/>
  <c r="A32" i="22" s="1"/>
  <c r="B32" i="22"/>
  <c r="K31" i="22"/>
  <c r="J31" i="22"/>
  <c r="I31" i="22"/>
  <c r="M31" i="22" s="1"/>
  <c r="A31" i="22" s="1"/>
  <c r="B31" i="22"/>
  <c r="K30" i="22"/>
  <c r="J30" i="22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B25" i="22"/>
  <c r="A25" i="22"/>
  <c r="K24" i="22"/>
  <c r="J24" i="22"/>
  <c r="I24" i="22"/>
  <c r="M24" i="22" s="1"/>
  <c r="A24" i="22" s="1"/>
  <c r="B24" i="22"/>
  <c r="K23" i="22"/>
  <c r="J23" i="22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K19" i="22"/>
  <c r="J19" i="22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M14" i="22" s="1"/>
  <c r="A14" i="22" s="1"/>
  <c r="I14" i="22"/>
  <c r="B14" i="22"/>
  <c r="AI13" i="22"/>
  <c r="AI16" i="22" s="1"/>
  <c r="J13" i="22"/>
  <c r="K13" i="22" s="1"/>
  <c r="M13" i="22" s="1"/>
  <c r="A13" i="22" s="1"/>
  <c r="I13" i="22"/>
  <c r="B13" i="22"/>
  <c r="AI12" i="22"/>
  <c r="J12" i="22"/>
  <c r="K12" i="22" s="1"/>
  <c r="I12" i="22"/>
  <c r="M12" i="22" s="1"/>
  <c r="A12" i="22" s="1"/>
  <c r="B12" i="22"/>
  <c r="J11" i="22"/>
  <c r="K11" i="22" s="1"/>
  <c r="I11" i="22"/>
  <c r="B11" i="22"/>
  <c r="J10" i="22"/>
  <c r="K10" i="22" s="1"/>
  <c r="M10" i="22" s="1"/>
  <c r="A10" i="22" s="1"/>
  <c r="I10" i="22"/>
  <c r="B10" i="22"/>
  <c r="J9" i="22"/>
  <c r="K9" i="22" s="1"/>
  <c r="I9" i="22"/>
  <c r="B9" i="22"/>
  <c r="J8" i="22"/>
  <c r="K8" i="22" s="1"/>
  <c r="I8" i="22"/>
  <c r="M8" i="22" s="1"/>
  <c r="A8" i="22" s="1"/>
  <c r="B8" i="22"/>
  <c r="J7" i="22"/>
  <c r="K7" i="22" s="1"/>
  <c r="M7" i="22" s="1"/>
  <c r="A7" i="22" s="1"/>
  <c r="I7" i="22"/>
  <c r="B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J304" i="21"/>
  <c r="K304" i="21" s="1"/>
  <c r="I304" i="21"/>
  <c r="M304" i="21" s="1"/>
  <c r="M303" i="21"/>
  <c r="K303" i="21"/>
  <c r="J303" i="21"/>
  <c r="I303" i="21"/>
  <c r="J302" i="21"/>
  <c r="K302" i="21" s="1"/>
  <c r="I302" i="21"/>
  <c r="M302" i="21" s="1"/>
  <c r="M301" i="21"/>
  <c r="K301" i="21"/>
  <c r="J301" i="21"/>
  <c r="I301" i="21"/>
  <c r="J300" i="21"/>
  <c r="K300" i="21" s="1"/>
  <c r="I300" i="21"/>
  <c r="M300" i="21" s="1"/>
  <c r="M299" i="21"/>
  <c r="K299" i="21"/>
  <c r="J299" i="21"/>
  <c r="I299" i="21"/>
  <c r="J298" i="21"/>
  <c r="K298" i="21" s="1"/>
  <c r="I298" i="21"/>
  <c r="M298" i="21" s="1"/>
  <c r="M297" i="21"/>
  <c r="K297" i="21"/>
  <c r="J297" i="21"/>
  <c r="I297" i="21"/>
  <c r="J296" i="21"/>
  <c r="K296" i="21" s="1"/>
  <c r="I296" i="21"/>
  <c r="M296" i="21" s="1"/>
  <c r="K295" i="21"/>
  <c r="J295" i="21"/>
  <c r="I295" i="21"/>
  <c r="M295" i="21" s="1"/>
  <c r="J294" i="21"/>
  <c r="K294" i="21" s="1"/>
  <c r="I294" i="21"/>
  <c r="M294" i="21" s="1"/>
  <c r="K293" i="21"/>
  <c r="J293" i="21"/>
  <c r="I293" i="21"/>
  <c r="M293" i="21" s="1"/>
  <c r="J292" i="21"/>
  <c r="K292" i="21" s="1"/>
  <c r="I292" i="21"/>
  <c r="M292" i="21" s="1"/>
  <c r="K291" i="21"/>
  <c r="J291" i="21"/>
  <c r="I291" i="21"/>
  <c r="M291" i="21" s="1"/>
  <c r="J290" i="21"/>
  <c r="K290" i="21" s="1"/>
  <c r="I290" i="21"/>
  <c r="M290" i="21" s="1"/>
  <c r="K289" i="21"/>
  <c r="J289" i="21"/>
  <c r="I289" i="21"/>
  <c r="M289" i="21" s="1"/>
  <c r="J288" i="21"/>
  <c r="K288" i="21" s="1"/>
  <c r="I288" i="21"/>
  <c r="M288" i="21" s="1"/>
  <c r="K287" i="21"/>
  <c r="J287" i="21"/>
  <c r="I287" i="21"/>
  <c r="M287" i="21" s="1"/>
  <c r="J286" i="21"/>
  <c r="K286" i="21" s="1"/>
  <c r="I286" i="21"/>
  <c r="M286" i="21" s="1"/>
  <c r="K285" i="21"/>
  <c r="J285" i="2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J190" i="21"/>
  <c r="K190" i="21" s="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K153" i="21"/>
  <c r="J153" i="2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K149" i="21"/>
  <c r="J149" i="2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K145" i="21"/>
  <c r="J145" i="2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K141" i="21"/>
  <c r="J141" i="2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K137" i="21"/>
  <c r="J137" i="2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K133" i="21"/>
  <c r="J133" i="2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K129" i="21"/>
  <c r="J129" i="2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K125" i="21"/>
  <c r="J125" i="21"/>
  <c r="I125" i="21"/>
  <c r="M125" i="21" s="1"/>
  <c r="J124" i="21"/>
  <c r="K124" i="21" s="1"/>
  <c r="I124" i="21"/>
  <c r="M124" i="21" s="1"/>
  <c r="J123" i="21"/>
  <c r="K123" i="21" s="1"/>
  <c r="I123" i="21"/>
  <c r="M123" i="21" s="1"/>
  <c r="J122" i="21"/>
  <c r="K122" i="21" s="1"/>
  <c r="I122" i="21"/>
  <c r="M122" i="21" s="1"/>
  <c r="K121" i="21"/>
  <c r="J121" i="2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K117" i="21"/>
  <c r="J117" i="2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K113" i="21"/>
  <c r="J113" i="2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K109" i="21"/>
  <c r="J109" i="21"/>
  <c r="I109" i="21"/>
  <c r="M109" i="21" s="1"/>
  <c r="J108" i="21"/>
  <c r="K108" i="21" s="1"/>
  <c r="I108" i="21"/>
  <c r="M108" i="21" s="1"/>
  <c r="J107" i="21"/>
  <c r="K107" i="21" s="1"/>
  <c r="I107" i="21"/>
  <c r="M107" i="21" s="1"/>
  <c r="J106" i="21"/>
  <c r="K106" i="21" s="1"/>
  <c r="I106" i="21"/>
  <c r="M106" i="21" s="1"/>
  <c r="K105" i="21"/>
  <c r="J105" i="2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K101" i="21"/>
  <c r="J101" i="2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K97" i="21"/>
  <c r="J97" i="2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K93" i="21"/>
  <c r="J93" i="2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K89" i="21"/>
  <c r="J89" i="21"/>
  <c r="I89" i="21"/>
  <c r="M89" i="21" s="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K85" i="21"/>
  <c r="J85" i="2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K81" i="21"/>
  <c r="J81" i="2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K77" i="21"/>
  <c r="J77" i="2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K73" i="21"/>
  <c r="J73" i="2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K69" i="21"/>
  <c r="J69" i="2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K65" i="21"/>
  <c r="J65" i="21"/>
  <c r="I65" i="21"/>
  <c r="M65" i="21" s="1"/>
  <c r="B65" i="21"/>
  <c r="M64" i="21"/>
  <c r="J64" i="21"/>
  <c r="K64" i="21" s="1"/>
  <c r="I64" i="21"/>
  <c r="B64" i="21"/>
  <c r="M63" i="21"/>
  <c r="K63" i="21"/>
  <c r="J63" i="21"/>
  <c r="I63" i="21"/>
  <c r="B63" i="21"/>
  <c r="J62" i="21"/>
  <c r="K62" i="21" s="1"/>
  <c r="I62" i="21"/>
  <c r="M62" i="21" s="1"/>
  <c r="B62" i="21"/>
  <c r="M61" i="21"/>
  <c r="J61" i="21"/>
  <c r="K61" i="21" s="1"/>
  <c r="I61" i="21"/>
  <c r="B61" i="21"/>
  <c r="M60" i="21"/>
  <c r="J60" i="21"/>
  <c r="K60" i="21" s="1"/>
  <c r="I60" i="21"/>
  <c r="B60" i="21"/>
  <c r="K59" i="21"/>
  <c r="J59" i="21"/>
  <c r="I59" i="21"/>
  <c r="M59" i="21" s="1"/>
  <c r="B59" i="21"/>
  <c r="M58" i="21"/>
  <c r="K58" i="21"/>
  <c r="J58" i="21"/>
  <c r="I58" i="21"/>
  <c r="B58" i="21"/>
  <c r="K57" i="21"/>
  <c r="J57" i="21"/>
  <c r="I57" i="21"/>
  <c r="M57" i="21" s="1"/>
  <c r="B57" i="21"/>
  <c r="M56" i="21"/>
  <c r="J56" i="21"/>
  <c r="K56" i="21" s="1"/>
  <c r="I56" i="21"/>
  <c r="B56" i="21"/>
  <c r="K55" i="21"/>
  <c r="J55" i="21"/>
  <c r="I55" i="21"/>
  <c r="M55" i="21" s="1"/>
  <c r="B55" i="21"/>
  <c r="M54" i="21"/>
  <c r="J54" i="21"/>
  <c r="K54" i="21" s="1"/>
  <c r="I54" i="21"/>
  <c r="B54" i="21"/>
  <c r="K53" i="21"/>
  <c r="J53" i="21"/>
  <c r="I53" i="21"/>
  <c r="M53" i="21" s="1"/>
  <c r="B53" i="21"/>
  <c r="M52" i="21"/>
  <c r="J52" i="21"/>
  <c r="K52" i="21" s="1"/>
  <c r="I52" i="21"/>
  <c r="B52" i="21"/>
  <c r="K51" i="21"/>
  <c r="J51" i="21"/>
  <c r="I51" i="21"/>
  <c r="M51" i="21" s="1"/>
  <c r="B51" i="21"/>
  <c r="M50" i="21"/>
  <c r="J50" i="21"/>
  <c r="K50" i="21" s="1"/>
  <c r="I50" i="21"/>
  <c r="B50" i="21"/>
  <c r="K49" i="21"/>
  <c r="J49" i="21"/>
  <c r="I49" i="21"/>
  <c r="M49" i="21" s="1"/>
  <c r="B49" i="21"/>
  <c r="M48" i="21"/>
  <c r="J48" i="21"/>
  <c r="K48" i="21" s="1"/>
  <c r="I48" i="21"/>
  <c r="B48" i="21"/>
  <c r="K47" i="21"/>
  <c r="J47" i="21"/>
  <c r="I47" i="21"/>
  <c r="M47" i="21" s="1"/>
  <c r="B47" i="21"/>
  <c r="U46" i="21"/>
  <c r="T46" i="21"/>
  <c r="R46" i="21"/>
  <c r="K46" i="21"/>
  <c r="J46" i="21"/>
  <c r="I46" i="21"/>
  <c r="M46" i="21" s="1"/>
  <c r="B46" i="21"/>
  <c r="M45" i="21"/>
  <c r="J45" i="21"/>
  <c r="K45" i="21" s="1"/>
  <c r="I45" i="21"/>
  <c r="B45" i="21"/>
  <c r="K44" i="21"/>
  <c r="J44" i="21"/>
  <c r="I44" i="21"/>
  <c r="M44" i="21" s="1"/>
  <c r="B44" i="21"/>
  <c r="M43" i="21"/>
  <c r="J43" i="21"/>
  <c r="K43" i="21" s="1"/>
  <c r="I43" i="21"/>
  <c r="B43" i="21"/>
  <c r="K42" i="21"/>
  <c r="J42" i="21"/>
  <c r="I42" i="21"/>
  <c r="M42" i="21" s="1"/>
  <c r="B42" i="21"/>
  <c r="M41" i="21"/>
  <c r="J41" i="21"/>
  <c r="K41" i="21" s="1"/>
  <c r="I41" i="21"/>
  <c r="B41" i="21"/>
  <c r="K40" i="21"/>
  <c r="J40" i="21"/>
  <c r="I40" i="21"/>
  <c r="M40" i="21" s="1"/>
  <c r="B40" i="21"/>
  <c r="M39" i="21"/>
  <c r="J39" i="21"/>
  <c r="K39" i="21" s="1"/>
  <c r="I39" i="21"/>
  <c r="B39" i="21"/>
  <c r="K38" i="21"/>
  <c r="J38" i="21"/>
  <c r="I38" i="21"/>
  <c r="M38" i="21" s="1"/>
  <c r="B38" i="21"/>
  <c r="M37" i="21"/>
  <c r="A37" i="21" s="1"/>
  <c r="J37" i="21"/>
  <c r="K37" i="21" s="1"/>
  <c r="I37" i="21"/>
  <c r="B37" i="21"/>
  <c r="M36" i="21"/>
  <c r="A36" i="21" s="1"/>
  <c r="J36" i="21"/>
  <c r="K36" i="21" s="1"/>
  <c r="I36" i="21"/>
  <c r="B36" i="21"/>
  <c r="M35" i="21"/>
  <c r="A35" i="21" s="1"/>
  <c r="J35" i="21"/>
  <c r="K35" i="21" s="1"/>
  <c r="I35" i="21"/>
  <c r="B35" i="21"/>
  <c r="M34" i="21"/>
  <c r="A34" i="21" s="1"/>
  <c r="J34" i="21"/>
  <c r="K34" i="21" s="1"/>
  <c r="I34" i="21"/>
  <c r="B34" i="21"/>
  <c r="M33" i="21"/>
  <c r="A33" i="21" s="1"/>
  <c r="J33" i="21"/>
  <c r="K33" i="21" s="1"/>
  <c r="I33" i="21"/>
  <c r="B33" i="21"/>
  <c r="M32" i="21"/>
  <c r="A32" i="21" s="1"/>
  <c r="J32" i="21"/>
  <c r="K32" i="21" s="1"/>
  <c r="I32" i="21"/>
  <c r="B32" i="21"/>
  <c r="M31" i="21"/>
  <c r="A31" i="21" s="1"/>
  <c r="J31" i="21"/>
  <c r="K31" i="21" s="1"/>
  <c r="I31" i="21"/>
  <c r="B31" i="21"/>
  <c r="M30" i="21"/>
  <c r="A30" i="21" s="1"/>
  <c r="J30" i="21"/>
  <c r="K30" i="21" s="1"/>
  <c r="I30" i="21"/>
  <c r="B30" i="21"/>
  <c r="M29" i="21"/>
  <c r="A29" i="21" s="1"/>
  <c r="J29" i="21"/>
  <c r="K29" i="21" s="1"/>
  <c r="I29" i="21"/>
  <c r="B29" i="21"/>
  <c r="M28" i="21"/>
  <c r="A28" i="21" s="1"/>
  <c r="J28" i="21"/>
  <c r="K28" i="21" s="1"/>
  <c r="I28" i="21"/>
  <c r="B28" i="21"/>
  <c r="M27" i="21"/>
  <c r="A27" i="21" s="1"/>
  <c r="J27" i="21"/>
  <c r="K27" i="21" s="1"/>
  <c r="I27" i="21"/>
  <c r="B27" i="21"/>
  <c r="M26" i="21"/>
  <c r="A26" i="21" s="1"/>
  <c r="J26" i="21"/>
  <c r="K26" i="21" s="1"/>
  <c r="I26" i="21"/>
  <c r="B26" i="21"/>
  <c r="M25" i="21"/>
  <c r="A25" i="21" s="1"/>
  <c r="J25" i="21"/>
  <c r="K25" i="21" s="1"/>
  <c r="I25" i="21"/>
  <c r="B25" i="21"/>
  <c r="M24" i="21"/>
  <c r="A24" i="21" s="1"/>
  <c r="J24" i="21"/>
  <c r="K24" i="21" s="1"/>
  <c r="I24" i="21"/>
  <c r="B24" i="21"/>
  <c r="M23" i="21"/>
  <c r="A23" i="21" s="1"/>
  <c r="J23" i="21"/>
  <c r="K23" i="21" s="1"/>
  <c r="I23" i="21"/>
  <c r="B23" i="21"/>
  <c r="M22" i="21"/>
  <c r="A22" i="21" s="1"/>
  <c r="J22" i="21"/>
  <c r="K22" i="21" s="1"/>
  <c r="I22" i="21"/>
  <c r="B22" i="21"/>
  <c r="M21" i="21"/>
  <c r="A21" i="21" s="1"/>
  <c r="J21" i="21"/>
  <c r="K21" i="21" s="1"/>
  <c r="I21" i="21"/>
  <c r="B21" i="21"/>
  <c r="M20" i="21"/>
  <c r="A20" i="21" s="1"/>
  <c r="J20" i="21"/>
  <c r="K20" i="21" s="1"/>
  <c r="I20" i="21"/>
  <c r="B20" i="21"/>
  <c r="M19" i="21"/>
  <c r="A19" i="21" s="1"/>
  <c r="J19" i="21"/>
  <c r="K19" i="21" s="1"/>
  <c r="I19" i="21"/>
  <c r="B19" i="21"/>
  <c r="M18" i="21"/>
  <c r="A18" i="21" s="1"/>
  <c r="J18" i="21"/>
  <c r="K18" i="21" s="1"/>
  <c r="I18" i="21"/>
  <c r="B18" i="21"/>
  <c r="M17" i="21"/>
  <c r="A17" i="21" s="1"/>
  <c r="J17" i="21"/>
  <c r="K17" i="21" s="1"/>
  <c r="I17" i="21"/>
  <c r="B17" i="21"/>
  <c r="AI16" i="21"/>
  <c r="K16" i="21"/>
  <c r="J16" i="21"/>
  <c r="I16" i="21"/>
  <c r="M16" i="21" s="1"/>
  <c r="A16" i="21" s="1"/>
  <c r="B16" i="21"/>
  <c r="K15" i="21"/>
  <c r="J15" i="21"/>
  <c r="I15" i="21"/>
  <c r="M15" i="21" s="1"/>
  <c r="A15" i="21" s="1"/>
  <c r="B15" i="21"/>
  <c r="AI14" i="21"/>
  <c r="M14" i="21"/>
  <c r="A14" i="21" s="1"/>
  <c r="J14" i="21"/>
  <c r="K14" i="21" s="1"/>
  <c r="I14" i="21"/>
  <c r="B14" i="21"/>
  <c r="AI13" i="21"/>
  <c r="K13" i="21"/>
  <c r="J13" i="21"/>
  <c r="I13" i="21"/>
  <c r="M13" i="21" s="1"/>
  <c r="A13" i="21" s="1"/>
  <c r="B13" i="21"/>
  <c r="AI12" i="21"/>
  <c r="M12" i="21"/>
  <c r="A12" i="21" s="1"/>
  <c r="J12" i="21"/>
  <c r="K12" i="21" s="1"/>
  <c r="I12" i="21"/>
  <c r="B12" i="21"/>
  <c r="M11" i="21"/>
  <c r="A11" i="21" s="1"/>
  <c r="J11" i="21"/>
  <c r="K11" i="21" s="1"/>
  <c r="I11" i="21"/>
  <c r="B11" i="21"/>
  <c r="M10" i="21"/>
  <c r="A10" i="21" s="1"/>
  <c r="J10" i="21"/>
  <c r="K10" i="21" s="1"/>
  <c r="I10" i="21"/>
  <c r="B10" i="21"/>
  <c r="M9" i="21"/>
  <c r="A9" i="21" s="1"/>
  <c r="K9" i="21"/>
  <c r="J9" i="21"/>
  <c r="I9" i="21"/>
  <c r="B9" i="21"/>
  <c r="L8" i="21"/>
  <c r="J8" i="21"/>
  <c r="K8" i="21" s="1"/>
  <c r="I8" i="21"/>
  <c r="M8" i="21" s="1"/>
  <c r="A8" i="21" s="1"/>
  <c r="B8" i="21"/>
  <c r="K7" i="21"/>
  <c r="J7" i="21"/>
  <c r="I7" i="21"/>
  <c r="M7" i="21" s="1"/>
  <c r="A7" i="21" s="1"/>
  <c r="B7" i="21"/>
  <c r="M6" i="21"/>
  <c r="L6" i="21"/>
  <c r="J6" i="21"/>
  <c r="K6" i="21" s="1"/>
  <c r="I6" i="21"/>
  <c r="B6" i="21"/>
  <c r="A6" i="21"/>
  <c r="K2" i="21"/>
  <c r="L7" i="21" s="1"/>
  <c r="AX29" i="20" a="1"/>
  <c r="AX29" i="20" s="1"/>
  <c r="AJ29" i="20"/>
  <c r="AH29" i="20"/>
  <c r="AF29" i="20"/>
  <c r="AB29" i="20"/>
  <c r="Z29" i="20"/>
  <c r="X29" i="20"/>
  <c r="Y29" i="20" s="1"/>
  <c r="BA29" i="20" s="1"/>
  <c r="A29" i="20"/>
  <c r="AX28" i="20" a="1"/>
  <c r="AX28" i="20" s="1"/>
  <c r="AL28" i="20"/>
  <c r="AM28" i="20" s="1"/>
  <c r="BG28" i="20" s="1"/>
  <c r="AJ28" i="20"/>
  <c r="AH28" i="20"/>
  <c r="AF28" i="20"/>
  <c r="Z28" i="20"/>
  <c r="X28" i="20"/>
  <c r="Y28" i="20" s="1"/>
  <c r="BA28" i="20" s="1"/>
  <c r="A28" i="20"/>
  <c r="AX27" i="20" a="1"/>
  <c r="AX27" i="20" s="1"/>
  <c r="AJ27" i="20"/>
  <c r="AH27" i="20"/>
  <c r="AF27" i="20"/>
  <c r="Z27" i="20"/>
  <c r="X27" i="20"/>
  <c r="Y27" i="20" s="1"/>
  <c r="BA27" i="20" s="1"/>
  <c r="A27" i="20"/>
  <c r="AX26" i="20" a="1"/>
  <c r="AX26" i="20" s="1"/>
  <c r="AJ26" i="20"/>
  <c r="AH26" i="20"/>
  <c r="AF26" i="20"/>
  <c r="Z26" i="20"/>
  <c r="X26" i="20"/>
  <c r="Y26" i="20" s="1"/>
  <c r="BA26" i="20" s="1"/>
  <c r="A26" i="20"/>
  <c r="AX25" i="20" a="1"/>
  <c r="AX25" i="20" s="1"/>
  <c r="AJ25" i="20"/>
  <c r="AH25" i="20"/>
  <c r="AF25" i="20"/>
  <c r="Z25" i="20"/>
  <c r="AA25" i="20" s="1"/>
  <c r="BB25" i="20" s="1"/>
  <c r="X25" i="20"/>
  <c r="Y25" i="20" s="1"/>
  <c r="BA25" i="20" s="1"/>
  <c r="A25" i="20"/>
  <c r="AX24" i="20" a="1"/>
  <c r="AX24" i="20" s="1"/>
  <c r="AL24" i="20"/>
  <c r="AM24" i="20" s="1"/>
  <c r="BG24" i="20" s="1"/>
  <c r="AJ24" i="20"/>
  <c r="AH24" i="20"/>
  <c r="AF24" i="20"/>
  <c r="AB24" i="20"/>
  <c r="Z24" i="20"/>
  <c r="X24" i="20"/>
  <c r="Y24" i="20" s="1"/>
  <c r="BA24" i="20" s="1"/>
  <c r="A24" i="20"/>
  <c r="AX23" i="20" a="1"/>
  <c r="AX23" i="20" s="1"/>
  <c r="AJ23" i="20"/>
  <c r="AH23" i="20"/>
  <c r="AF23" i="20"/>
  <c r="AB23" i="20"/>
  <c r="Z23" i="20"/>
  <c r="X23" i="20"/>
  <c r="Y23" i="20" s="1"/>
  <c r="BA23" i="20" s="1"/>
  <c r="A23" i="20"/>
  <c r="AX22" i="20" a="1"/>
  <c r="AX22" i="20" s="1"/>
  <c r="AJ22" i="20"/>
  <c r="AH22" i="20"/>
  <c r="AF22" i="20"/>
  <c r="AB22" i="20"/>
  <c r="Z22" i="20"/>
  <c r="X22" i="20"/>
  <c r="Y22" i="20" s="1"/>
  <c r="BA22" i="20" s="1"/>
  <c r="A22" i="20"/>
  <c r="AX21" i="20" a="1"/>
  <c r="AX21" i="20" s="1"/>
  <c r="AJ21" i="20"/>
  <c r="AH21" i="20"/>
  <c r="AF21" i="20"/>
  <c r="AB21" i="20"/>
  <c r="Z21" i="20"/>
  <c r="X21" i="20"/>
  <c r="Y21" i="20" s="1"/>
  <c r="BA21" i="20" s="1"/>
  <c r="A21" i="20"/>
  <c r="AX20" i="20" a="1"/>
  <c r="AX20" i="20" s="1"/>
  <c r="AL20" i="20"/>
  <c r="AM20" i="20" s="1"/>
  <c r="BG20" i="20" s="1"/>
  <c r="AJ20" i="20"/>
  <c r="AH20" i="20"/>
  <c r="AF20" i="20"/>
  <c r="Z20" i="20"/>
  <c r="X20" i="20"/>
  <c r="Y20" i="20" s="1"/>
  <c r="BA20" i="20" s="1"/>
  <c r="A20" i="20"/>
  <c r="AX19" i="20" a="1"/>
  <c r="AX19" i="20" s="1"/>
  <c r="AJ19" i="20"/>
  <c r="AH19" i="20"/>
  <c r="AF19" i="20"/>
  <c r="Z19" i="20"/>
  <c r="X19" i="20"/>
  <c r="Y19" i="20" s="1"/>
  <c r="BA19" i="20" s="1"/>
  <c r="A19" i="20"/>
  <c r="AX18" i="20" a="1"/>
  <c r="AX18" i="20" s="1"/>
  <c r="AJ18" i="20"/>
  <c r="AH18" i="20"/>
  <c r="AF18" i="20"/>
  <c r="Z18" i="20"/>
  <c r="X18" i="20"/>
  <c r="Y18" i="20" s="1"/>
  <c r="BA18" i="20" s="1"/>
  <c r="A18" i="20"/>
  <c r="AX17" i="20" a="1"/>
  <c r="AX17" i="20" s="1"/>
  <c r="AJ17" i="20"/>
  <c r="AH17" i="20"/>
  <c r="AF17" i="20"/>
  <c r="Z17" i="20"/>
  <c r="X17" i="20"/>
  <c r="Y17" i="20" s="1"/>
  <c r="BA17" i="20" s="1"/>
  <c r="A17" i="20"/>
  <c r="AX14" i="20" a="1"/>
  <c r="AX14" i="20" s="1"/>
  <c r="AL14" i="20"/>
  <c r="AM14" i="20" s="1"/>
  <c r="AJ14" i="20"/>
  <c r="AH14" i="20"/>
  <c r="AF14" i="20"/>
  <c r="AB14" i="20"/>
  <c r="Z14" i="20"/>
  <c r="X14" i="20"/>
  <c r="Y14" i="20" s="1"/>
  <c r="A14" i="20"/>
  <c r="AX10" i="20" a="1"/>
  <c r="AX10" i="20" s="1"/>
  <c r="AJ10" i="20"/>
  <c r="AK10" i="20" s="1"/>
  <c r="AH10" i="20"/>
  <c r="AF10" i="20"/>
  <c r="AB10" i="20"/>
  <c r="Z10" i="20"/>
  <c r="X10" i="20"/>
  <c r="Y10" i="20" s="1"/>
  <c r="A10" i="20"/>
  <c r="AX15" i="20" a="1"/>
  <c r="AX15" i="20" s="1"/>
  <c r="AL15" i="20"/>
  <c r="AM15" i="20" s="1"/>
  <c r="BG14" i="20" s="1"/>
  <c r="AJ15" i="20"/>
  <c r="AH15" i="20"/>
  <c r="AF15" i="20"/>
  <c r="AB15" i="20"/>
  <c r="Z15" i="20"/>
  <c r="X15" i="20"/>
  <c r="Y15" i="20" s="1"/>
  <c r="BA14" i="20" s="1"/>
  <c r="A15" i="20"/>
  <c r="AX16" i="20" a="1"/>
  <c r="AX16" i="20" s="1"/>
  <c r="AL16" i="20"/>
  <c r="AM16" i="20" s="1"/>
  <c r="AJ16" i="20"/>
  <c r="AK16" i="20" s="1"/>
  <c r="AH16" i="20"/>
  <c r="AI16" i="20" s="1"/>
  <c r="AF16" i="20"/>
  <c r="AB16" i="20"/>
  <c r="Z16" i="20"/>
  <c r="X16" i="20"/>
  <c r="Y16" i="20" s="1"/>
  <c r="A16" i="20"/>
  <c r="AX12" i="20" a="1"/>
  <c r="AX12" i="20" s="1"/>
  <c r="AL12" i="20"/>
  <c r="AM12" i="20" s="1"/>
  <c r="AJ12" i="20"/>
  <c r="AH12" i="20"/>
  <c r="AF12" i="20"/>
  <c r="AB12" i="20"/>
  <c r="Z12" i="20"/>
  <c r="X12" i="20"/>
  <c r="Y12" i="20" s="1"/>
  <c r="A12" i="20"/>
  <c r="AX6" i="20" a="1"/>
  <c r="AX6" i="20" s="1"/>
  <c r="AL6" i="20"/>
  <c r="AM6" i="20" s="1"/>
  <c r="AJ6" i="20"/>
  <c r="AH6" i="20"/>
  <c r="AF6" i="20"/>
  <c r="AB6" i="20"/>
  <c r="Z6" i="20"/>
  <c r="X6" i="20"/>
  <c r="Y6" i="20" s="1"/>
  <c r="A6" i="20"/>
  <c r="AX9" i="20" a="1"/>
  <c r="AX9" i="20" s="1"/>
  <c r="AL9" i="20"/>
  <c r="AM9" i="20" s="1"/>
  <c r="AJ9" i="20"/>
  <c r="AH9" i="20"/>
  <c r="AF9" i="20"/>
  <c r="AB9" i="20"/>
  <c r="Z9" i="20"/>
  <c r="X9" i="20"/>
  <c r="Y9" i="20" s="1"/>
  <c r="A9" i="20"/>
  <c r="AX13" i="20" a="1"/>
  <c r="AX13" i="20" s="1"/>
  <c r="AL13" i="20"/>
  <c r="AM13" i="20" s="1"/>
  <c r="AJ13" i="20"/>
  <c r="AH13" i="20"/>
  <c r="AF13" i="20"/>
  <c r="AB13" i="20"/>
  <c r="Z13" i="20"/>
  <c r="X13" i="20"/>
  <c r="Y13" i="20" s="1"/>
  <c r="A13" i="20"/>
  <c r="AX11" i="20" a="1"/>
  <c r="AX11" i="20" s="1"/>
  <c r="AL11" i="20"/>
  <c r="AM11" i="20" s="1"/>
  <c r="AJ11" i="20"/>
  <c r="AH11" i="20"/>
  <c r="AF11" i="20"/>
  <c r="AB11" i="20"/>
  <c r="Z11" i="20"/>
  <c r="X11" i="20"/>
  <c r="Y11" i="20" s="1"/>
  <c r="A11" i="20"/>
  <c r="AX8" i="20" a="1"/>
  <c r="AX8" i="20" s="1"/>
  <c r="AL8" i="20"/>
  <c r="AM8" i="20" s="1"/>
  <c r="AJ8" i="20"/>
  <c r="AK8" i="20" s="1"/>
  <c r="AH8" i="20"/>
  <c r="AF8" i="20"/>
  <c r="AB8" i="20"/>
  <c r="Z8" i="20"/>
  <c r="X8" i="20"/>
  <c r="Y8" i="20" s="1"/>
  <c r="A8" i="20"/>
  <c r="AX7" i="20" a="1"/>
  <c r="AX7" i="20" s="1"/>
  <c r="AL7" i="20"/>
  <c r="AM7" i="20" s="1"/>
  <c r="AJ7" i="20"/>
  <c r="AH7" i="20"/>
  <c r="AF7" i="20"/>
  <c r="AB7" i="20"/>
  <c r="Z7" i="20"/>
  <c r="X7" i="20"/>
  <c r="Y7" i="20" s="1"/>
  <c r="A7" i="20"/>
  <c r="B14" i="18"/>
  <c r="B13" i="18"/>
  <c r="B12" i="18"/>
  <c r="B11" i="18"/>
  <c r="B10" i="18"/>
  <c r="B9" i="18"/>
  <c r="B8" i="18"/>
  <c r="M27" i="20" s="1"/>
  <c r="B7" i="18"/>
  <c r="B6" i="18"/>
  <c r="U7" i="13"/>
  <c r="U8" i="13"/>
  <c r="U10" i="13"/>
  <c r="U14" i="13"/>
  <c r="U13" i="13"/>
  <c r="U16" i="13"/>
  <c r="U6" i="13"/>
  <c r="U11" i="13"/>
  <c r="U12" i="13"/>
  <c r="M7" i="13"/>
  <c r="M8" i="13"/>
  <c r="M10" i="13"/>
  <c r="M13" i="13"/>
  <c r="M14" i="13"/>
  <c r="M6" i="13"/>
  <c r="M12" i="13"/>
  <c r="M16" i="13"/>
  <c r="M11" i="13"/>
  <c r="K14" i="13"/>
  <c r="K8" i="20"/>
  <c r="K7" i="13"/>
  <c r="K10" i="13"/>
  <c r="K13" i="13"/>
  <c r="K8" i="13"/>
  <c r="K16" i="13"/>
  <c r="K11" i="13"/>
  <c r="I16" i="13"/>
  <c r="I12" i="13"/>
  <c r="I6" i="13"/>
  <c r="I8" i="13"/>
  <c r="I14" i="13"/>
  <c r="I13" i="13"/>
  <c r="I7" i="13"/>
  <c r="J305" i="19"/>
  <c r="J304" i="19"/>
  <c r="J303" i="19"/>
  <c r="J302" i="19"/>
  <c r="J301" i="19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K291" i="19" s="1"/>
  <c r="J290" i="19"/>
  <c r="K290" i="19" s="1"/>
  <c r="J289" i="19"/>
  <c r="J288" i="19"/>
  <c r="J287" i="19"/>
  <c r="J286" i="19"/>
  <c r="J285" i="19"/>
  <c r="K285" i="19" s="1"/>
  <c r="J284" i="19"/>
  <c r="K284" i="19" s="1"/>
  <c r="J283" i="19"/>
  <c r="K283" i="19" s="1"/>
  <c r="J282" i="19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K268" i="19" s="1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K253" i="19" s="1"/>
  <c r="J252" i="19"/>
  <c r="K252" i="19" s="1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K237" i="19" s="1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K221" i="19" s="1"/>
  <c r="J220" i="19"/>
  <c r="J219" i="19"/>
  <c r="K219" i="19" s="1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K165" i="19" s="1"/>
  <c r="J164" i="19"/>
  <c r="J163" i="19"/>
  <c r="J162" i="19"/>
  <c r="K162" i="19" s="1"/>
  <c r="J161" i="19"/>
  <c r="J160" i="19"/>
  <c r="J159" i="19"/>
  <c r="J158" i="19"/>
  <c r="J157" i="19"/>
  <c r="J156" i="19"/>
  <c r="K156" i="19" s="1"/>
  <c r="J155" i="19"/>
  <c r="K155" i="19" s="1"/>
  <c r="J154" i="19"/>
  <c r="J153" i="19"/>
  <c r="J152" i="19"/>
  <c r="J151" i="19"/>
  <c r="J150" i="19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K140" i="19" s="1"/>
  <c r="J139" i="19"/>
  <c r="K139" i="19" s="1"/>
  <c r="J138" i="19"/>
  <c r="K138" i="19" s="1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K124" i="19" s="1"/>
  <c r="J123" i="19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K115" i="19" s="1"/>
  <c r="J114" i="19"/>
  <c r="K114" i="19" s="1"/>
  <c r="J113" i="19"/>
  <c r="J112" i="19"/>
  <c r="J111" i="19"/>
  <c r="J110" i="19"/>
  <c r="J109" i="19"/>
  <c r="K109" i="19" s="1"/>
  <c r="J108" i="19"/>
  <c r="J107" i="19"/>
  <c r="K107" i="19" s="1"/>
  <c r="J106" i="19"/>
  <c r="K106" i="19" s="1"/>
  <c r="J105" i="19"/>
  <c r="J104" i="19"/>
  <c r="J103" i="19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K92" i="19" s="1"/>
  <c r="J91" i="19"/>
  <c r="K91" i="19" s="1"/>
  <c r="J90" i="19"/>
  <c r="J89" i="19"/>
  <c r="J88" i="19"/>
  <c r="J87" i="19"/>
  <c r="J86" i="19"/>
  <c r="J85" i="19"/>
  <c r="K85" i="19" s="1"/>
  <c r="J84" i="19"/>
  <c r="K84" i="19" s="1"/>
  <c r="J83" i="19"/>
  <c r="K83" i="19" s="1"/>
  <c r="J82" i="19"/>
  <c r="K82" i="19" s="1"/>
  <c r="J81" i="19"/>
  <c r="J80" i="19"/>
  <c r="J79" i="19"/>
  <c r="J78" i="19"/>
  <c r="J77" i="19"/>
  <c r="K77" i="19" s="1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K68" i="19" s="1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J36" i="19"/>
  <c r="K36" i="19" s="1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K27" i="19" s="1"/>
  <c r="J26" i="19"/>
  <c r="J25" i="19"/>
  <c r="J24" i="19"/>
  <c r="J23" i="19"/>
  <c r="J22" i="19"/>
  <c r="J21" i="19"/>
  <c r="K21" i="19" s="1"/>
  <c r="J20" i="19"/>
  <c r="K20" i="19" s="1"/>
  <c r="J19" i="19"/>
  <c r="K19" i="19" s="1"/>
  <c r="J18" i="19"/>
  <c r="K18" i="19" s="1"/>
  <c r="J17" i="19"/>
  <c r="J16" i="19"/>
  <c r="J15" i="19"/>
  <c r="J14" i="19"/>
  <c r="J13" i="19"/>
  <c r="K13" i="19" s="1"/>
  <c r="J12" i="19"/>
  <c r="K12" i="19" s="1"/>
  <c r="J11" i="19"/>
  <c r="K11" i="19" s="1"/>
  <c r="J10" i="19"/>
  <c r="K10" i="19" s="1"/>
  <c r="J9" i="19"/>
  <c r="J8" i="19"/>
  <c r="J7" i="19"/>
  <c r="K14" i="19"/>
  <c r="K22" i="19"/>
  <c r="K30" i="19"/>
  <c r="K38" i="19"/>
  <c r="K46" i="19"/>
  <c r="K54" i="19"/>
  <c r="K60" i="19"/>
  <c r="K62" i="19"/>
  <c r="K70" i="19"/>
  <c r="K78" i="19"/>
  <c r="K93" i="19"/>
  <c r="K94" i="19"/>
  <c r="K102" i="19"/>
  <c r="K110" i="19"/>
  <c r="K118" i="19"/>
  <c r="K126" i="19"/>
  <c r="K132" i="19"/>
  <c r="K134" i="19"/>
  <c r="K142" i="19"/>
  <c r="K150" i="19"/>
  <c r="K157" i="19"/>
  <c r="K164" i="19"/>
  <c r="K166" i="19"/>
  <c r="K174" i="19"/>
  <c r="K182" i="19"/>
  <c r="K189" i="19"/>
  <c r="K190" i="19"/>
  <c r="K198" i="19"/>
  <c r="K206" i="19"/>
  <c r="K213" i="19"/>
  <c r="K214" i="19"/>
  <c r="K220" i="19"/>
  <c r="K230" i="19"/>
  <c r="K238" i="19"/>
  <c r="K245" i="19"/>
  <c r="K246" i="19"/>
  <c r="K254" i="19"/>
  <c r="K262" i="19"/>
  <c r="K270" i="19"/>
  <c r="K276" i="19"/>
  <c r="K277" i="19"/>
  <c r="K278" i="19"/>
  <c r="K294" i="19"/>
  <c r="K301" i="19"/>
  <c r="K302" i="19"/>
  <c r="K282" i="19"/>
  <c r="K218" i="19"/>
  <c r="K154" i="19"/>
  <c r="K90" i="19"/>
  <c r="K26" i="19"/>
  <c r="J305" i="18"/>
  <c r="J304" i="18"/>
  <c r="J303" i="18"/>
  <c r="K303" i="18" s="1"/>
  <c r="J302" i="18"/>
  <c r="K302" i="18" s="1"/>
  <c r="J301" i="18"/>
  <c r="J300" i="18"/>
  <c r="J299" i="18"/>
  <c r="J298" i="18"/>
  <c r="K298" i="18" s="1"/>
  <c r="J297" i="18"/>
  <c r="K297" i="18" s="1"/>
  <c r="J296" i="18"/>
  <c r="K296" i="18" s="1"/>
  <c r="J295" i="18"/>
  <c r="J294" i="18"/>
  <c r="K294" i="18" s="1"/>
  <c r="J293" i="18"/>
  <c r="J292" i="18"/>
  <c r="J291" i="18"/>
  <c r="J290" i="18"/>
  <c r="J289" i="18"/>
  <c r="K289" i="18" s="1"/>
  <c r="J288" i="18"/>
  <c r="K288" i="18" s="1"/>
  <c r="J287" i="18"/>
  <c r="K287" i="18" s="1"/>
  <c r="J286" i="18"/>
  <c r="K286" i="18" s="1"/>
  <c r="J285" i="18"/>
  <c r="J284" i="18"/>
  <c r="J283" i="18"/>
  <c r="K283" i="18" s="1"/>
  <c r="J282" i="18"/>
  <c r="K282" i="18" s="1"/>
  <c r="J281" i="18"/>
  <c r="J280" i="18"/>
  <c r="K280" i="18" s="1"/>
  <c r="J279" i="18"/>
  <c r="K279" i="18" s="1"/>
  <c r="J278" i="18"/>
  <c r="K278" i="18" s="1"/>
  <c r="J277" i="18"/>
  <c r="J276" i="18"/>
  <c r="J275" i="18"/>
  <c r="K275" i="18" s="1"/>
  <c r="J274" i="18"/>
  <c r="K274" i="18" s="1"/>
  <c r="J273" i="18"/>
  <c r="K273" i="18" s="1"/>
  <c r="J272" i="18"/>
  <c r="J271" i="18"/>
  <c r="J270" i="18"/>
  <c r="K270" i="18" s="1"/>
  <c r="J269" i="18"/>
  <c r="J268" i="18"/>
  <c r="J267" i="18"/>
  <c r="J266" i="18"/>
  <c r="K266" i="18" s="1"/>
  <c r="J265" i="18"/>
  <c r="K265" i="18" s="1"/>
  <c r="J264" i="18"/>
  <c r="K264" i="18" s="1"/>
  <c r="J263" i="18"/>
  <c r="K263" i="18" s="1"/>
  <c r="J262" i="18"/>
  <c r="K262" i="18" s="1"/>
  <c r="J261" i="18"/>
  <c r="J260" i="18"/>
  <c r="J259" i="18"/>
  <c r="J258" i="18"/>
  <c r="K258" i="18" s="1"/>
  <c r="J257" i="18"/>
  <c r="J256" i="18"/>
  <c r="K256" i="18" s="1"/>
  <c r="J255" i="18"/>
  <c r="K255" i="18" s="1"/>
  <c r="J254" i="18"/>
  <c r="K254" i="18" s="1"/>
  <c r="J253" i="18"/>
  <c r="J252" i="18"/>
  <c r="J251" i="18"/>
  <c r="J250" i="18"/>
  <c r="K250" i="18" s="1"/>
  <c r="J249" i="18"/>
  <c r="J248" i="18"/>
  <c r="J247" i="18"/>
  <c r="K247" i="18" s="1"/>
  <c r="J246" i="18"/>
  <c r="K246" i="18" s="1"/>
  <c r="J245" i="18"/>
  <c r="J244" i="18"/>
  <c r="J243" i="18"/>
  <c r="K243" i="18" s="1"/>
  <c r="J242" i="18"/>
  <c r="K242" i="18" s="1"/>
  <c r="J241" i="18"/>
  <c r="J240" i="18"/>
  <c r="J239" i="18"/>
  <c r="K239" i="18" s="1"/>
  <c r="J238" i="18"/>
  <c r="K238" i="18" s="1"/>
  <c r="J237" i="18"/>
  <c r="J236" i="18"/>
  <c r="J235" i="18"/>
  <c r="J234" i="18"/>
  <c r="K234" i="18" s="1"/>
  <c r="J233" i="18"/>
  <c r="K233" i="18" s="1"/>
  <c r="J232" i="18"/>
  <c r="K232" i="18" s="1"/>
  <c r="J231" i="18"/>
  <c r="J230" i="18"/>
  <c r="K230" i="18" s="1"/>
  <c r="J229" i="18"/>
  <c r="J228" i="18"/>
  <c r="J227" i="18"/>
  <c r="J226" i="18"/>
  <c r="J225" i="18"/>
  <c r="K225" i="18" s="1"/>
  <c r="J224" i="18"/>
  <c r="K224" i="18" s="1"/>
  <c r="J223" i="18"/>
  <c r="K223" i="18" s="1"/>
  <c r="J222" i="18"/>
  <c r="J221" i="18"/>
  <c r="J220" i="18"/>
  <c r="J219" i="18"/>
  <c r="K219" i="18" s="1"/>
  <c r="J218" i="18"/>
  <c r="K218" i="18" s="1"/>
  <c r="J217" i="18"/>
  <c r="J216" i="18"/>
  <c r="K216" i="18" s="1"/>
  <c r="J215" i="18"/>
  <c r="K215" i="18" s="1"/>
  <c r="J214" i="18"/>
  <c r="K214" i="18" s="1"/>
  <c r="J213" i="18"/>
  <c r="J212" i="18"/>
  <c r="J211" i="18"/>
  <c r="K211" i="18" s="1"/>
  <c r="J210" i="18"/>
  <c r="K210" i="18" s="1"/>
  <c r="J209" i="18"/>
  <c r="J208" i="18"/>
  <c r="J207" i="18"/>
  <c r="K207" i="18" s="1"/>
  <c r="J206" i="18"/>
  <c r="K206" i="18" s="1"/>
  <c r="J205" i="18"/>
  <c r="J204" i="18"/>
  <c r="J203" i="18"/>
  <c r="K203" i="18" s="1"/>
  <c r="J202" i="18"/>
  <c r="K202" i="18" s="1"/>
  <c r="J201" i="18"/>
  <c r="K201" i="18" s="1"/>
  <c r="J200" i="18"/>
  <c r="J199" i="18"/>
  <c r="J198" i="18"/>
  <c r="K198" i="18" s="1"/>
  <c r="J197" i="18"/>
  <c r="J196" i="18"/>
  <c r="J195" i="18"/>
  <c r="J194" i="18"/>
  <c r="K194" i="18" s="1"/>
  <c r="J193" i="18"/>
  <c r="K193" i="18" s="1"/>
  <c r="J192" i="18"/>
  <c r="K192" i="18" s="1"/>
  <c r="J191" i="18"/>
  <c r="K191" i="18" s="1"/>
  <c r="J190" i="18"/>
  <c r="K190" i="18" s="1"/>
  <c r="J189" i="18"/>
  <c r="J188" i="18"/>
  <c r="J187" i="18"/>
  <c r="J186" i="18"/>
  <c r="K186" i="18" s="1"/>
  <c r="J185" i="18"/>
  <c r="J184" i="18"/>
  <c r="K184" i="18" s="1"/>
  <c r="J183" i="18"/>
  <c r="K183" i="18" s="1"/>
  <c r="J182" i="18"/>
  <c r="K182" i="18" s="1"/>
  <c r="J181" i="18"/>
  <c r="J180" i="18"/>
  <c r="J179" i="18"/>
  <c r="J178" i="18"/>
  <c r="K178" i="18" s="1"/>
  <c r="J177" i="18"/>
  <c r="J176" i="18"/>
  <c r="J175" i="18"/>
  <c r="K175" i="18" s="1"/>
  <c r="J174" i="18"/>
  <c r="K174" i="18" s="1"/>
  <c r="J173" i="18"/>
  <c r="J172" i="18"/>
  <c r="J171" i="18"/>
  <c r="K171" i="18" s="1"/>
  <c r="J170" i="18"/>
  <c r="K170" i="18" s="1"/>
  <c r="J169" i="18"/>
  <c r="J168" i="18"/>
  <c r="J167" i="18"/>
  <c r="K167" i="18" s="1"/>
  <c r="J166" i="18"/>
  <c r="K166" i="18" s="1"/>
  <c r="J165" i="18"/>
  <c r="J164" i="18"/>
  <c r="J163" i="18"/>
  <c r="K163" i="18" s="1"/>
  <c r="J162" i="18"/>
  <c r="J161" i="18"/>
  <c r="K161" i="18" s="1"/>
  <c r="J160" i="18"/>
  <c r="J159" i="18"/>
  <c r="J158" i="18"/>
  <c r="K158" i="18" s="1"/>
  <c r="J157" i="18"/>
  <c r="J156" i="18"/>
  <c r="J155" i="18"/>
  <c r="J154" i="18"/>
  <c r="K154" i="18" s="1"/>
  <c r="J153" i="18"/>
  <c r="K153" i="18" s="1"/>
  <c r="J152" i="18"/>
  <c r="K152" i="18" s="1"/>
  <c r="J151" i="18"/>
  <c r="K151" i="18" s="1"/>
  <c r="J150" i="18"/>
  <c r="K150" i="18" s="1"/>
  <c r="J149" i="18"/>
  <c r="J148" i="18"/>
  <c r="J147" i="18"/>
  <c r="J146" i="18"/>
  <c r="K146" i="18" s="1"/>
  <c r="J145" i="18"/>
  <c r="J144" i="18"/>
  <c r="K144" i="18" s="1"/>
  <c r="J143" i="18"/>
  <c r="K143" i="18" s="1"/>
  <c r="J142" i="18"/>
  <c r="K142" i="18" s="1"/>
  <c r="J141" i="18"/>
  <c r="J140" i="18"/>
  <c r="J139" i="18"/>
  <c r="J138" i="18"/>
  <c r="K138" i="18" s="1"/>
  <c r="J137" i="18"/>
  <c r="J136" i="18"/>
  <c r="J135" i="18"/>
  <c r="K135" i="18" s="1"/>
  <c r="J134" i="18"/>
  <c r="K134" i="18" s="1"/>
  <c r="J133" i="18"/>
  <c r="J132" i="18"/>
  <c r="J131" i="18"/>
  <c r="K131" i="18" s="1"/>
  <c r="J130" i="18"/>
  <c r="K130" i="18" s="1"/>
  <c r="J129" i="18"/>
  <c r="J128" i="18"/>
  <c r="J127" i="18"/>
  <c r="K127" i="18" s="1"/>
  <c r="J126" i="18"/>
  <c r="J125" i="18"/>
  <c r="J124" i="18"/>
  <c r="J123" i="18"/>
  <c r="J122" i="18"/>
  <c r="K122" i="18" s="1"/>
  <c r="J121" i="18"/>
  <c r="K121" i="18" s="1"/>
  <c r="J120" i="18"/>
  <c r="K120" i="18" s="1"/>
  <c r="J119" i="18"/>
  <c r="J118" i="18"/>
  <c r="K118" i="18" s="1"/>
  <c r="J117" i="18"/>
  <c r="J116" i="18"/>
  <c r="J115" i="18"/>
  <c r="J114" i="18"/>
  <c r="K114" i="18" s="1"/>
  <c r="J113" i="18"/>
  <c r="K113" i="18" s="1"/>
  <c r="J112" i="18"/>
  <c r="K112" i="18" s="1"/>
  <c r="J111" i="18"/>
  <c r="K111" i="18" s="1"/>
  <c r="J110" i="18"/>
  <c r="K110" i="18" s="1"/>
  <c r="J109" i="18"/>
  <c r="J108" i="18"/>
  <c r="J107" i="18"/>
  <c r="K107" i="18" s="1"/>
  <c r="J106" i="18"/>
  <c r="K106" i="18" s="1"/>
  <c r="J105" i="18"/>
  <c r="J104" i="18"/>
  <c r="K104" i="18" s="1"/>
  <c r="J103" i="18"/>
  <c r="K103" i="18" s="1"/>
  <c r="J102" i="18"/>
  <c r="K102" i="18" s="1"/>
  <c r="J101" i="18"/>
  <c r="J100" i="18"/>
  <c r="J99" i="18"/>
  <c r="K99" i="18" s="1"/>
  <c r="J98" i="18"/>
  <c r="J97" i="18"/>
  <c r="J96" i="18"/>
  <c r="J95" i="18"/>
  <c r="K95" i="18" s="1"/>
  <c r="J94" i="18"/>
  <c r="K94" i="18" s="1"/>
  <c r="J93" i="18"/>
  <c r="J92" i="18"/>
  <c r="J91" i="18"/>
  <c r="K91" i="18" s="1"/>
  <c r="J90" i="18"/>
  <c r="K90" i="18" s="1"/>
  <c r="J89" i="18"/>
  <c r="K89" i="18" s="1"/>
  <c r="J88" i="18"/>
  <c r="J87" i="18"/>
  <c r="J86" i="18"/>
  <c r="K86" i="18" s="1"/>
  <c r="J85" i="18"/>
  <c r="J84" i="18"/>
  <c r="J83" i="18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J76" i="18"/>
  <c r="J75" i="18"/>
  <c r="J74" i="18"/>
  <c r="K74" i="18" s="1"/>
  <c r="J73" i="18"/>
  <c r="J72" i="18"/>
  <c r="K72" i="18" s="1"/>
  <c r="J71" i="18"/>
  <c r="K71" i="18" s="1"/>
  <c r="J70" i="18"/>
  <c r="K70" i="18" s="1"/>
  <c r="J69" i="18"/>
  <c r="J68" i="18"/>
  <c r="J67" i="18"/>
  <c r="K67" i="18" s="1"/>
  <c r="J66" i="18"/>
  <c r="K66" i="18" s="1"/>
  <c r="J65" i="18"/>
  <c r="J64" i="18"/>
  <c r="K64" i="18" s="1"/>
  <c r="J63" i="18"/>
  <c r="K63" i="18" s="1"/>
  <c r="J62" i="18"/>
  <c r="J61" i="18"/>
  <c r="J60" i="18"/>
  <c r="J59" i="18"/>
  <c r="K59" i="18" s="1"/>
  <c r="J58" i="18"/>
  <c r="K58" i="18" s="1"/>
  <c r="J57" i="18"/>
  <c r="J56" i="18"/>
  <c r="K56" i="18" s="1"/>
  <c r="J55" i="18"/>
  <c r="K55" i="18" s="1"/>
  <c r="J54" i="18"/>
  <c r="K54" i="18" s="1"/>
  <c r="J53" i="18"/>
  <c r="J52" i="18"/>
  <c r="J51" i="18"/>
  <c r="J50" i="18"/>
  <c r="K50" i="18" s="1"/>
  <c r="J49" i="18"/>
  <c r="K49" i="18" s="1"/>
  <c r="J48" i="18"/>
  <c r="J47" i="18"/>
  <c r="K47" i="18" s="1"/>
  <c r="J46" i="18"/>
  <c r="K46" i="18" s="1"/>
  <c r="J45" i="18"/>
  <c r="J44" i="18"/>
  <c r="J43" i="18"/>
  <c r="J42" i="18"/>
  <c r="K42" i="18" s="1"/>
  <c r="J41" i="18"/>
  <c r="K41" i="18" s="1"/>
  <c r="J40" i="18"/>
  <c r="J39" i="18"/>
  <c r="K39" i="18" s="1"/>
  <c r="J38" i="18"/>
  <c r="K38" i="18" s="1"/>
  <c r="J37" i="18"/>
  <c r="J36" i="18"/>
  <c r="J35" i="18"/>
  <c r="J34" i="18"/>
  <c r="K34" i="18" s="1"/>
  <c r="J33" i="18"/>
  <c r="K33" i="18" s="1"/>
  <c r="J32" i="18"/>
  <c r="J31" i="18"/>
  <c r="K31" i="18" s="1"/>
  <c r="J30" i="18"/>
  <c r="K30" i="18" s="1"/>
  <c r="J29" i="18"/>
  <c r="J28" i="18"/>
  <c r="J27" i="18"/>
  <c r="J26" i="18"/>
  <c r="J25" i="18"/>
  <c r="K25" i="18" s="1"/>
  <c r="J24" i="18"/>
  <c r="K24" i="18" s="1"/>
  <c r="J23" i="18"/>
  <c r="J22" i="18"/>
  <c r="J21" i="18"/>
  <c r="J20" i="18"/>
  <c r="J19" i="18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J12" i="18"/>
  <c r="J11" i="18"/>
  <c r="K11" i="18" s="1"/>
  <c r="J10" i="18"/>
  <c r="K10" i="18" s="1"/>
  <c r="J9" i="18"/>
  <c r="J8" i="18"/>
  <c r="K7" i="18"/>
  <c r="K22" i="18"/>
  <c r="K126" i="18"/>
  <c r="K222" i="18"/>
  <c r="K277" i="18"/>
  <c r="K285" i="18"/>
  <c r="K290" i="18"/>
  <c r="K226" i="18"/>
  <c r="K162" i="18"/>
  <c r="K98" i="18"/>
  <c r="K26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K292" i="17" s="1"/>
  <c r="J291" i="17"/>
  <c r="J290" i="17"/>
  <c r="K290" i="17" s="1"/>
  <c r="J289" i="17"/>
  <c r="J288" i="17"/>
  <c r="J287" i="17"/>
  <c r="J286" i="17"/>
  <c r="J285" i="17"/>
  <c r="J284" i="17"/>
  <c r="K284" i="17" s="1"/>
  <c r="J283" i="17"/>
  <c r="J282" i="17"/>
  <c r="K282" i="17" s="1"/>
  <c r="J281" i="17"/>
  <c r="J280" i="17"/>
  <c r="J279" i="17"/>
  <c r="J278" i="17"/>
  <c r="K278" i="17" s="1"/>
  <c r="J277" i="17"/>
  <c r="J276" i="17"/>
  <c r="K276" i="17" s="1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K262" i="17" s="1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K252" i="17" s="1"/>
  <c r="J251" i="17"/>
  <c r="J250" i="17"/>
  <c r="K250" i="17" s="1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K238" i="17" s="1"/>
  <c r="J237" i="17"/>
  <c r="J236" i="17"/>
  <c r="K236" i="17" s="1"/>
  <c r="J235" i="17"/>
  <c r="J234" i="17"/>
  <c r="K234" i="17" s="1"/>
  <c r="J233" i="17"/>
  <c r="J232" i="17"/>
  <c r="J231" i="17"/>
  <c r="J230" i="17"/>
  <c r="J229" i="17"/>
  <c r="J228" i="17"/>
  <c r="K228" i="17" s="1"/>
  <c r="J227" i="17"/>
  <c r="J226" i="17"/>
  <c r="K226" i="17" s="1"/>
  <c r="J225" i="17"/>
  <c r="J224" i="17"/>
  <c r="J223" i="17"/>
  <c r="J222" i="17"/>
  <c r="J221" i="17"/>
  <c r="J220" i="17"/>
  <c r="K220" i="17" s="1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K208" i="17" s="1"/>
  <c r="J207" i="17"/>
  <c r="J206" i="17"/>
  <c r="J205" i="17"/>
  <c r="J204" i="17"/>
  <c r="K204" i="17" s="1"/>
  <c r="J203" i="17"/>
  <c r="J202" i="17"/>
  <c r="K202" i="17" s="1"/>
  <c r="J201" i="17"/>
  <c r="J200" i="17"/>
  <c r="K200" i="17" s="1"/>
  <c r="J199" i="17"/>
  <c r="J198" i="17"/>
  <c r="J197" i="17"/>
  <c r="J196" i="17"/>
  <c r="J195" i="17"/>
  <c r="J194" i="17"/>
  <c r="K194" i="17" s="1"/>
  <c r="J193" i="17"/>
  <c r="J192" i="17"/>
  <c r="K192" i="17" s="1"/>
  <c r="J191" i="17"/>
  <c r="J190" i="17"/>
  <c r="K190" i="17" s="1"/>
  <c r="J189" i="17"/>
  <c r="J188" i="17"/>
  <c r="K188" i="17" s="1"/>
  <c r="J187" i="17"/>
  <c r="J186" i="17"/>
  <c r="K186" i="17" s="1"/>
  <c r="J185" i="17"/>
  <c r="J184" i="17"/>
  <c r="K184" i="17" s="1"/>
  <c r="J183" i="17"/>
  <c r="J182" i="17"/>
  <c r="K182" i="17" s="1"/>
  <c r="J181" i="17"/>
  <c r="J180" i="17"/>
  <c r="J179" i="17"/>
  <c r="J178" i="17"/>
  <c r="J177" i="17"/>
  <c r="K177" i="17" s="1"/>
  <c r="J176" i="17"/>
  <c r="K176" i="17" s="1"/>
  <c r="J175" i="17"/>
  <c r="J174" i="17"/>
  <c r="J173" i="17"/>
  <c r="J172" i="17"/>
  <c r="K172" i="17" s="1"/>
  <c r="J171" i="17"/>
  <c r="J170" i="17"/>
  <c r="K170" i="17" s="1"/>
  <c r="J169" i="17"/>
  <c r="J168" i="17"/>
  <c r="K168" i="17" s="1"/>
  <c r="J167" i="17"/>
  <c r="J166" i="17"/>
  <c r="J165" i="17"/>
  <c r="J164" i="17"/>
  <c r="K164" i="17" s="1"/>
  <c r="J163" i="17"/>
  <c r="J162" i="17"/>
  <c r="K162" i="17" s="1"/>
  <c r="J161" i="17"/>
  <c r="K161" i="17" s="1"/>
  <c r="J160" i="17"/>
  <c r="K160" i="17" s="1"/>
  <c r="J159" i="17"/>
  <c r="J158" i="17"/>
  <c r="J157" i="17"/>
  <c r="J156" i="17"/>
  <c r="J155" i="17"/>
  <c r="J154" i="17"/>
  <c r="K154" i="17" s="1"/>
  <c r="J153" i="17"/>
  <c r="K153" i="17" s="1"/>
  <c r="J152" i="17"/>
  <c r="K152" i="17" s="1"/>
  <c r="J151" i="17"/>
  <c r="J150" i="17"/>
  <c r="K150" i="17" s="1"/>
  <c r="J149" i="17"/>
  <c r="J148" i="17"/>
  <c r="K148" i="17" s="1"/>
  <c r="J147" i="17"/>
  <c r="J146" i="17"/>
  <c r="K146" i="17" s="1"/>
  <c r="J145" i="17"/>
  <c r="J144" i="17"/>
  <c r="K144" i="17" s="1"/>
  <c r="J143" i="17"/>
  <c r="J142" i="17"/>
  <c r="J141" i="17"/>
  <c r="J140" i="17"/>
  <c r="J139" i="17"/>
  <c r="J138" i="17"/>
  <c r="K138" i="17" s="1"/>
  <c r="J137" i="17"/>
  <c r="K137" i="17" s="1"/>
  <c r="J136" i="17"/>
  <c r="K136" i="17" s="1"/>
  <c r="J135" i="17"/>
  <c r="J134" i="17"/>
  <c r="J133" i="17"/>
  <c r="J132" i="17"/>
  <c r="K132" i="17" s="1"/>
  <c r="J131" i="17"/>
  <c r="J130" i="17"/>
  <c r="K130" i="17" s="1"/>
  <c r="J129" i="17"/>
  <c r="K129" i="17" s="1"/>
  <c r="J128" i="17"/>
  <c r="K128" i="17" s="1"/>
  <c r="J127" i="17"/>
  <c r="J126" i="17"/>
  <c r="J125" i="17"/>
  <c r="J124" i="17"/>
  <c r="J123" i="17"/>
  <c r="J122" i="17"/>
  <c r="K122" i="17" s="1"/>
  <c r="J121" i="17"/>
  <c r="K121" i="17" s="1"/>
  <c r="J120" i="17"/>
  <c r="K120" i="17" s="1"/>
  <c r="J119" i="17"/>
  <c r="J118" i="17"/>
  <c r="J117" i="17"/>
  <c r="J116" i="17"/>
  <c r="K116" i="17" s="1"/>
  <c r="J115" i="17"/>
  <c r="J114" i="17"/>
  <c r="J113" i="17"/>
  <c r="J112" i="17"/>
  <c r="K112" i="17" s="1"/>
  <c r="J111" i="17"/>
  <c r="J110" i="17"/>
  <c r="K110" i="17" s="1"/>
  <c r="J109" i="17"/>
  <c r="J108" i="17"/>
  <c r="K108" i="17" s="1"/>
  <c r="J107" i="17"/>
  <c r="J106" i="17"/>
  <c r="K106" i="17" s="1"/>
  <c r="J105" i="17"/>
  <c r="K105" i="17" s="1"/>
  <c r="J104" i="17"/>
  <c r="J103" i="17"/>
  <c r="J102" i="17"/>
  <c r="K102" i="17" s="1"/>
  <c r="J101" i="17"/>
  <c r="J100" i="17"/>
  <c r="K100" i="17" s="1"/>
  <c r="J99" i="17"/>
  <c r="J98" i="17"/>
  <c r="J97" i="17"/>
  <c r="J96" i="17"/>
  <c r="K96" i="17" s="1"/>
  <c r="J95" i="17"/>
  <c r="J94" i="17"/>
  <c r="J93" i="17"/>
  <c r="J92" i="17"/>
  <c r="K92" i="17" s="1"/>
  <c r="J91" i="17"/>
  <c r="J90" i="17"/>
  <c r="K90" i="17" s="1"/>
  <c r="J89" i="17"/>
  <c r="K89" i="17" s="1"/>
  <c r="J88" i="17"/>
  <c r="J87" i="17"/>
  <c r="J86" i="17"/>
  <c r="K86" i="17" s="1"/>
  <c r="J85" i="17"/>
  <c r="J84" i="17"/>
  <c r="K84" i="17" s="1"/>
  <c r="J83" i="17"/>
  <c r="J82" i="17"/>
  <c r="K82" i="17" s="1"/>
  <c r="J81" i="17"/>
  <c r="J80" i="17"/>
  <c r="K80" i="17" s="1"/>
  <c r="J79" i="17"/>
  <c r="J78" i="17"/>
  <c r="J77" i="17"/>
  <c r="J76" i="17"/>
  <c r="K76" i="17" s="1"/>
  <c r="J75" i="17"/>
  <c r="J74" i="17"/>
  <c r="K74" i="17" s="1"/>
  <c r="J73" i="17"/>
  <c r="K73" i="17" s="1"/>
  <c r="J72" i="17"/>
  <c r="J71" i="17"/>
  <c r="J70" i="17"/>
  <c r="J69" i="17"/>
  <c r="J68" i="17"/>
  <c r="K68" i="17" s="1"/>
  <c r="J67" i="17"/>
  <c r="J66" i="17"/>
  <c r="K66" i="17" s="1"/>
  <c r="J65" i="17"/>
  <c r="J64" i="17"/>
  <c r="K64" i="17" s="1"/>
  <c r="J63" i="17"/>
  <c r="J62" i="17"/>
  <c r="J61" i="17"/>
  <c r="J60" i="17"/>
  <c r="K60" i="17" s="1"/>
  <c r="J59" i="17"/>
  <c r="J58" i="17"/>
  <c r="K58" i="17" s="1"/>
  <c r="J57" i="17"/>
  <c r="K57" i="17" s="1"/>
  <c r="J56" i="17"/>
  <c r="K56" i="17" s="1"/>
  <c r="J55" i="17"/>
  <c r="J54" i="17"/>
  <c r="J53" i="17"/>
  <c r="J52" i="17"/>
  <c r="J51" i="17"/>
  <c r="J50" i="17"/>
  <c r="K50" i="17" s="1"/>
  <c r="J49" i="17"/>
  <c r="J48" i="17"/>
  <c r="K48" i="17" s="1"/>
  <c r="J47" i="17"/>
  <c r="J46" i="17"/>
  <c r="K46" i="17" s="1"/>
  <c r="J45" i="17"/>
  <c r="J44" i="17"/>
  <c r="J43" i="17"/>
  <c r="J42" i="17"/>
  <c r="K42" i="17" s="1"/>
  <c r="J41" i="17"/>
  <c r="J40" i="17"/>
  <c r="K40" i="17" s="1"/>
  <c r="J39" i="17"/>
  <c r="J38" i="17"/>
  <c r="K38" i="17" s="1"/>
  <c r="J37" i="17"/>
  <c r="J36" i="17"/>
  <c r="K36" i="17" s="1"/>
  <c r="J35" i="17"/>
  <c r="J34" i="17"/>
  <c r="K34" i="17" s="1"/>
  <c r="J33" i="17"/>
  <c r="K33" i="17" s="1"/>
  <c r="J32" i="17"/>
  <c r="K32" i="17" s="1"/>
  <c r="J31" i="17"/>
  <c r="J30" i="17"/>
  <c r="J29" i="17"/>
  <c r="J28" i="17"/>
  <c r="J27" i="17"/>
  <c r="J26" i="17"/>
  <c r="K26" i="17" s="1"/>
  <c r="J25" i="17"/>
  <c r="J24" i="17"/>
  <c r="K24" i="17" s="1"/>
  <c r="J23" i="17"/>
  <c r="J22" i="17"/>
  <c r="K22" i="17" s="1"/>
  <c r="J21" i="17"/>
  <c r="J20" i="17"/>
  <c r="K20" i="17" s="1"/>
  <c r="J19" i="17"/>
  <c r="J18" i="17"/>
  <c r="K18" i="17" s="1"/>
  <c r="J17" i="17"/>
  <c r="K17" i="17" s="1"/>
  <c r="J16" i="17"/>
  <c r="K16" i="17" s="1"/>
  <c r="J15" i="17"/>
  <c r="J14" i="17"/>
  <c r="J13" i="17"/>
  <c r="J12" i="17"/>
  <c r="K12" i="17" s="1"/>
  <c r="J11" i="17"/>
  <c r="J10" i="17"/>
  <c r="K10" i="17" s="1"/>
  <c r="J9" i="17"/>
  <c r="K9" i="17" s="1"/>
  <c r="J8" i="17"/>
  <c r="J7" i="17"/>
  <c r="K14" i="17"/>
  <c r="K30" i="17"/>
  <c r="K54" i="17"/>
  <c r="K62" i="17"/>
  <c r="K70" i="17"/>
  <c r="K78" i="17"/>
  <c r="K94" i="17"/>
  <c r="K118" i="17"/>
  <c r="K126" i="17"/>
  <c r="K134" i="17"/>
  <c r="K142" i="17"/>
  <c r="K158" i="17"/>
  <c r="K198" i="17"/>
  <c r="K206" i="17"/>
  <c r="K214" i="17"/>
  <c r="K230" i="17"/>
  <c r="K246" i="17"/>
  <c r="K286" i="17"/>
  <c r="K294" i="17"/>
  <c r="K302" i="17"/>
  <c r="K242" i="17"/>
  <c r="K178" i="17"/>
  <c r="K98" i="17"/>
  <c r="J305" i="16"/>
  <c r="J304" i="16"/>
  <c r="J303" i="16"/>
  <c r="K303" i="16" s="1"/>
  <c r="J302" i="16"/>
  <c r="J301" i="16"/>
  <c r="J300" i="16"/>
  <c r="J299" i="16"/>
  <c r="J298" i="16"/>
  <c r="J297" i="16"/>
  <c r="J296" i="16"/>
  <c r="J295" i="16"/>
  <c r="K295" i="16" s="1"/>
  <c r="J294" i="16"/>
  <c r="J293" i="16"/>
  <c r="J292" i="16"/>
  <c r="K292" i="16" s="1"/>
  <c r="J291" i="16"/>
  <c r="J290" i="16"/>
  <c r="K290" i="16" s="1"/>
  <c r="J289" i="16"/>
  <c r="J288" i="16"/>
  <c r="J287" i="16"/>
  <c r="K287" i="16" s="1"/>
  <c r="J286" i="16"/>
  <c r="J285" i="16"/>
  <c r="J284" i="16"/>
  <c r="K284" i="16" s="1"/>
  <c r="J283" i="16"/>
  <c r="J282" i="16"/>
  <c r="J281" i="16"/>
  <c r="J280" i="16"/>
  <c r="J279" i="16"/>
  <c r="K279" i="16" s="1"/>
  <c r="J278" i="16"/>
  <c r="J277" i="16"/>
  <c r="J276" i="16"/>
  <c r="J275" i="16"/>
  <c r="J274" i="16"/>
  <c r="K274" i="16" s="1"/>
  <c r="J273" i="16"/>
  <c r="J272" i="16"/>
  <c r="J271" i="16"/>
  <c r="K271" i="16" s="1"/>
  <c r="J270" i="16"/>
  <c r="J269" i="16"/>
  <c r="J268" i="16"/>
  <c r="K268" i="16" s="1"/>
  <c r="J267" i="16"/>
  <c r="J266" i="16"/>
  <c r="J265" i="16"/>
  <c r="J264" i="16"/>
  <c r="J263" i="16"/>
  <c r="K263" i="16" s="1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J249" i="16"/>
  <c r="J248" i="16"/>
  <c r="J247" i="16"/>
  <c r="K247" i="16" s="1"/>
  <c r="J246" i="16"/>
  <c r="J245" i="16"/>
  <c r="J244" i="16"/>
  <c r="K244" i="16" s="1"/>
  <c r="J243" i="16"/>
  <c r="J242" i="16"/>
  <c r="K242" i="16" s="1"/>
  <c r="J241" i="16"/>
  <c r="J240" i="16"/>
  <c r="J239" i="16"/>
  <c r="K239" i="16" s="1"/>
  <c r="J238" i="16"/>
  <c r="J237" i="16"/>
  <c r="J236" i="16"/>
  <c r="K236" i="16" s="1"/>
  <c r="J235" i="16"/>
  <c r="J234" i="16"/>
  <c r="K234" i="16" s="1"/>
  <c r="J233" i="16"/>
  <c r="J232" i="16"/>
  <c r="J231" i="16"/>
  <c r="K231" i="16" s="1"/>
  <c r="J230" i="16"/>
  <c r="J229" i="16"/>
  <c r="J228" i="16"/>
  <c r="K228" i="16" s="1"/>
  <c r="J227" i="16"/>
  <c r="J226" i="16"/>
  <c r="K226" i="16" s="1"/>
  <c r="J225" i="16"/>
  <c r="J224" i="16"/>
  <c r="J223" i="16"/>
  <c r="K223" i="16" s="1"/>
  <c r="J222" i="16"/>
  <c r="J221" i="16"/>
  <c r="J220" i="16"/>
  <c r="K220" i="16" s="1"/>
  <c r="J219" i="16"/>
  <c r="J218" i="16"/>
  <c r="K218" i="16" s="1"/>
  <c r="J217" i="16"/>
  <c r="J216" i="16"/>
  <c r="J215" i="16"/>
  <c r="K215" i="16" s="1"/>
  <c r="J214" i="16"/>
  <c r="J213" i="16"/>
  <c r="J212" i="16"/>
  <c r="K212" i="16" s="1"/>
  <c r="J211" i="16"/>
  <c r="J210" i="16"/>
  <c r="J209" i="16"/>
  <c r="J208" i="16"/>
  <c r="J207" i="16"/>
  <c r="K207" i="16" s="1"/>
  <c r="J206" i="16"/>
  <c r="J205" i="16"/>
  <c r="J204" i="16"/>
  <c r="J203" i="16"/>
  <c r="J202" i="16"/>
  <c r="K202" i="16" s="1"/>
  <c r="J201" i="16"/>
  <c r="J200" i="16"/>
  <c r="J199" i="16"/>
  <c r="K199" i="16" s="1"/>
  <c r="J198" i="16"/>
  <c r="J197" i="16"/>
  <c r="J196" i="16"/>
  <c r="K196" i="16" s="1"/>
  <c r="J195" i="16"/>
  <c r="J194" i="16"/>
  <c r="J193" i="16"/>
  <c r="J192" i="16"/>
  <c r="J191" i="16"/>
  <c r="K191" i="16" s="1"/>
  <c r="J190" i="16"/>
  <c r="J189" i="16"/>
  <c r="J188" i="16"/>
  <c r="J187" i="16"/>
  <c r="J186" i="16"/>
  <c r="K186" i="16" s="1"/>
  <c r="J185" i="16"/>
  <c r="J184" i="16"/>
  <c r="J183" i="16"/>
  <c r="K183" i="16" s="1"/>
  <c r="J182" i="16"/>
  <c r="J181" i="16"/>
  <c r="J180" i="16"/>
  <c r="K180" i="16" s="1"/>
  <c r="J179" i="16"/>
  <c r="J178" i="16"/>
  <c r="K178" i="16" s="1"/>
  <c r="J177" i="16"/>
  <c r="J176" i="16"/>
  <c r="J175" i="16"/>
  <c r="K175" i="16" s="1"/>
  <c r="J174" i="16"/>
  <c r="J173" i="16"/>
  <c r="J172" i="16"/>
  <c r="J171" i="16"/>
  <c r="J170" i="16"/>
  <c r="K170" i="16" s="1"/>
  <c r="J169" i="16"/>
  <c r="J168" i="16"/>
  <c r="J167" i="16"/>
  <c r="K167" i="16" s="1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K151" i="16" s="1"/>
  <c r="J150" i="16"/>
  <c r="J149" i="16"/>
  <c r="J148" i="16"/>
  <c r="K148" i="16" s="1"/>
  <c r="J147" i="16"/>
  <c r="J146" i="16"/>
  <c r="J145" i="16"/>
  <c r="J144" i="16"/>
  <c r="J143" i="16"/>
  <c r="K143" i="16" s="1"/>
  <c r="J142" i="16"/>
  <c r="J141" i="16"/>
  <c r="J140" i="16"/>
  <c r="J139" i="16"/>
  <c r="J138" i="16"/>
  <c r="K138" i="16" s="1"/>
  <c r="J137" i="16"/>
  <c r="J136" i="16"/>
  <c r="J135" i="16"/>
  <c r="J134" i="16"/>
  <c r="J133" i="16"/>
  <c r="J132" i="16"/>
  <c r="K132" i="16" s="1"/>
  <c r="J131" i="16"/>
  <c r="J130" i="16"/>
  <c r="J129" i="16"/>
  <c r="J128" i="16"/>
  <c r="J127" i="16"/>
  <c r="K127" i="16" s="1"/>
  <c r="J126" i="16"/>
  <c r="J125" i="16"/>
  <c r="J124" i="16"/>
  <c r="K124" i="16" s="1"/>
  <c r="J123" i="16"/>
  <c r="J122" i="16"/>
  <c r="J121" i="16"/>
  <c r="J120" i="16"/>
  <c r="J119" i="16"/>
  <c r="K119" i="16" s="1"/>
  <c r="J118" i="16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K103" i="16" s="1"/>
  <c r="J102" i="16"/>
  <c r="J101" i="16"/>
  <c r="J100" i="16"/>
  <c r="J99" i="16"/>
  <c r="J98" i="16"/>
  <c r="K98" i="16" s="1"/>
  <c r="J97" i="16"/>
  <c r="J96" i="16"/>
  <c r="J95" i="16"/>
  <c r="K95" i="16" s="1"/>
  <c r="J94" i="16"/>
  <c r="J93" i="16"/>
  <c r="J92" i="16"/>
  <c r="K92" i="16" s="1"/>
  <c r="J91" i="16"/>
  <c r="J90" i="16"/>
  <c r="J89" i="16"/>
  <c r="J88" i="16"/>
  <c r="J87" i="16"/>
  <c r="K87" i="16" s="1"/>
  <c r="J86" i="16"/>
  <c r="J85" i="16"/>
  <c r="J84" i="16"/>
  <c r="K84" i="16" s="1"/>
  <c r="J83" i="16"/>
  <c r="J82" i="16"/>
  <c r="K82" i="16" s="1"/>
  <c r="J81" i="16"/>
  <c r="J80" i="16"/>
  <c r="J79" i="16"/>
  <c r="K79" i="16" s="1"/>
  <c r="J78" i="16"/>
  <c r="J77" i="16"/>
  <c r="J76" i="16"/>
  <c r="K76" i="16" s="1"/>
  <c r="J75" i="16"/>
  <c r="J74" i="16"/>
  <c r="J73" i="16"/>
  <c r="J72" i="16"/>
  <c r="J71" i="16"/>
  <c r="K71" i="16" s="1"/>
  <c r="J70" i="16"/>
  <c r="J69" i="16"/>
  <c r="J68" i="16"/>
  <c r="K68" i="16" s="1"/>
  <c r="J67" i="16"/>
  <c r="J66" i="16"/>
  <c r="J65" i="16"/>
  <c r="J64" i="16"/>
  <c r="J63" i="16"/>
  <c r="K63" i="16" s="1"/>
  <c r="J62" i="16"/>
  <c r="J61" i="16"/>
  <c r="J60" i="16"/>
  <c r="J59" i="16"/>
  <c r="J58" i="16"/>
  <c r="K58" i="16" s="1"/>
  <c r="J57" i="16"/>
  <c r="J56" i="16"/>
  <c r="J55" i="16"/>
  <c r="K55" i="16" s="1"/>
  <c r="J54" i="16"/>
  <c r="J53" i="16"/>
  <c r="J52" i="16"/>
  <c r="K52" i="16" s="1"/>
  <c r="J51" i="16"/>
  <c r="J50" i="16"/>
  <c r="K50" i="16" s="1"/>
  <c r="J49" i="16"/>
  <c r="J48" i="16"/>
  <c r="J47" i="16"/>
  <c r="K47" i="16" s="1"/>
  <c r="J46" i="16"/>
  <c r="J45" i="16"/>
  <c r="J44" i="16"/>
  <c r="J43" i="16"/>
  <c r="J42" i="16"/>
  <c r="J41" i="16"/>
  <c r="J40" i="16"/>
  <c r="J39" i="16"/>
  <c r="K39" i="16" s="1"/>
  <c r="J38" i="16"/>
  <c r="J37" i="16"/>
  <c r="J36" i="16"/>
  <c r="K36" i="16" s="1"/>
  <c r="J35" i="16"/>
  <c r="J34" i="16"/>
  <c r="J33" i="16"/>
  <c r="J32" i="16"/>
  <c r="J31" i="16"/>
  <c r="K31" i="16" s="1"/>
  <c r="J30" i="16"/>
  <c r="K30" i="16" s="1"/>
  <c r="J29" i="16"/>
  <c r="J28" i="16"/>
  <c r="J27" i="16"/>
  <c r="J26" i="16"/>
  <c r="J25" i="16"/>
  <c r="J24" i="16"/>
  <c r="J23" i="16"/>
  <c r="K23" i="16" s="1"/>
  <c r="J22" i="16"/>
  <c r="K22" i="16" s="1"/>
  <c r="J21" i="16"/>
  <c r="J20" i="16"/>
  <c r="K20" i="16" s="1"/>
  <c r="J19" i="16"/>
  <c r="J18" i="16"/>
  <c r="K18" i="16" s="1"/>
  <c r="J17" i="16"/>
  <c r="J16" i="16"/>
  <c r="J15" i="16"/>
  <c r="K15" i="16" s="1"/>
  <c r="J14" i="16"/>
  <c r="J13" i="16"/>
  <c r="K13" i="16" s="1"/>
  <c r="J12" i="16"/>
  <c r="K12" i="16" s="1"/>
  <c r="J11" i="16"/>
  <c r="K11" i="16" s="1"/>
  <c r="J10" i="16"/>
  <c r="J9" i="16"/>
  <c r="J8" i="16"/>
  <c r="J7" i="16"/>
  <c r="K7" i="16" s="1"/>
  <c r="K14" i="16"/>
  <c r="K38" i="16"/>
  <c r="K45" i="16"/>
  <c r="K46" i="16"/>
  <c r="K54" i="16"/>
  <c r="K61" i="16"/>
  <c r="K62" i="16"/>
  <c r="K69" i="16"/>
  <c r="K70" i="16"/>
  <c r="K77" i="16"/>
  <c r="K78" i="16"/>
  <c r="K85" i="16"/>
  <c r="K94" i="16"/>
  <c r="K101" i="16"/>
  <c r="K102" i="16"/>
  <c r="K109" i="16"/>
  <c r="K118" i="16"/>
  <c r="K125" i="16"/>
  <c r="K126" i="16"/>
  <c r="K134" i="16"/>
  <c r="K141" i="16"/>
  <c r="K142" i="16"/>
  <c r="K150" i="16"/>
  <c r="K158" i="16"/>
  <c r="K165" i="16"/>
  <c r="K166" i="16"/>
  <c r="K174" i="16"/>
  <c r="K181" i="16"/>
  <c r="K182" i="16"/>
  <c r="K189" i="16"/>
  <c r="K190" i="16"/>
  <c r="K197" i="16"/>
  <c r="K198" i="16"/>
  <c r="K206" i="16"/>
  <c r="K213" i="16"/>
  <c r="K214" i="16"/>
  <c r="K221" i="16"/>
  <c r="K229" i="16"/>
  <c r="K230" i="16"/>
  <c r="K237" i="16"/>
  <c r="K238" i="16"/>
  <c r="K246" i="16"/>
  <c r="K254" i="16"/>
  <c r="K255" i="16"/>
  <c r="K261" i="16"/>
  <c r="K269" i="16"/>
  <c r="K270" i="16"/>
  <c r="K278" i="16"/>
  <c r="K286" i="16"/>
  <c r="K294" i="16"/>
  <c r="K300" i="16"/>
  <c r="K301" i="16"/>
  <c r="K302" i="16"/>
  <c r="J305" i="15"/>
  <c r="K305" i="15" s="1"/>
  <c r="J304" i="15"/>
  <c r="K304" i="15" s="1"/>
  <c r="J303" i="15"/>
  <c r="J302" i="15"/>
  <c r="J301" i="15"/>
  <c r="K301" i="15" s="1"/>
  <c r="J300" i="15"/>
  <c r="K300" i="15" s="1"/>
  <c r="J299" i="15"/>
  <c r="J298" i="15"/>
  <c r="K298" i="15" s="1"/>
  <c r="J297" i="15"/>
  <c r="J296" i="15"/>
  <c r="K296" i="15" s="1"/>
  <c r="J295" i="15"/>
  <c r="K295" i="15" s="1"/>
  <c r="J294" i="15"/>
  <c r="J293" i="15"/>
  <c r="J292" i="15"/>
  <c r="K292" i="15" s="1"/>
  <c r="J291" i="15"/>
  <c r="J290" i="15"/>
  <c r="K290" i="15" s="1"/>
  <c r="J289" i="15"/>
  <c r="J288" i="15"/>
  <c r="J287" i="15"/>
  <c r="K287" i="15" s="1"/>
  <c r="J286" i="15"/>
  <c r="J285" i="15"/>
  <c r="J284" i="15"/>
  <c r="K284" i="15" s="1"/>
  <c r="J283" i="15"/>
  <c r="J282" i="15"/>
  <c r="K282" i="15" s="1"/>
  <c r="J281" i="15"/>
  <c r="K281" i="15" s="1"/>
  <c r="J280" i="15"/>
  <c r="K280" i="15" s="1"/>
  <c r="J279" i="15"/>
  <c r="K279" i="15" s="1"/>
  <c r="J278" i="15"/>
  <c r="J277" i="15"/>
  <c r="K277" i="15" s="1"/>
  <c r="J276" i="15"/>
  <c r="K276" i="15" s="1"/>
  <c r="J275" i="15"/>
  <c r="J274" i="15"/>
  <c r="K274" i="15" s="1"/>
  <c r="J273" i="15"/>
  <c r="J272" i="15"/>
  <c r="K272" i="15" s="1"/>
  <c r="J271" i="15"/>
  <c r="K271" i="15" s="1"/>
  <c r="J270" i="15"/>
  <c r="J269" i="15"/>
  <c r="K269" i="15" s="1"/>
  <c r="J268" i="15"/>
  <c r="K268" i="15" s="1"/>
  <c r="J267" i="15"/>
  <c r="J266" i="15"/>
  <c r="K266" i="15" s="1"/>
  <c r="J265" i="15"/>
  <c r="K265" i="15" s="1"/>
  <c r="J264" i="15"/>
  <c r="K264" i="15" s="1"/>
  <c r="J263" i="15"/>
  <c r="J262" i="15"/>
  <c r="J261" i="15"/>
  <c r="J260" i="15"/>
  <c r="K260" i="15" s="1"/>
  <c r="J259" i="15"/>
  <c r="J258" i="15"/>
  <c r="K258" i="15" s="1"/>
  <c r="J257" i="15"/>
  <c r="K257" i="15" s="1"/>
  <c r="J256" i="15"/>
  <c r="K256" i="15" s="1"/>
  <c r="J255" i="15"/>
  <c r="K255" i="15" s="1"/>
  <c r="J254" i="15"/>
  <c r="J253" i="15"/>
  <c r="K253" i="15" s="1"/>
  <c r="J252" i="15"/>
  <c r="K252" i="15" s="1"/>
  <c r="J251" i="15"/>
  <c r="J250" i="15"/>
  <c r="K250" i="15" s="1"/>
  <c r="J249" i="15"/>
  <c r="J248" i="15"/>
  <c r="J247" i="15"/>
  <c r="K247" i="15" s="1"/>
  <c r="J246" i="15"/>
  <c r="J245" i="15"/>
  <c r="K245" i="15" s="1"/>
  <c r="J244" i="15"/>
  <c r="K244" i="15" s="1"/>
  <c r="J243" i="15"/>
  <c r="J242" i="15"/>
  <c r="K242" i="15" s="1"/>
  <c r="J241" i="15"/>
  <c r="K241" i="15" s="1"/>
  <c r="J240" i="15"/>
  <c r="K240" i="15" s="1"/>
  <c r="J239" i="15"/>
  <c r="K239" i="15" s="1"/>
  <c r="J238" i="15"/>
  <c r="J237" i="15"/>
  <c r="K237" i="15" s="1"/>
  <c r="J236" i="15"/>
  <c r="J235" i="15"/>
  <c r="J234" i="15"/>
  <c r="K234" i="15" s="1"/>
  <c r="J233" i="15"/>
  <c r="J232" i="15"/>
  <c r="K232" i="15" s="1"/>
  <c r="J231" i="15"/>
  <c r="K231" i="15" s="1"/>
  <c r="J230" i="15"/>
  <c r="J229" i="15"/>
  <c r="K229" i="15" s="1"/>
  <c r="J228" i="15"/>
  <c r="J227" i="15"/>
  <c r="J226" i="15"/>
  <c r="K226" i="15" s="1"/>
  <c r="J225" i="15"/>
  <c r="K225" i="15" s="1"/>
  <c r="J224" i="15"/>
  <c r="J223" i="15"/>
  <c r="K223" i="15" s="1"/>
  <c r="J222" i="15"/>
  <c r="J221" i="15"/>
  <c r="J220" i="15"/>
  <c r="K220" i="15" s="1"/>
  <c r="J219" i="15"/>
  <c r="J218" i="15"/>
  <c r="K218" i="15" s="1"/>
  <c r="J217" i="15"/>
  <c r="K217" i="15" s="1"/>
  <c r="J216" i="15"/>
  <c r="K216" i="15" s="1"/>
  <c r="J215" i="15"/>
  <c r="K215" i="15" s="1"/>
  <c r="J214" i="15"/>
  <c r="J213" i="15"/>
  <c r="K213" i="15" s="1"/>
  <c r="J212" i="15"/>
  <c r="K212" i="15" s="1"/>
  <c r="J211" i="15"/>
  <c r="J210" i="15"/>
  <c r="K210" i="15" s="1"/>
  <c r="J209" i="15"/>
  <c r="J208" i="15"/>
  <c r="K208" i="15" s="1"/>
  <c r="J207" i="15"/>
  <c r="K207" i="15" s="1"/>
  <c r="J206" i="15"/>
  <c r="J205" i="15"/>
  <c r="J204" i="15"/>
  <c r="K204" i="15" s="1"/>
  <c r="J203" i="15"/>
  <c r="J202" i="15"/>
  <c r="K202" i="15" s="1"/>
  <c r="J201" i="15"/>
  <c r="K201" i="15" s="1"/>
  <c r="J200" i="15"/>
  <c r="K200" i="15" s="1"/>
  <c r="J199" i="15"/>
  <c r="J198" i="15"/>
  <c r="J197" i="15"/>
  <c r="K197" i="15" s="1"/>
  <c r="J196" i="15"/>
  <c r="K196" i="15" s="1"/>
  <c r="J195" i="15"/>
  <c r="J194" i="15"/>
  <c r="J193" i="15"/>
  <c r="K193" i="15" s="1"/>
  <c r="J192" i="15"/>
  <c r="K192" i="15" s="1"/>
  <c r="J191" i="15"/>
  <c r="K191" i="15" s="1"/>
  <c r="J190" i="15"/>
  <c r="J189" i="15"/>
  <c r="K189" i="15" s="1"/>
  <c r="J188" i="15"/>
  <c r="K188" i="15" s="1"/>
  <c r="J187" i="15"/>
  <c r="J186" i="15"/>
  <c r="K186" i="15" s="1"/>
  <c r="J185" i="15"/>
  <c r="J184" i="15"/>
  <c r="J183" i="15"/>
  <c r="K183" i="15" s="1"/>
  <c r="J182" i="15"/>
  <c r="J181" i="15"/>
  <c r="K181" i="15" s="1"/>
  <c r="J180" i="15"/>
  <c r="K180" i="15" s="1"/>
  <c r="J179" i="15"/>
  <c r="J178" i="15"/>
  <c r="K178" i="15" s="1"/>
  <c r="J177" i="15"/>
  <c r="K177" i="15" s="1"/>
  <c r="J176" i="15"/>
  <c r="K176" i="15" s="1"/>
  <c r="J175" i="15"/>
  <c r="K175" i="15" s="1"/>
  <c r="J174" i="15"/>
  <c r="J173" i="15"/>
  <c r="J172" i="15"/>
  <c r="K172" i="15" s="1"/>
  <c r="J171" i="15"/>
  <c r="J170" i="15"/>
  <c r="K170" i="15" s="1"/>
  <c r="J169" i="15"/>
  <c r="J168" i="15"/>
  <c r="K168" i="15" s="1"/>
  <c r="J167" i="15"/>
  <c r="K167" i="15" s="1"/>
  <c r="J166" i="15"/>
  <c r="J165" i="15"/>
  <c r="J164" i="15"/>
  <c r="J163" i="15"/>
  <c r="J162" i="15"/>
  <c r="K162" i="15" s="1"/>
  <c r="J161" i="15"/>
  <c r="K161" i="15" s="1"/>
  <c r="J160" i="15"/>
  <c r="J159" i="15"/>
  <c r="K159" i="15" s="1"/>
  <c r="J158" i="15"/>
  <c r="J157" i="15"/>
  <c r="K157" i="15" s="1"/>
  <c r="J156" i="15"/>
  <c r="J155" i="15"/>
  <c r="J154" i="15"/>
  <c r="K154" i="15" s="1"/>
  <c r="J153" i="15"/>
  <c r="K153" i="15" s="1"/>
  <c r="J152" i="15"/>
  <c r="K152" i="15" s="1"/>
  <c r="J151" i="15"/>
  <c r="K151" i="15" s="1"/>
  <c r="J150" i="15"/>
  <c r="J149" i="15"/>
  <c r="K149" i="15" s="1"/>
  <c r="J148" i="15"/>
  <c r="K148" i="15" s="1"/>
  <c r="J147" i="15"/>
  <c r="J146" i="15"/>
  <c r="J145" i="15"/>
  <c r="J144" i="15"/>
  <c r="J143" i="15"/>
  <c r="K143" i="15" s="1"/>
  <c r="J142" i="15"/>
  <c r="J141" i="15"/>
  <c r="K141" i="15" s="1"/>
  <c r="J140" i="15"/>
  <c r="K140" i="15" s="1"/>
  <c r="J139" i="15"/>
  <c r="J138" i="15"/>
  <c r="K138" i="15" s="1"/>
  <c r="J137" i="15"/>
  <c r="K137" i="15" s="1"/>
  <c r="J136" i="15"/>
  <c r="K136" i="15" s="1"/>
  <c r="J135" i="15"/>
  <c r="K135" i="15" s="1"/>
  <c r="J134" i="15"/>
  <c r="J133" i="15"/>
  <c r="K133" i="15" s="1"/>
  <c r="J132" i="15"/>
  <c r="K132" i="15" s="1"/>
  <c r="J131" i="15"/>
  <c r="J130" i="15"/>
  <c r="J129" i="15"/>
  <c r="J128" i="15"/>
  <c r="K128" i="15" s="1"/>
  <c r="J127" i="15"/>
  <c r="K127" i="15" s="1"/>
  <c r="J126" i="15"/>
  <c r="J125" i="15"/>
  <c r="J124" i="15"/>
  <c r="K124" i="15" s="1"/>
  <c r="J123" i="15"/>
  <c r="J122" i="15"/>
  <c r="K122" i="15" s="1"/>
  <c r="J121" i="15"/>
  <c r="K121" i="15" s="1"/>
  <c r="J120" i="15"/>
  <c r="K120" i="15" s="1"/>
  <c r="J119" i="15"/>
  <c r="J118" i="15"/>
  <c r="J117" i="15"/>
  <c r="K117" i="15" s="1"/>
  <c r="J116" i="15"/>
  <c r="K116" i="15" s="1"/>
  <c r="J115" i="15"/>
  <c r="J114" i="15"/>
  <c r="K114" i="15" s="1"/>
  <c r="J113" i="15"/>
  <c r="J112" i="15"/>
  <c r="K112" i="15" s="1"/>
  <c r="J111" i="15"/>
  <c r="K111" i="15" s="1"/>
  <c r="J110" i="15"/>
  <c r="J109" i="15"/>
  <c r="K109" i="15" s="1"/>
  <c r="J108" i="15"/>
  <c r="K108" i="15" s="1"/>
  <c r="J107" i="15"/>
  <c r="J106" i="15"/>
  <c r="K106" i="15" s="1"/>
  <c r="J105" i="15"/>
  <c r="K105" i="15" s="1"/>
  <c r="J104" i="15"/>
  <c r="K104" i="15" s="1"/>
  <c r="J103" i="15"/>
  <c r="J102" i="15"/>
  <c r="J101" i="15"/>
  <c r="K101" i="15" s="1"/>
  <c r="J100" i="15"/>
  <c r="K100" i="15" s="1"/>
  <c r="J99" i="15"/>
  <c r="J98" i="15"/>
  <c r="K98" i="15" s="1"/>
  <c r="J97" i="15"/>
  <c r="J96" i="15"/>
  <c r="K96" i="15" s="1"/>
  <c r="J95" i="15"/>
  <c r="K95" i="15" s="1"/>
  <c r="J94" i="15"/>
  <c r="J93" i="15"/>
  <c r="J92" i="15"/>
  <c r="K92" i="15" s="1"/>
  <c r="J91" i="15"/>
  <c r="J90" i="15"/>
  <c r="K90" i="15" s="1"/>
  <c r="J89" i="15"/>
  <c r="K89" i="15" s="1"/>
  <c r="J88" i="15"/>
  <c r="J87" i="15"/>
  <c r="K87" i="15" s="1"/>
  <c r="J86" i="15"/>
  <c r="J85" i="15"/>
  <c r="K85" i="15" s="1"/>
  <c r="J84" i="15"/>
  <c r="K84" i="15" s="1"/>
  <c r="J83" i="15"/>
  <c r="J82" i="15"/>
  <c r="J81" i="15"/>
  <c r="K81" i="15" s="1"/>
  <c r="J80" i="15"/>
  <c r="K80" i="15" s="1"/>
  <c r="J79" i="15"/>
  <c r="K79" i="15" s="1"/>
  <c r="J78" i="15"/>
  <c r="J77" i="15"/>
  <c r="K77" i="15" s="1"/>
  <c r="J76" i="15"/>
  <c r="K76" i="15" s="1"/>
  <c r="J75" i="15"/>
  <c r="J74" i="15"/>
  <c r="K74" i="15" s="1"/>
  <c r="J73" i="15"/>
  <c r="J72" i="15"/>
  <c r="J71" i="15"/>
  <c r="K71" i="15" s="1"/>
  <c r="J70" i="15"/>
  <c r="J69" i="15"/>
  <c r="J68" i="15"/>
  <c r="K68" i="15" s="1"/>
  <c r="J67" i="15"/>
  <c r="J66" i="15"/>
  <c r="K66" i="15" s="1"/>
  <c r="J65" i="15"/>
  <c r="K65" i="15" s="1"/>
  <c r="J64" i="15"/>
  <c r="K64" i="15" s="1"/>
  <c r="J63" i="15"/>
  <c r="K63" i="15" s="1"/>
  <c r="J62" i="15"/>
  <c r="J61" i="15"/>
  <c r="K61" i="15" s="1"/>
  <c r="J60" i="15"/>
  <c r="K60" i="15" s="1"/>
  <c r="J59" i="15"/>
  <c r="J58" i="15"/>
  <c r="K58" i="15" s="1"/>
  <c r="J57" i="15"/>
  <c r="J56" i="15"/>
  <c r="K56" i="15" s="1"/>
  <c r="J55" i="15"/>
  <c r="K55" i="15" s="1"/>
  <c r="J54" i="15"/>
  <c r="J53" i="15"/>
  <c r="K53" i="15" s="1"/>
  <c r="J52" i="15"/>
  <c r="K52" i="15" s="1"/>
  <c r="J51" i="15"/>
  <c r="J50" i="15"/>
  <c r="K50" i="15" s="1"/>
  <c r="J49" i="15"/>
  <c r="K49" i="15" s="1"/>
  <c r="J48" i="15"/>
  <c r="K48" i="15" s="1"/>
  <c r="J47" i="15"/>
  <c r="K47" i="15" s="1"/>
  <c r="J46" i="15"/>
  <c r="J45" i="15"/>
  <c r="K45" i="15" s="1"/>
  <c r="J44" i="15"/>
  <c r="K44" i="15" s="1"/>
  <c r="J43" i="15"/>
  <c r="J42" i="15"/>
  <c r="K42" i="15" s="1"/>
  <c r="J41" i="15"/>
  <c r="K41" i="15" s="1"/>
  <c r="J40" i="15"/>
  <c r="K40" i="15" s="1"/>
  <c r="J39" i="15"/>
  <c r="J38" i="15"/>
  <c r="J37" i="15"/>
  <c r="K37" i="15" s="1"/>
  <c r="J36" i="15"/>
  <c r="K36" i="15" s="1"/>
  <c r="J35" i="15"/>
  <c r="J34" i="15"/>
  <c r="K34" i="15" s="1"/>
  <c r="J33" i="15"/>
  <c r="J32" i="15"/>
  <c r="K32" i="15" s="1"/>
  <c r="J31" i="15"/>
  <c r="K31" i="15" s="1"/>
  <c r="J30" i="15"/>
  <c r="J29" i="15"/>
  <c r="J28" i="15"/>
  <c r="K28" i="15" s="1"/>
  <c r="J27" i="15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J18" i="15"/>
  <c r="K18" i="15" s="1"/>
  <c r="J17" i="15"/>
  <c r="J16" i="15"/>
  <c r="K16" i="15" s="1"/>
  <c r="J15" i="15"/>
  <c r="K15" i="15" s="1"/>
  <c r="J14" i="15"/>
  <c r="J13" i="15"/>
  <c r="J12" i="15"/>
  <c r="K12" i="15" s="1"/>
  <c r="J11" i="15"/>
  <c r="J10" i="15"/>
  <c r="K10" i="15" s="1"/>
  <c r="J9" i="15"/>
  <c r="K9" i="15" s="1"/>
  <c r="J8" i="15"/>
  <c r="J7" i="15"/>
  <c r="K7" i="15" s="1"/>
  <c r="K14" i="15"/>
  <c r="K30" i="15"/>
  <c r="K38" i="15"/>
  <c r="K46" i="15"/>
  <c r="K54" i="15"/>
  <c r="K62" i="15"/>
  <c r="K70" i="15"/>
  <c r="K86" i="15"/>
  <c r="K94" i="15"/>
  <c r="K102" i="15"/>
  <c r="K110" i="15"/>
  <c r="K118" i="15"/>
  <c r="K126" i="15"/>
  <c r="K134" i="15"/>
  <c r="K150" i="15"/>
  <c r="K158" i="15"/>
  <c r="K166" i="15"/>
  <c r="K174" i="15"/>
  <c r="K182" i="15"/>
  <c r="K190" i="15"/>
  <c r="K198" i="15"/>
  <c r="K206" i="15"/>
  <c r="K214" i="15"/>
  <c r="K222" i="15"/>
  <c r="K230" i="15"/>
  <c r="K246" i="15"/>
  <c r="K254" i="15"/>
  <c r="K262" i="15"/>
  <c r="K278" i="15"/>
  <c r="K286" i="15"/>
  <c r="K294" i="15"/>
  <c r="K302" i="15"/>
  <c r="K194" i="15"/>
  <c r="K146" i="15"/>
  <c r="K130" i="15"/>
  <c r="K82" i="15"/>
  <c r="J6" i="19"/>
  <c r="J6" i="17"/>
  <c r="J6" i="16"/>
  <c r="J6" i="15"/>
  <c r="K6" i="15" s="1"/>
  <c r="G8" i="13"/>
  <c r="G13" i="13"/>
  <c r="G14" i="13"/>
  <c r="G7" i="13"/>
  <c r="A23" i="13"/>
  <c r="A22" i="13"/>
  <c r="A21" i="13"/>
  <c r="A20" i="13"/>
  <c r="A19" i="13"/>
  <c r="A18" i="13"/>
  <c r="A17" i="13"/>
  <c r="A9" i="13"/>
  <c r="A15" i="13"/>
  <c r="A11" i="13"/>
  <c r="A16" i="13"/>
  <c r="A12" i="13"/>
  <c r="A6" i="13"/>
  <c r="A8" i="13"/>
  <c r="A13" i="13"/>
  <c r="A14" i="13"/>
  <c r="A10" i="13"/>
  <c r="A7" i="13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2" i="14"/>
  <c r="J511" i="14"/>
  <c r="J510" i="14"/>
  <c r="J509" i="14"/>
  <c r="J508" i="14"/>
  <c r="J507" i="14"/>
  <c r="J506" i="14"/>
  <c r="J505" i="14"/>
  <c r="J504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4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K302" i="14" s="1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K290" i="14" s="1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K278" i="14" s="1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K266" i="14" s="1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K254" i="14" s="1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K242" i="14" s="1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K218" i="14" s="1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K206" i="14" s="1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K194" i="14" s="1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K182" i="14" s="1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K170" i="14" s="1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K158" i="14" s="1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K134" i="14" s="1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K122" i="14" s="1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K110" i="14" s="1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K98" i="14" s="1"/>
  <c r="J97" i="14"/>
  <c r="J96" i="14"/>
  <c r="J95" i="14"/>
  <c r="J94" i="14"/>
  <c r="J93" i="14"/>
  <c r="J92" i="14"/>
  <c r="J91" i="14"/>
  <c r="J90" i="14"/>
  <c r="J89" i="14"/>
  <c r="J88" i="14"/>
  <c r="J87" i="14"/>
  <c r="J86" i="14"/>
  <c r="K86" i="14" s="1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K62" i="14" s="1"/>
  <c r="J61" i="14"/>
  <c r="J60" i="14"/>
  <c r="J59" i="14"/>
  <c r="J58" i="14"/>
  <c r="J57" i="14"/>
  <c r="J56" i="14"/>
  <c r="J55" i="14"/>
  <c r="J54" i="14"/>
  <c r="J53" i="14"/>
  <c r="J52" i="14"/>
  <c r="J51" i="14"/>
  <c r="J50" i="14"/>
  <c r="K50" i="14" s="1"/>
  <c r="J49" i="14"/>
  <c r="J48" i="14"/>
  <c r="J47" i="14"/>
  <c r="J46" i="14"/>
  <c r="J45" i="14"/>
  <c r="J44" i="14"/>
  <c r="J43" i="14"/>
  <c r="J42" i="14"/>
  <c r="J41" i="14"/>
  <c r="J40" i="14"/>
  <c r="J39" i="14"/>
  <c r="J38" i="14"/>
  <c r="K38" i="14" s="1"/>
  <c r="J37" i="14"/>
  <c r="J36" i="14"/>
  <c r="J35" i="14"/>
  <c r="J34" i="14"/>
  <c r="J33" i="14"/>
  <c r="J32" i="14"/>
  <c r="J31" i="14"/>
  <c r="J30" i="14"/>
  <c r="J29" i="14"/>
  <c r="J28" i="14"/>
  <c r="J27" i="14"/>
  <c r="J26" i="14"/>
  <c r="K26" i="14" s="1"/>
  <c r="J25" i="14"/>
  <c r="J24" i="14"/>
  <c r="J23" i="14"/>
  <c r="J22" i="14"/>
  <c r="J21" i="14"/>
  <c r="J20" i="14"/>
  <c r="J19" i="14"/>
  <c r="J18" i="14"/>
  <c r="J17" i="14"/>
  <c r="J16" i="14"/>
  <c r="J15" i="14"/>
  <c r="J14" i="14"/>
  <c r="K14" i="14" s="1"/>
  <c r="J13" i="14"/>
  <c r="J12" i="14"/>
  <c r="J11" i="14"/>
  <c r="J10" i="14"/>
  <c r="J9" i="14"/>
  <c r="J8" i="14"/>
  <c r="J7" i="14"/>
  <c r="J6" i="14"/>
  <c r="E11" i="13"/>
  <c r="E16" i="13"/>
  <c r="E12" i="13"/>
  <c r="E6" i="13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I262" i="19"/>
  <c r="K261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I243" i="19"/>
  <c r="I242" i="19"/>
  <c r="K241" i="19"/>
  <c r="I241" i="19"/>
  <c r="K240" i="19"/>
  <c r="I240" i="19"/>
  <c r="K239" i="19"/>
  <c r="I239" i="19"/>
  <c r="I238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I195" i="19"/>
  <c r="I194" i="19"/>
  <c r="K193" i="19"/>
  <c r="I193" i="19"/>
  <c r="K192" i="19"/>
  <c r="I192" i="19"/>
  <c r="K191" i="19"/>
  <c r="I191" i="19"/>
  <c r="I190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K163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I134" i="19"/>
  <c r="K133" i="19"/>
  <c r="I133" i="19"/>
  <c r="I132" i="19"/>
  <c r="I131" i="19"/>
  <c r="I130" i="19"/>
  <c r="K129" i="19"/>
  <c r="I129" i="19"/>
  <c r="K128" i="19"/>
  <c r="I128" i="19"/>
  <c r="K127" i="19"/>
  <c r="I127" i="19"/>
  <c r="I126" i="19"/>
  <c r="K125" i="19"/>
  <c r="I125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I84" i="19"/>
  <c r="I83" i="19"/>
  <c r="I82" i="19"/>
  <c r="K81" i="19"/>
  <c r="I81" i="19"/>
  <c r="K80" i="19"/>
  <c r="I80" i="19"/>
  <c r="K79" i="19"/>
  <c r="I79" i="19"/>
  <c r="I78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K16" i="19"/>
  <c r="I16" i="19"/>
  <c r="K15" i="19"/>
  <c r="I15" i="19"/>
  <c r="AJ14" i="19"/>
  <c r="I14" i="19"/>
  <c r="AJ13" i="19"/>
  <c r="I13" i="19"/>
  <c r="AJ12" i="19"/>
  <c r="AJ16" i="19" s="1"/>
  <c r="I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I247" i="18"/>
  <c r="M247" i="18" s="1"/>
  <c r="I246" i="18"/>
  <c r="M246" i="18" s="1"/>
  <c r="K245" i="18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I233" i="18"/>
  <c r="M233" i="18" s="1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K220" i="18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I192" i="18"/>
  <c r="M192" i="18" s="1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K105" i="18"/>
  <c r="I105" i="18"/>
  <c r="M105" i="18" s="1"/>
  <c r="I104" i="18"/>
  <c r="M104" i="18" s="1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I95" i="18"/>
  <c r="M95" i="18" s="1"/>
  <c r="I94" i="18"/>
  <c r="M94" i="18" s="1"/>
  <c r="K93" i="18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I72" i="18"/>
  <c r="M72" i="18" s="1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K65" i="18"/>
  <c r="I65" i="18"/>
  <c r="M65" i="18" s="1"/>
  <c r="B65" i="18"/>
  <c r="I64" i="18"/>
  <c r="M64" i="18" s="1"/>
  <c r="B64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I56" i="18"/>
  <c r="M56" i="18" s="1"/>
  <c r="B56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B36" i="18"/>
  <c r="K35" i="18"/>
  <c r="I35" i="18"/>
  <c r="M35" i="18" s="1"/>
  <c r="A35" i="18" s="1"/>
  <c r="B35" i="18"/>
  <c r="I34" i="18"/>
  <c r="M34" i="18" s="1"/>
  <c r="B34" i="18"/>
  <c r="I33" i="18"/>
  <c r="M33" i="18" s="1"/>
  <c r="A33" i="18" s="1"/>
  <c r="B33" i="18"/>
  <c r="K32" i="18"/>
  <c r="I32" i="18"/>
  <c r="B32" i="18"/>
  <c r="I31" i="18"/>
  <c r="M31" i="18" s="1"/>
  <c r="A31" i="18" s="1"/>
  <c r="B31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A26" i="18" s="1"/>
  <c r="B26" i="18"/>
  <c r="I25" i="18"/>
  <c r="B25" i="18"/>
  <c r="I24" i="18"/>
  <c r="M24" i="18" s="1"/>
  <c r="A24" i="18" s="1"/>
  <c r="B24" i="18"/>
  <c r="K23" i="18"/>
  <c r="I23" i="18"/>
  <c r="M23" i="18" s="1"/>
  <c r="A23" i="18" s="1"/>
  <c r="B23" i="18"/>
  <c r="I22" i="18"/>
  <c r="M22" i="18" s="1"/>
  <c r="A22" i="18" s="1"/>
  <c r="B22" i="18"/>
  <c r="K21" i="18"/>
  <c r="I21" i="18"/>
  <c r="B21" i="18"/>
  <c r="K20" i="18"/>
  <c r="I20" i="18"/>
  <c r="B20" i="18"/>
  <c r="K19" i="18"/>
  <c r="I19" i="18"/>
  <c r="M19" i="18" s="1"/>
  <c r="A19" i="18" s="1"/>
  <c r="B19" i="18"/>
  <c r="I18" i="18"/>
  <c r="M18" i="18" s="1"/>
  <c r="B18" i="18"/>
  <c r="I17" i="18"/>
  <c r="B17" i="18"/>
  <c r="I16" i="18"/>
  <c r="B16" i="18"/>
  <c r="I15" i="18"/>
  <c r="B15" i="18"/>
  <c r="AI14" i="18"/>
  <c r="I14" i="18"/>
  <c r="AI13" i="18"/>
  <c r="K13" i="18"/>
  <c r="I13" i="18"/>
  <c r="AI12" i="18"/>
  <c r="AI16" i="18" s="1"/>
  <c r="K12" i="18"/>
  <c r="I12" i="18"/>
  <c r="M12" i="18" s="1"/>
  <c r="A12" i="18" s="1"/>
  <c r="I11" i="18"/>
  <c r="M11" i="18" s="1"/>
  <c r="A11" i="18" s="1"/>
  <c r="I10" i="18"/>
  <c r="M10" i="18" s="1"/>
  <c r="A10" i="18" s="1"/>
  <c r="K9" i="18"/>
  <c r="I9" i="18"/>
  <c r="M9" i="18" s="1"/>
  <c r="A9" i="18" s="1"/>
  <c r="K8" i="18"/>
  <c r="I8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I192" i="17"/>
  <c r="M192" i="17" s="1"/>
  <c r="K191" i="17"/>
  <c r="I191" i="17"/>
  <c r="M191" i="17" s="1"/>
  <c r="I190" i="17"/>
  <c r="M190" i="17" s="1"/>
  <c r="K189" i="17"/>
  <c r="I189" i="17"/>
  <c r="M189" i="17" s="1"/>
  <c r="I188" i="17"/>
  <c r="M188" i="17" s="1"/>
  <c r="K187" i="17"/>
  <c r="I187" i="17"/>
  <c r="M187" i="17" s="1"/>
  <c r="I186" i="17"/>
  <c r="M186" i="17" s="1"/>
  <c r="K185" i="17"/>
  <c r="I185" i="17"/>
  <c r="M185" i="17" s="1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I153" i="17"/>
  <c r="M153" i="17" s="1"/>
  <c r="I152" i="17"/>
  <c r="M152" i="17" s="1"/>
  <c r="K151" i="17"/>
  <c r="I151" i="17"/>
  <c r="M151" i="17" s="1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I137" i="17"/>
  <c r="M137" i="17" s="1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I121" i="17"/>
  <c r="M121" i="17" s="1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I100" i="17"/>
  <c r="M100" i="17" s="1"/>
  <c r="K99" i="17"/>
  <c r="I99" i="17"/>
  <c r="M99" i="17" s="1"/>
  <c r="I98" i="17"/>
  <c r="M98" i="17" s="1"/>
  <c r="K97" i="17"/>
  <c r="I97" i="17"/>
  <c r="M97" i="17" s="1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K65" i="17"/>
  <c r="I65" i="17"/>
  <c r="M65" i="17" s="1"/>
  <c r="B65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I56" i="17"/>
  <c r="M56" i="17" s="1"/>
  <c r="B56" i="17"/>
  <c r="K55" i="17"/>
  <c r="I55" i="17"/>
  <c r="M55" i="17" s="1"/>
  <c r="B55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K35" i="17"/>
  <c r="I35" i="17"/>
  <c r="M35" i="17" s="1"/>
  <c r="A35" i="17" s="1"/>
  <c r="B35" i="17"/>
  <c r="I34" i="17"/>
  <c r="B34" i="17"/>
  <c r="I33" i="17"/>
  <c r="M33" i="17" s="1"/>
  <c r="A33" i="17" s="1"/>
  <c r="B33" i="17"/>
  <c r="I32" i="17"/>
  <c r="B32" i="17"/>
  <c r="K31" i="17"/>
  <c r="I31" i="17"/>
  <c r="M31" i="17" s="1"/>
  <c r="A31" i="17" s="1"/>
  <c r="B31" i="17"/>
  <c r="I30" i="17"/>
  <c r="B30" i="17"/>
  <c r="K29" i="17"/>
  <c r="I29" i="17"/>
  <c r="M29" i="17" s="1"/>
  <c r="A29" i="17" s="1"/>
  <c r="B29" i="17"/>
  <c r="K28" i="17"/>
  <c r="I28" i="17"/>
  <c r="M28" i="17" s="1"/>
  <c r="B28" i="17"/>
  <c r="K27" i="17"/>
  <c r="I27" i="17"/>
  <c r="M27" i="17" s="1"/>
  <c r="A27" i="17" s="1"/>
  <c r="B27" i="17"/>
  <c r="I26" i="17"/>
  <c r="B26" i="17"/>
  <c r="K25" i="17"/>
  <c r="I25" i="17"/>
  <c r="M25" i="17" s="1"/>
  <c r="A25" i="17" s="1"/>
  <c r="B25" i="17"/>
  <c r="I24" i="17"/>
  <c r="B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B18" i="17"/>
  <c r="I17" i="17"/>
  <c r="M17" i="17" s="1"/>
  <c r="A17" i="17" s="1"/>
  <c r="B17" i="17"/>
  <c r="I16" i="17"/>
  <c r="M16" i="17" s="1"/>
  <c r="A16" i="17" s="1"/>
  <c r="B16" i="17"/>
  <c r="K15" i="17"/>
  <c r="I15" i="17"/>
  <c r="AI14" i="17"/>
  <c r="I14" i="17"/>
  <c r="M14" i="17" s="1"/>
  <c r="A14" i="17" s="1"/>
  <c r="AI13" i="17"/>
  <c r="K13" i="17"/>
  <c r="I13" i="17"/>
  <c r="AI12" i="17"/>
  <c r="AI16" i="17" s="1"/>
  <c r="I12" i="17"/>
  <c r="M12" i="17" s="1"/>
  <c r="K11" i="17"/>
  <c r="I11" i="17"/>
  <c r="K21" i="20"/>
  <c r="I10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I303" i="16"/>
  <c r="M303" i="16" s="1"/>
  <c r="I302" i="16"/>
  <c r="M302" i="16" s="1"/>
  <c r="I301" i="16"/>
  <c r="M301" i="16" s="1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I287" i="16"/>
  <c r="M287" i="16" s="1"/>
  <c r="I286" i="16"/>
  <c r="M286" i="16" s="1"/>
  <c r="K285" i="16"/>
  <c r="I285" i="16"/>
  <c r="M285" i="16" s="1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I263" i="16"/>
  <c r="M263" i="16" s="1"/>
  <c r="K262" i="16"/>
  <c r="I262" i="16"/>
  <c r="M262" i="16" s="1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K253" i="16"/>
  <c r="I253" i="16"/>
  <c r="M253" i="16" s="1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I223" i="16"/>
  <c r="M223" i="16" s="1"/>
  <c r="K222" i="16"/>
  <c r="I222" i="16"/>
  <c r="M222" i="16" s="1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I213" i="16"/>
  <c r="M213" i="16" s="1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I183" i="16"/>
  <c r="M183" i="16" s="1"/>
  <c r="I182" i="16"/>
  <c r="M182" i="16" s="1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I167" i="16"/>
  <c r="M167" i="16" s="1"/>
  <c r="I166" i="16"/>
  <c r="M166" i="16" s="1"/>
  <c r="I165" i="16"/>
  <c r="M165" i="16" s="1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I127" i="16"/>
  <c r="M127" i="16" s="1"/>
  <c r="I126" i="16"/>
  <c r="M126" i="16" s="1"/>
  <c r="I125" i="16"/>
  <c r="M125" i="16" s="1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K110" i="16"/>
  <c r="I110" i="16"/>
  <c r="M110" i="16" s="1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I95" i="16"/>
  <c r="M95" i="16" s="1"/>
  <c r="I94" i="16"/>
  <c r="M94" i="16" s="1"/>
  <c r="K93" i="16"/>
  <c r="I93" i="16"/>
  <c r="M93" i="16" s="1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I87" i="16"/>
  <c r="M87" i="16" s="1"/>
  <c r="K86" i="16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I71" i="16"/>
  <c r="M71" i="16" s="1"/>
  <c r="I70" i="16"/>
  <c r="M70" i="16" s="1"/>
  <c r="I69" i="16"/>
  <c r="M69" i="16" s="1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I39" i="16"/>
  <c r="M39" i="16" s="1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B35" i="16"/>
  <c r="K34" i="16"/>
  <c r="I34" i="16"/>
  <c r="M34" i="16" s="1"/>
  <c r="A34" i="16" s="1"/>
  <c r="B34" i="16"/>
  <c r="K33" i="16"/>
  <c r="I33" i="16"/>
  <c r="B33" i="16"/>
  <c r="K32" i="16"/>
  <c r="I32" i="16"/>
  <c r="M32" i="16" s="1"/>
  <c r="A32" i="16" s="1"/>
  <c r="B32" i="16"/>
  <c r="I31" i="16"/>
  <c r="M31" i="16" s="1"/>
  <c r="A31" i="16" s="1"/>
  <c r="B31" i="16"/>
  <c r="I30" i="16"/>
  <c r="M30" i="16" s="1"/>
  <c r="A30" i="16" s="1"/>
  <c r="B30" i="16"/>
  <c r="K29" i="16"/>
  <c r="I29" i="16"/>
  <c r="M29" i="16" s="1"/>
  <c r="B29" i="16"/>
  <c r="K28" i="16"/>
  <c r="I28" i="16"/>
  <c r="M28" i="16" s="1"/>
  <c r="A28" i="16" s="1"/>
  <c r="B28" i="16"/>
  <c r="K27" i="16"/>
  <c r="I27" i="16"/>
  <c r="M27" i="16" s="1"/>
  <c r="B27" i="16"/>
  <c r="K26" i="16"/>
  <c r="I26" i="16"/>
  <c r="M26" i="16" s="1"/>
  <c r="A26" i="16" s="1"/>
  <c r="B26" i="16"/>
  <c r="K25" i="16"/>
  <c r="I25" i="16"/>
  <c r="B25" i="16"/>
  <c r="K24" i="16"/>
  <c r="I24" i="16"/>
  <c r="M24" i="16" s="1"/>
  <c r="A24" i="16" s="1"/>
  <c r="B24" i="16"/>
  <c r="I23" i="16"/>
  <c r="M23" i="16" s="1"/>
  <c r="A23" i="16" s="1"/>
  <c r="B23" i="16"/>
  <c r="I22" i="16"/>
  <c r="M22" i="16" s="1"/>
  <c r="A22" i="16" s="1"/>
  <c r="B22" i="16"/>
  <c r="K21" i="16"/>
  <c r="I21" i="16"/>
  <c r="M21" i="16" s="1"/>
  <c r="B21" i="16"/>
  <c r="I20" i="16"/>
  <c r="M20" i="16" s="1"/>
  <c r="A20" i="16" s="1"/>
  <c r="B20" i="16"/>
  <c r="K19" i="16"/>
  <c r="I19" i="16"/>
  <c r="M19" i="16" s="1"/>
  <c r="B19" i="16"/>
  <c r="I18" i="16"/>
  <c r="M18" i="16" s="1"/>
  <c r="A18" i="16" s="1"/>
  <c r="B18" i="16"/>
  <c r="K17" i="16"/>
  <c r="I17" i="16"/>
  <c r="B17" i="16"/>
  <c r="K16" i="16"/>
  <c r="I16" i="16"/>
  <c r="B16" i="16"/>
  <c r="I15" i="16"/>
  <c r="M15" i="16" s="1"/>
  <c r="B15" i="16"/>
  <c r="AI14" i="16"/>
  <c r="I14" i="16"/>
  <c r="M14" i="16" s="1"/>
  <c r="A14" i="16" s="1"/>
  <c r="AI13" i="16"/>
  <c r="I13" i="16"/>
  <c r="M13" i="16" s="1"/>
  <c r="AI12" i="16"/>
  <c r="AI16" i="16" s="1"/>
  <c r="I12" i="16"/>
  <c r="M12" i="16" s="1"/>
  <c r="I11" i="16"/>
  <c r="M11" i="16" s="1"/>
  <c r="K10" i="16"/>
  <c r="I10" i="16"/>
  <c r="M10" i="16" s="1"/>
  <c r="K9" i="16"/>
  <c r="I9" i="16"/>
  <c r="M9" i="16" s="1"/>
  <c r="A9" i="16" s="1"/>
  <c r="K8" i="16"/>
  <c r="I8" i="16"/>
  <c r="I7" i="16"/>
  <c r="K6" i="16"/>
  <c r="K2" i="16"/>
  <c r="L7" i="16" s="1"/>
  <c r="I305" i="15"/>
  <c r="M305" i="15" s="1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K299" i="15"/>
  <c r="I299" i="15"/>
  <c r="M299" i="15" s="1"/>
  <c r="I298" i="15"/>
  <c r="M298" i="15" s="1"/>
  <c r="K297" i="15"/>
  <c r="I297" i="15"/>
  <c r="M297" i="15" s="1"/>
  <c r="I296" i="15"/>
  <c r="M296" i="15" s="1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I281" i="15"/>
  <c r="M281" i="15" s="1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K270" i="15"/>
  <c r="I270" i="15"/>
  <c r="M270" i="15" s="1"/>
  <c r="I269" i="15"/>
  <c r="M269" i="15" s="1"/>
  <c r="I268" i="15"/>
  <c r="M268" i="15" s="1"/>
  <c r="K267" i="15"/>
  <c r="I267" i="15"/>
  <c r="M267" i="15" s="1"/>
  <c r="I266" i="15"/>
  <c r="M266" i="15" s="1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K259" i="15"/>
  <c r="I259" i="15"/>
  <c r="M259" i="15" s="1"/>
  <c r="I258" i="15"/>
  <c r="M258" i="15" s="1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I240" i="15"/>
  <c r="M240" i="15" s="1"/>
  <c r="I239" i="15"/>
  <c r="M239" i="15" s="1"/>
  <c r="K238" i="15"/>
  <c r="I238" i="15"/>
  <c r="M238" i="15" s="1"/>
  <c r="I237" i="15"/>
  <c r="M237" i="15" s="1"/>
  <c r="K236" i="15"/>
  <c r="I236" i="15"/>
  <c r="M236" i="15" s="1"/>
  <c r="K235" i="15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I229" i="15"/>
  <c r="M229" i="15" s="1"/>
  <c r="K228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I217" i="15"/>
  <c r="M217" i="15" s="1"/>
  <c r="I216" i="15"/>
  <c r="M216" i="15" s="1"/>
  <c r="I215" i="15"/>
  <c r="M215" i="15" s="1"/>
  <c r="I214" i="15"/>
  <c r="M214" i="15" s="1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I201" i="15"/>
  <c r="M201" i="15" s="1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K156" i="15"/>
  <c r="I156" i="15"/>
  <c r="M156" i="15" s="1"/>
  <c r="K155" i="15"/>
  <c r="I155" i="15"/>
  <c r="M155" i="15" s="1"/>
  <c r="I154" i="15"/>
  <c r="M154" i="15" s="1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K142" i="15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I137" i="15"/>
  <c r="M137" i="15" s="1"/>
  <c r="I136" i="15"/>
  <c r="M136" i="15" s="1"/>
  <c r="I135" i="15"/>
  <c r="M135" i="15" s="1"/>
  <c r="I134" i="15"/>
  <c r="M134" i="15" s="1"/>
  <c r="I133" i="15"/>
  <c r="M133" i="15" s="1"/>
  <c r="I132" i="15"/>
  <c r="M132" i="15" s="1"/>
  <c r="K131" i="15"/>
  <c r="I131" i="15"/>
  <c r="M131" i="15" s="1"/>
  <c r="I130" i="15"/>
  <c r="M130" i="15" s="1"/>
  <c r="K129" i="15"/>
  <c r="I129" i="15"/>
  <c r="M129" i="15" s="1"/>
  <c r="I128" i="15"/>
  <c r="M128" i="15" s="1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I121" i="15"/>
  <c r="M121" i="15" s="1"/>
  <c r="I120" i="15"/>
  <c r="M120" i="15" s="1"/>
  <c r="K119" i="15"/>
  <c r="I119" i="15"/>
  <c r="M119" i="15" s="1"/>
  <c r="I118" i="15"/>
  <c r="M118" i="15" s="1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K107" i="15"/>
  <c r="I107" i="15"/>
  <c r="M107" i="15" s="1"/>
  <c r="I106" i="15"/>
  <c r="M106" i="15" s="1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I89" i="15"/>
  <c r="M89" i="15" s="1"/>
  <c r="K88" i="15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I81" i="15"/>
  <c r="M81" i="15" s="1"/>
  <c r="I80" i="15"/>
  <c r="M80" i="15" s="1"/>
  <c r="I79" i="15"/>
  <c r="M79" i="15" s="1"/>
  <c r="K78" i="15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K51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I37" i="15"/>
  <c r="B37" i="15"/>
  <c r="I36" i="15"/>
  <c r="B36" i="15"/>
  <c r="K35" i="15"/>
  <c r="I35" i="15"/>
  <c r="B35" i="15"/>
  <c r="I34" i="15"/>
  <c r="M34" i="15" s="1"/>
  <c r="B34" i="15"/>
  <c r="K33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B28" i="15"/>
  <c r="K27" i="15"/>
  <c r="I27" i="15"/>
  <c r="B27" i="15"/>
  <c r="I26" i="15"/>
  <c r="M26" i="15" s="1"/>
  <c r="A26" i="15" s="1"/>
  <c r="B26" i="15"/>
  <c r="I25" i="15"/>
  <c r="B25" i="15"/>
  <c r="I24" i="15"/>
  <c r="B24" i="15"/>
  <c r="I23" i="15"/>
  <c r="M23" i="15" s="1"/>
  <c r="A23" i="15" s="1"/>
  <c r="B23" i="15"/>
  <c r="I22" i="15"/>
  <c r="B22" i="15"/>
  <c r="I21" i="15"/>
  <c r="M21" i="15" s="1"/>
  <c r="A21" i="15" s="1"/>
  <c r="B21" i="15"/>
  <c r="I20" i="15"/>
  <c r="B20" i="15"/>
  <c r="K19" i="15"/>
  <c r="I19" i="15"/>
  <c r="B19" i="15"/>
  <c r="I18" i="15"/>
  <c r="M18" i="15" s="1"/>
  <c r="B18" i="15"/>
  <c r="K17" i="15"/>
  <c r="I17" i="15"/>
  <c r="B17" i="15"/>
  <c r="I16" i="15"/>
  <c r="M16" i="15" s="1"/>
  <c r="A16" i="15" s="1"/>
  <c r="B16" i="15"/>
  <c r="I15" i="15"/>
  <c r="B15" i="15"/>
  <c r="AI14" i="15"/>
  <c r="I14" i="15"/>
  <c r="M14" i="15" s="1"/>
  <c r="A14" i="15" s="1"/>
  <c r="B14" i="15"/>
  <c r="AI13" i="15"/>
  <c r="K13" i="15"/>
  <c r="I13" i="15"/>
  <c r="B13" i="15"/>
  <c r="AI12" i="15"/>
  <c r="AI16" i="15" s="1"/>
  <c r="I12" i="15"/>
  <c r="M12" i="15" s="1"/>
  <c r="A12" i="15" s="1"/>
  <c r="B12" i="15"/>
  <c r="G29" i="20" s="1"/>
  <c r="H29" i="20" s="1"/>
  <c r="K11" i="15"/>
  <c r="I11" i="15"/>
  <c r="M11" i="15" s="1"/>
  <c r="I10" i="15"/>
  <c r="M10" i="15" s="1"/>
  <c r="I9" i="15"/>
  <c r="M9" i="15" s="1"/>
  <c r="K8" i="15"/>
  <c r="I8" i="15"/>
  <c r="I7" i="15"/>
  <c r="K2" i="15"/>
  <c r="L6" i="15" s="1"/>
  <c r="K305" i="14"/>
  <c r="I305" i="14"/>
  <c r="M305" i="14" s="1"/>
  <c r="K304" i="14"/>
  <c r="I304" i="14"/>
  <c r="M304" i="14" s="1"/>
  <c r="K303" i="14"/>
  <c r="I303" i="14"/>
  <c r="M303" i="14" s="1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K88" i="14"/>
  <c r="I88" i="14"/>
  <c r="M88" i="14" s="1"/>
  <c r="K87" i="14"/>
  <c r="I87" i="14"/>
  <c r="M87" i="14" s="1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B33" i="14"/>
  <c r="K32" i="14"/>
  <c r="I32" i="14"/>
  <c r="B32" i="14"/>
  <c r="K31" i="14"/>
  <c r="I31" i="14"/>
  <c r="B31" i="14"/>
  <c r="K30" i="14"/>
  <c r="I30" i="14"/>
  <c r="M30" i="14" s="1"/>
  <c r="A30" i="14" s="1"/>
  <c r="B30" i="14"/>
  <c r="K29" i="14"/>
  <c r="I29" i="14"/>
  <c r="B29" i="14"/>
  <c r="K28" i="14"/>
  <c r="I28" i="14"/>
  <c r="M28" i="14" s="1"/>
  <c r="A28" i="14" s="1"/>
  <c r="B28" i="14"/>
  <c r="K27" i="14"/>
  <c r="I27" i="14"/>
  <c r="B27" i="14"/>
  <c r="I26" i="14"/>
  <c r="M26" i="14" s="1"/>
  <c r="B26" i="14"/>
  <c r="K25" i="14"/>
  <c r="I25" i="14"/>
  <c r="B25" i="14"/>
  <c r="K24" i="14"/>
  <c r="I24" i="14"/>
  <c r="M24" i="14" s="1"/>
  <c r="A24" i="14" s="1"/>
  <c r="B24" i="14"/>
  <c r="K23" i="14"/>
  <c r="I23" i="14"/>
  <c r="B23" i="14"/>
  <c r="K22" i="14"/>
  <c r="I22" i="14"/>
  <c r="M22" i="14" s="1"/>
  <c r="A22" i="14" s="1"/>
  <c r="B22" i="14"/>
  <c r="K21" i="14"/>
  <c r="I21" i="14"/>
  <c r="B21" i="14"/>
  <c r="K20" i="14"/>
  <c r="I20" i="14"/>
  <c r="B20" i="14"/>
  <c r="K19" i="14"/>
  <c r="I19" i="14"/>
  <c r="B19" i="14"/>
  <c r="K18" i="14"/>
  <c r="I18" i="14"/>
  <c r="M18" i="14" s="1"/>
  <c r="A18" i="14" s="1"/>
  <c r="B18" i="14"/>
  <c r="K17" i="14"/>
  <c r="I17" i="14"/>
  <c r="B17" i="14"/>
  <c r="K16" i="14"/>
  <c r="I16" i="14"/>
  <c r="B16" i="14"/>
  <c r="K15" i="14"/>
  <c r="I15" i="14"/>
  <c r="B15" i="14"/>
  <c r="AI14" i="14"/>
  <c r="I14" i="14"/>
  <c r="B14" i="14"/>
  <c r="AI13" i="14"/>
  <c r="K13" i="14"/>
  <c r="I13" i="14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E13" i="13"/>
  <c r="K9" i="14"/>
  <c r="I9" i="14"/>
  <c r="M9" i="14" s="1"/>
  <c r="E14" i="13"/>
  <c r="K8" i="14"/>
  <c r="I8" i="14"/>
  <c r="E8" i="13"/>
  <c r="K7" i="14"/>
  <c r="I7" i="14"/>
  <c r="E10" i="13"/>
  <c r="K6" i="14"/>
  <c r="K2" i="14"/>
  <c r="L8" i="14" s="1"/>
  <c r="E7" i="13"/>
  <c r="BG16" i="20" l="1"/>
  <c r="BA16" i="20"/>
  <c r="V26" i="20"/>
  <c r="V10" i="20"/>
  <c r="V13" i="20"/>
  <c r="V9" i="20"/>
  <c r="V17" i="20"/>
  <c r="BA6" i="20"/>
  <c r="BG6" i="20"/>
  <c r="M12" i="26"/>
  <c r="A12" i="26" s="1"/>
  <c r="AK11" i="20"/>
  <c r="BF9" i="20" s="1"/>
  <c r="M15" i="26"/>
  <c r="A15" i="26" s="1"/>
  <c r="M17" i="26"/>
  <c r="A17" i="26" s="1"/>
  <c r="AK14" i="20"/>
  <c r="BF16" i="20" s="1"/>
  <c r="AK13" i="20"/>
  <c r="AK9" i="20"/>
  <c r="AK28" i="20"/>
  <c r="BF28" i="20" s="1"/>
  <c r="L6" i="26"/>
  <c r="AK6" i="20"/>
  <c r="AK27" i="20"/>
  <c r="BF27" i="20" s="1"/>
  <c r="AK29" i="20"/>
  <c r="BF29" i="20" s="1"/>
  <c r="M14" i="26"/>
  <c r="A14" i="26" s="1"/>
  <c r="M16" i="26"/>
  <c r="A16" i="26" s="1"/>
  <c r="M6" i="26"/>
  <c r="A6" i="26" s="1"/>
  <c r="AK21" i="20" s="1"/>
  <c r="BF21" i="20" s="1"/>
  <c r="AK12" i="20"/>
  <c r="AK20" i="20"/>
  <c r="BF20" i="20" s="1"/>
  <c r="AK26" i="20"/>
  <c r="BF26" i="20" s="1"/>
  <c r="M9" i="26"/>
  <c r="A9" i="26" s="1"/>
  <c r="M11" i="26"/>
  <c r="A11" i="26" s="1"/>
  <c r="AK19" i="20"/>
  <c r="BF19" i="20" s="1"/>
  <c r="AK22" i="20"/>
  <c r="BF22" i="20" s="1"/>
  <c r="AK23" i="20"/>
  <c r="BF23" i="20" s="1"/>
  <c r="AK24" i="20"/>
  <c r="BF24" i="20" s="1"/>
  <c r="AK25" i="20"/>
  <c r="BF25" i="20" s="1"/>
  <c r="AK7" i="20"/>
  <c r="AK15" i="20"/>
  <c r="AK18" i="20"/>
  <c r="BF18" i="20" s="1"/>
  <c r="M13" i="26"/>
  <c r="A13" i="26" s="1"/>
  <c r="BA15" i="20"/>
  <c r="M22" i="20"/>
  <c r="M24" i="20"/>
  <c r="M20" i="20"/>
  <c r="M29" i="20"/>
  <c r="M18" i="20"/>
  <c r="M25" i="20"/>
  <c r="BA7" i="20"/>
  <c r="AI25" i="20"/>
  <c r="BE25" i="20" s="1"/>
  <c r="M11" i="25"/>
  <c r="A11" i="25" s="1"/>
  <c r="AI7" i="20"/>
  <c r="AI15" i="20"/>
  <c r="BE14" i="20" s="1"/>
  <c r="AI18" i="20"/>
  <c r="BE18" i="20" s="1"/>
  <c r="AI21" i="20"/>
  <c r="BE21" i="20" s="1"/>
  <c r="AI23" i="20"/>
  <c r="BE23" i="20" s="1"/>
  <c r="AI8" i="20"/>
  <c r="AI10" i="20"/>
  <c r="AI14" i="20"/>
  <c r="BE16" i="20" s="1"/>
  <c r="AI17" i="20"/>
  <c r="BE17" i="20" s="1"/>
  <c r="M13" i="25"/>
  <c r="A13" i="25" s="1"/>
  <c r="M25" i="25"/>
  <c r="A25" i="25" s="1"/>
  <c r="AI22" i="20"/>
  <c r="BE22" i="20" s="1"/>
  <c r="M21" i="25"/>
  <c r="A21" i="25" s="1"/>
  <c r="AI11" i="20"/>
  <c r="BE9" i="20" s="1"/>
  <c r="AI19" i="20"/>
  <c r="BE19" i="20" s="1"/>
  <c r="AI24" i="20"/>
  <c r="BE24" i="20" s="1"/>
  <c r="AI13" i="20"/>
  <c r="L8" i="25"/>
  <c r="M8" i="25" s="1"/>
  <c r="A8" i="25" s="1"/>
  <c r="M15" i="25"/>
  <c r="A15" i="25" s="1"/>
  <c r="AI28" i="20"/>
  <c r="BE28" i="20" s="1"/>
  <c r="AI27" i="20"/>
  <c r="BE27" i="20" s="1"/>
  <c r="AI29" i="20"/>
  <c r="BE29" i="20" s="1"/>
  <c r="M17" i="25"/>
  <c r="A17" i="25" s="1"/>
  <c r="AI9" i="20"/>
  <c r="AI12" i="20"/>
  <c r="AI20" i="20"/>
  <c r="BE20" i="20" s="1"/>
  <c r="AI26" i="20"/>
  <c r="BE26" i="20" s="1"/>
  <c r="L7" i="25"/>
  <c r="M7" i="25" s="1"/>
  <c r="A7" i="25" s="1"/>
  <c r="AI6" i="20" s="1"/>
  <c r="BG7" i="20"/>
  <c r="M56" i="28"/>
  <c r="N56" i="28" s="1"/>
  <c r="A56" i="28" s="1"/>
  <c r="N192" i="28"/>
  <c r="A192" i="28" s="1"/>
  <c r="M210" i="28"/>
  <c r="M70" i="28"/>
  <c r="N70" i="28" s="1"/>
  <c r="A70" i="28" s="1"/>
  <c r="M74" i="28"/>
  <c r="M262" i="28"/>
  <c r="N146" i="28"/>
  <c r="A146" i="28" s="1"/>
  <c r="M225" i="28"/>
  <c r="M298" i="28"/>
  <c r="N136" i="28"/>
  <c r="A136" i="28" s="1"/>
  <c r="M278" i="28"/>
  <c r="M281" i="28"/>
  <c r="N127" i="28"/>
  <c r="A127" i="28" s="1"/>
  <c r="N257" i="28"/>
  <c r="A257" i="28" s="1"/>
  <c r="M289" i="28"/>
  <c r="N179" i="28"/>
  <c r="A179" i="28" s="1"/>
  <c r="M21" i="28"/>
  <c r="M40" i="28"/>
  <c r="N40" i="28" s="1"/>
  <c r="A40" i="28" s="1"/>
  <c r="M71" i="28"/>
  <c r="M18" i="28"/>
  <c r="N18" i="28" s="1"/>
  <c r="A18" i="28" s="1"/>
  <c r="M72" i="28"/>
  <c r="N72" i="28" s="1"/>
  <c r="A72" i="28" s="1"/>
  <c r="M80" i="28"/>
  <c r="N167" i="28"/>
  <c r="A167" i="28" s="1"/>
  <c r="M186" i="28"/>
  <c r="M42" i="28"/>
  <c r="M50" i="28"/>
  <c r="M157" i="28"/>
  <c r="M203" i="28"/>
  <c r="M219" i="28"/>
  <c r="M226" i="28"/>
  <c r="M274" i="28"/>
  <c r="M15" i="28"/>
  <c r="N15" i="28" s="1"/>
  <c r="A15" i="28" s="1"/>
  <c r="M23" i="28"/>
  <c r="M62" i="28"/>
  <c r="N62" i="28" s="1"/>
  <c r="A62" i="28" s="1"/>
  <c r="N121" i="28"/>
  <c r="A121" i="28" s="1"/>
  <c r="M242" i="28"/>
  <c r="M120" i="28"/>
  <c r="M176" i="28"/>
  <c r="N185" i="28"/>
  <c r="A185" i="28" s="1"/>
  <c r="N209" i="28"/>
  <c r="A209" i="28" s="1"/>
  <c r="M17" i="28"/>
  <c r="N17" i="28" s="1"/>
  <c r="A17" i="28" s="1"/>
  <c r="M86" i="28"/>
  <c r="N86" i="28" s="1"/>
  <c r="A86" i="28" s="1"/>
  <c r="M145" i="28"/>
  <c r="N172" i="28"/>
  <c r="A172" i="28" s="1"/>
  <c r="N235" i="28"/>
  <c r="A235" i="28" s="1"/>
  <c r="M250" i="28"/>
  <c r="M265" i="28"/>
  <c r="M109" i="28"/>
  <c r="M137" i="28"/>
  <c r="M141" i="28"/>
  <c r="N163" i="28"/>
  <c r="A163" i="28" s="1"/>
  <c r="M102" i="28"/>
  <c r="N128" i="28"/>
  <c r="A128" i="28" s="1"/>
  <c r="M139" i="28"/>
  <c r="M54" i="28"/>
  <c r="N113" i="28"/>
  <c r="A113" i="28" s="1"/>
  <c r="M150" i="28"/>
  <c r="N152" i="28"/>
  <c r="A152" i="28" s="1"/>
  <c r="M193" i="28"/>
  <c r="M195" i="28"/>
  <c r="M247" i="28"/>
  <c r="M254" i="28"/>
  <c r="M208" i="28"/>
  <c r="M232" i="28"/>
  <c r="M241" i="28"/>
  <c r="M266" i="28"/>
  <c r="M282" i="28"/>
  <c r="M285" i="28"/>
  <c r="M16" i="28"/>
  <c r="N16" i="28" s="1"/>
  <c r="A16" i="28" s="1"/>
  <c r="M24" i="28"/>
  <c r="N24" i="28" s="1"/>
  <c r="A24" i="28" s="1"/>
  <c r="M34" i="28"/>
  <c r="N34" i="28" s="1"/>
  <c r="A34" i="28" s="1"/>
  <c r="M85" i="28"/>
  <c r="M110" i="28"/>
  <c r="M112" i="28"/>
  <c r="N187" i="28"/>
  <c r="A187" i="28" s="1"/>
  <c r="N211" i="28"/>
  <c r="A211" i="28" s="1"/>
  <c r="M269" i="28"/>
  <c r="M294" i="28"/>
  <c r="M302" i="28"/>
  <c r="M305" i="28"/>
  <c r="BA9" i="20"/>
  <c r="BG11" i="20"/>
  <c r="BF8" i="20"/>
  <c r="K6" i="13"/>
  <c r="K9" i="20"/>
  <c r="K28" i="20"/>
  <c r="K25" i="20"/>
  <c r="L25" i="20" s="1"/>
  <c r="K23" i="20"/>
  <c r="L23" i="20" s="1"/>
  <c r="K18" i="20"/>
  <c r="K14" i="20"/>
  <c r="K20" i="20"/>
  <c r="K27" i="20"/>
  <c r="L12" i="20"/>
  <c r="K22" i="20"/>
  <c r="K29" i="20"/>
  <c r="K10" i="20"/>
  <c r="K17" i="20"/>
  <c r="K24" i="20"/>
  <c r="K26" i="20"/>
  <c r="L26" i="20" s="1"/>
  <c r="K12" i="13"/>
  <c r="K19" i="20"/>
  <c r="BA13" i="20"/>
  <c r="I17" i="13"/>
  <c r="J17" i="13" s="1"/>
  <c r="I29" i="20"/>
  <c r="J29" i="20" s="1"/>
  <c r="I28" i="20"/>
  <c r="J28" i="20" s="1"/>
  <c r="I27" i="20"/>
  <c r="J27" i="20" s="1"/>
  <c r="I26" i="20"/>
  <c r="J26" i="20" s="1"/>
  <c r="I25" i="20"/>
  <c r="J25" i="20" s="1"/>
  <c r="I24" i="20"/>
  <c r="J24" i="20" s="1"/>
  <c r="I23" i="20"/>
  <c r="J23" i="20" s="1"/>
  <c r="I22" i="20"/>
  <c r="J22" i="20" s="1"/>
  <c r="I21" i="20"/>
  <c r="J21" i="20" s="1"/>
  <c r="I20" i="20"/>
  <c r="J20" i="20" s="1"/>
  <c r="I19" i="20"/>
  <c r="J19" i="20" s="1"/>
  <c r="I18" i="20"/>
  <c r="J18" i="20" s="1"/>
  <c r="I17" i="20"/>
  <c r="J17" i="20" s="1"/>
  <c r="I14" i="20"/>
  <c r="J14" i="20" s="1"/>
  <c r="I10" i="20"/>
  <c r="J10" i="20" s="1"/>
  <c r="I10" i="13"/>
  <c r="J10" i="13" s="1"/>
  <c r="J13" i="20"/>
  <c r="J9" i="20"/>
  <c r="J6" i="20"/>
  <c r="J12" i="20"/>
  <c r="J16" i="20"/>
  <c r="J15" i="20"/>
  <c r="BA11" i="20"/>
  <c r="BA12" i="20"/>
  <c r="H27" i="20"/>
  <c r="H18" i="20"/>
  <c r="H22" i="20"/>
  <c r="H26" i="20"/>
  <c r="H8" i="20"/>
  <c r="H10" i="20"/>
  <c r="H16" i="20"/>
  <c r="G17" i="20"/>
  <c r="H17" i="20" s="1"/>
  <c r="G21" i="20"/>
  <c r="H21" i="20" s="1"/>
  <c r="G25" i="20"/>
  <c r="H25" i="20" s="1"/>
  <c r="H6" i="20"/>
  <c r="H19" i="20"/>
  <c r="H23" i="20"/>
  <c r="G10" i="13"/>
  <c r="H10" i="13" s="1"/>
  <c r="G14" i="20"/>
  <c r="H14" i="20" s="1"/>
  <c r="G20" i="20"/>
  <c r="H20" i="20" s="1"/>
  <c r="G24" i="20"/>
  <c r="H24" i="20" s="1"/>
  <c r="BG9" i="20"/>
  <c r="BA8" i="20"/>
  <c r="BA10" i="20"/>
  <c r="BG8" i="20"/>
  <c r="L8" i="22"/>
  <c r="AA23" i="20"/>
  <c r="BB23" i="20" s="1"/>
  <c r="AA8" i="20"/>
  <c r="AA10" i="20"/>
  <c r="L7" i="22"/>
  <c r="AA17" i="20"/>
  <c r="BB17" i="20" s="1"/>
  <c r="L9" i="22"/>
  <c r="AA13" i="20"/>
  <c r="AB17" i="20"/>
  <c r="AC17" i="20" s="1"/>
  <c r="BC17" i="20" s="1"/>
  <c r="AB18" i="20"/>
  <c r="AB19" i="20"/>
  <c r="AB20" i="20"/>
  <c r="L8" i="23"/>
  <c r="L6" i="23"/>
  <c r="M6" i="23" s="1"/>
  <c r="A6" i="23" s="1"/>
  <c r="AC28" i="20" s="1"/>
  <c r="BC28" i="20" s="1"/>
  <c r="AC21" i="20"/>
  <c r="BC21" i="20" s="1"/>
  <c r="AB25" i="20"/>
  <c r="AB26" i="20"/>
  <c r="AB27" i="20"/>
  <c r="AC27" i="20" s="1"/>
  <c r="BC27" i="20" s="1"/>
  <c r="AC29" i="20"/>
  <c r="BC29" i="20" s="1"/>
  <c r="L9" i="23"/>
  <c r="M15" i="23"/>
  <c r="A15" i="23" s="1"/>
  <c r="AG18" i="20"/>
  <c r="BD18" i="20" s="1"/>
  <c r="AG13" i="20"/>
  <c r="AG24" i="20"/>
  <c r="BD24" i="20" s="1"/>
  <c r="M24" i="24"/>
  <c r="A24" i="24" s="1"/>
  <c r="AG6" i="20"/>
  <c r="AG29" i="20"/>
  <c r="BD29" i="20" s="1"/>
  <c r="M20" i="24"/>
  <c r="A20" i="24" s="1"/>
  <c r="AG12" i="20"/>
  <c r="AG16" i="20"/>
  <c r="AG7" i="20"/>
  <c r="AG15" i="20"/>
  <c r="L6" i="24"/>
  <c r="M14" i="24"/>
  <c r="A14" i="24" s="1"/>
  <c r="M23" i="24"/>
  <c r="A23" i="24" s="1"/>
  <c r="AG8" i="20"/>
  <c r="AG10" i="20"/>
  <c r="AG14" i="20"/>
  <c r="BD16" i="20" s="1"/>
  <c r="M18" i="24"/>
  <c r="A18" i="24" s="1"/>
  <c r="AG11" i="20"/>
  <c r="AG17" i="20"/>
  <c r="BD17" i="20" s="1"/>
  <c r="AG20" i="20"/>
  <c r="BD20" i="20" s="1"/>
  <c r="AG22" i="20"/>
  <c r="BD22" i="20" s="1"/>
  <c r="AG19" i="20"/>
  <c r="BD19" i="20" s="1"/>
  <c r="AG21" i="20"/>
  <c r="BD21" i="20" s="1"/>
  <c r="AG23" i="20"/>
  <c r="BD23" i="20" s="1"/>
  <c r="AG9" i="20"/>
  <c r="AG25" i="20"/>
  <c r="BD25" i="20" s="1"/>
  <c r="AG26" i="20"/>
  <c r="BD26" i="20" s="1"/>
  <c r="AG27" i="20"/>
  <c r="BD27" i="20" s="1"/>
  <c r="AG28" i="20"/>
  <c r="BD28" i="20" s="1"/>
  <c r="L7" i="24"/>
  <c r="L9" i="24"/>
  <c r="M19" i="24"/>
  <c r="A19" i="24" s="1"/>
  <c r="AL22" i="20"/>
  <c r="AM22" i="20" s="1"/>
  <c r="BG22" i="20" s="1"/>
  <c r="AL10" i="20"/>
  <c r="AM10" i="20" s="1"/>
  <c r="BG15" i="20" s="1"/>
  <c r="AL23" i="20"/>
  <c r="AM23" i="20" s="1"/>
  <c r="BG23" i="20" s="1"/>
  <c r="AL17" i="20"/>
  <c r="AM17" i="20" s="1"/>
  <c r="BG17" i="20" s="1"/>
  <c r="AL25" i="20"/>
  <c r="AM25" i="20" s="1"/>
  <c r="BG25" i="20" s="1"/>
  <c r="M12" i="27"/>
  <c r="A12" i="27" s="1"/>
  <c r="M18" i="27"/>
  <c r="A18" i="27" s="1"/>
  <c r="AL18" i="20"/>
  <c r="AM18" i="20" s="1"/>
  <c r="BG18" i="20" s="1"/>
  <c r="AL26" i="20"/>
  <c r="AM26" i="20" s="1"/>
  <c r="BG26" i="20" s="1"/>
  <c r="AL19" i="20"/>
  <c r="AM19" i="20" s="1"/>
  <c r="BG19" i="20" s="1"/>
  <c r="AL27" i="20"/>
  <c r="AM27" i="20" s="1"/>
  <c r="BG27" i="20" s="1"/>
  <c r="L6" i="27"/>
  <c r="AL21" i="20"/>
  <c r="AM21" i="20" s="1"/>
  <c r="BG21" i="20" s="1"/>
  <c r="M22" i="27"/>
  <c r="A22" i="27" s="1"/>
  <c r="U46" i="27"/>
  <c r="M12" i="28"/>
  <c r="N12" i="28" s="1"/>
  <c r="A12" i="28" s="1"/>
  <c r="M57" i="28"/>
  <c r="N57" i="28" s="1"/>
  <c r="A57" i="28" s="1"/>
  <c r="M79" i="28"/>
  <c r="N79" i="28" s="1"/>
  <c r="A79" i="28" s="1"/>
  <c r="N85" i="28"/>
  <c r="A85" i="28" s="1"/>
  <c r="M118" i="28"/>
  <c r="M151" i="28"/>
  <c r="N156" i="28"/>
  <c r="A156" i="28" s="1"/>
  <c r="M166" i="28"/>
  <c r="M224" i="28"/>
  <c r="M240" i="28"/>
  <c r="M253" i="28"/>
  <c r="L7" i="28"/>
  <c r="M7" i="28" s="1"/>
  <c r="N7" i="28" s="1"/>
  <c r="A7" i="28" s="1"/>
  <c r="L9" i="28"/>
  <c r="M33" i="28"/>
  <c r="N33" i="28" s="1"/>
  <c r="A33" i="28" s="1"/>
  <c r="M81" i="28"/>
  <c r="N103" i="28"/>
  <c r="A103" i="28" s="1"/>
  <c r="M126" i="28"/>
  <c r="M133" i="28"/>
  <c r="N147" i="28"/>
  <c r="A147" i="28" s="1"/>
  <c r="N162" i="28"/>
  <c r="A162" i="28" s="1"/>
  <c r="M169" i="28"/>
  <c r="N178" i="28"/>
  <c r="A178" i="28" s="1"/>
  <c r="M201" i="28"/>
  <c r="M218" i="28"/>
  <c r="N227" i="28"/>
  <c r="A227" i="28" s="1"/>
  <c r="M234" i="28"/>
  <c r="N243" i="28"/>
  <c r="A243" i="28" s="1"/>
  <c r="M249" i="28"/>
  <c r="M258" i="28"/>
  <c r="M270" i="28"/>
  <c r="M277" i="28"/>
  <c r="M290" i="28"/>
  <c r="M301" i="28"/>
  <c r="M32" i="28"/>
  <c r="N32" i="28" s="1"/>
  <c r="A32" i="28" s="1"/>
  <c r="N50" i="28"/>
  <c r="A50" i="28" s="1"/>
  <c r="M20" i="28"/>
  <c r="N20" i="28" s="1"/>
  <c r="A20" i="28" s="1"/>
  <c r="M49" i="28"/>
  <c r="N49" i="28" s="1"/>
  <c r="A49" i="28" s="1"/>
  <c r="M66" i="28"/>
  <c r="M75" i="28"/>
  <c r="N75" i="28" s="1"/>
  <c r="A75" i="28" s="1"/>
  <c r="M87" i="28"/>
  <c r="N87" i="28" s="1"/>
  <c r="A87" i="28" s="1"/>
  <c r="M88" i="28"/>
  <c r="N88" i="28" s="1"/>
  <c r="A88" i="28" s="1"/>
  <c r="M94" i="28"/>
  <c r="N94" i="28" s="1"/>
  <c r="A94" i="28" s="1"/>
  <c r="N97" i="28"/>
  <c r="A97" i="28" s="1"/>
  <c r="N105" i="28"/>
  <c r="A105" i="28" s="1"/>
  <c r="N111" i="28"/>
  <c r="A111" i="28" s="1"/>
  <c r="N129" i="28"/>
  <c r="A129" i="28" s="1"/>
  <c r="M135" i="28"/>
  <c r="N140" i="28"/>
  <c r="A140" i="28" s="1"/>
  <c r="M171" i="28"/>
  <c r="M182" i="28"/>
  <c r="M191" i="28"/>
  <c r="M194" i="28"/>
  <c r="M233" i="28"/>
  <c r="M261" i="28"/>
  <c r="M286" i="28"/>
  <c r="M297" i="28"/>
  <c r="M19" i="28"/>
  <c r="L8" i="28"/>
  <c r="M153" i="28"/>
  <c r="M161" i="28"/>
  <c r="M173" i="28"/>
  <c r="M177" i="28"/>
  <c r="M200" i="28"/>
  <c r="M217" i="28"/>
  <c r="M273" i="28"/>
  <c r="M293" i="28"/>
  <c r="M13" i="28"/>
  <c r="N13" i="28" s="1"/>
  <c r="A13" i="28" s="1"/>
  <c r="N54" i="28"/>
  <c r="A54" i="28" s="1"/>
  <c r="N81" i="28"/>
  <c r="A81" i="28" s="1"/>
  <c r="M155" i="28"/>
  <c r="N168" i="28"/>
  <c r="A168" i="28" s="1"/>
  <c r="M25" i="28"/>
  <c r="N25" i="28" s="1"/>
  <c r="A25" i="28" s="1"/>
  <c r="M41" i="28"/>
  <c r="N41" i="28" s="1"/>
  <c r="A41" i="28" s="1"/>
  <c r="N80" i="28"/>
  <c r="A80" i="28" s="1"/>
  <c r="M89" i="28"/>
  <c r="N89" i="28" s="1"/>
  <c r="A89" i="28" s="1"/>
  <c r="M95" i="28"/>
  <c r="N95" i="28" s="1"/>
  <c r="A95" i="28" s="1"/>
  <c r="M96" i="28"/>
  <c r="M104" i="28"/>
  <c r="AA11" i="20"/>
  <c r="AY15" i="20"/>
  <c r="AA14" i="20"/>
  <c r="AA24" i="20"/>
  <c r="BB24" i="20" s="1"/>
  <c r="AA7" i="20"/>
  <c r="AA15" i="20"/>
  <c r="BB14" i="20" s="1"/>
  <c r="AA22" i="20"/>
  <c r="BB22" i="20" s="1"/>
  <c r="AA16" i="20"/>
  <c r="AA21" i="20"/>
  <c r="BB21" i="20" s="1"/>
  <c r="AA29" i="20"/>
  <c r="BB29" i="20" s="1"/>
  <c r="AA12" i="20"/>
  <c r="AA20" i="20"/>
  <c r="BB20" i="20" s="1"/>
  <c r="AA28" i="20"/>
  <c r="BB28" i="20" s="1"/>
  <c r="AY13" i="20"/>
  <c r="AA6" i="20"/>
  <c r="AA19" i="20"/>
  <c r="BB19" i="20" s="1"/>
  <c r="AA27" i="20"/>
  <c r="BB27" i="20" s="1"/>
  <c r="AA9" i="20"/>
  <c r="AA18" i="20"/>
  <c r="BB18" i="20" s="1"/>
  <c r="AA26" i="20"/>
  <c r="BB26" i="20" s="1"/>
  <c r="L9" i="21"/>
  <c r="M9" i="22"/>
  <c r="A9" i="22" s="1"/>
  <c r="M11" i="22"/>
  <c r="A11" i="22" s="1"/>
  <c r="M9" i="23"/>
  <c r="A9" i="23" s="1"/>
  <c r="M14" i="23"/>
  <c r="A14" i="23" s="1"/>
  <c r="M13" i="24"/>
  <c r="A13" i="24" s="1"/>
  <c r="M7" i="24"/>
  <c r="A7" i="24" s="1"/>
  <c r="M9" i="24"/>
  <c r="A9" i="24" s="1"/>
  <c r="L9" i="25"/>
  <c r="M9" i="25" s="1"/>
  <c r="A9" i="25" s="1"/>
  <c r="L9" i="26"/>
  <c r="L8" i="26"/>
  <c r="M8" i="26" s="1"/>
  <c r="A8" i="26" s="1"/>
  <c r="M7" i="27"/>
  <c r="A7" i="27" s="1"/>
  <c r="N287" i="28"/>
  <c r="A287" i="28" s="1"/>
  <c r="M287" i="28"/>
  <c r="N296" i="28"/>
  <c r="A296" i="28" s="1"/>
  <c r="M296" i="28"/>
  <c r="M8" i="27"/>
  <c r="A8" i="27" s="1"/>
  <c r="M13" i="27"/>
  <c r="A13" i="27" s="1"/>
  <c r="M16" i="27"/>
  <c r="A16" i="27" s="1"/>
  <c r="M15" i="27"/>
  <c r="A15" i="27" s="1"/>
  <c r="L7" i="27"/>
  <c r="L9" i="27"/>
  <c r="M9" i="27" s="1"/>
  <c r="A9" i="27" s="1"/>
  <c r="M6" i="28"/>
  <c r="N6" i="28" s="1"/>
  <c r="A6" i="28" s="1"/>
  <c r="M8" i="28"/>
  <c r="N8" i="28" s="1"/>
  <c r="A8" i="28" s="1"/>
  <c r="M10" i="28"/>
  <c r="N10" i="28" s="1"/>
  <c r="A10" i="28" s="1"/>
  <c r="N99" i="28"/>
  <c r="A99" i="28" s="1"/>
  <c r="M99" i="28"/>
  <c r="N123" i="28"/>
  <c r="A123" i="28" s="1"/>
  <c r="M123" i="28"/>
  <c r="N190" i="28"/>
  <c r="A190" i="28" s="1"/>
  <c r="M190" i="28"/>
  <c r="N19" i="28"/>
  <c r="A19" i="28" s="1"/>
  <c r="N21" i="28"/>
  <c r="A21" i="28" s="1"/>
  <c r="M22" i="28"/>
  <c r="N22" i="28" s="1"/>
  <c r="A22" i="28" s="1"/>
  <c r="M9" i="28"/>
  <c r="N9" i="28" s="1"/>
  <c r="A9" i="28" s="1"/>
  <c r="M11" i="28"/>
  <c r="N11" i="28" s="1"/>
  <c r="A11" i="28" s="1"/>
  <c r="AY11" i="20" s="1"/>
  <c r="M28" i="28"/>
  <c r="N28" i="28" s="1"/>
  <c r="A28" i="28" s="1"/>
  <c r="M35" i="28"/>
  <c r="N35" i="28" s="1"/>
  <c r="A35" i="28" s="1"/>
  <c r="M37" i="28"/>
  <c r="N37" i="28" s="1"/>
  <c r="A37" i="28" s="1"/>
  <c r="M44" i="28"/>
  <c r="N44" i="28" s="1"/>
  <c r="A44" i="28" s="1"/>
  <c r="M51" i="28"/>
  <c r="N51" i="28" s="1"/>
  <c r="A51" i="28" s="1"/>
  <c r="M53" i="28"/>
  <c r="N53" i="28" s="1"/>
  <c r="A53" i="28" s="1"/>
  <c r="M60" i="28"/>
  <c r="N60" i="28" s="1"/>
  <c r="A60" i="28" s="1"/>
  <c r="M67" i="28"/>
  <c r="N67" i="28" s="1"/>
  <c r="A67" i="28" s="1"/>
  <c r="N69" i="28"/>
  <c r="A69" i="28" s="1"/>
  <c r="M69" i="28"/>
  <c r="M83" i="28"/>
  <c r="N83" i="28" s="1"/>
  <c r="A83" i="28" s="1"/>
  <c r="N131" i="28"/>
  <c r="A131" i="28" s="1"/>
  <c r="M131" i="28"/>
  <c r="M160" i="28"/>
  <c r="N174" i="28"/>
  <c r="A174" i="28" s="1"/>
  <c r="M174" i="28"/>
  <c r="N183" i="28"/>
  <c r="A183" i="28" s="1"/>
  <c r="M183" i="28"/>
  <c r="M73" i="28"/>
  <c r="N73" i="28" s="1"/>
  <c r="A73" i="28" s="1"/>
  <c r="N76" i="28"/>
  <c r="A76" i="28" s="1"/>
  <c r="M76" i="28"/>
  <c r="M90" i="28"/>
  <c r="N90" i="28" s="1"/>
  <c r="A90" i="28" s="1"/>
  <c r="N114" i="28"/>
  <c r="A114" i="28" s="1"/>
  <c r="M114" i="28"/>
  <c r="M164" i="28"/>
  <c r="N164" i="28"/>
  <c r="A164" i="28" s="1"/>
  <c r="N207" i="28"/>
  <c r="A207" i="28" s="1"/>
  <c r="M207" i="28"/>
  <c r="N66" i="28"/>
  <c r="A66" i="28" s="1"/>
  <c r="N106" i="28"/>
  <c r="A106" i="28" s="1"/>
  <c r="M106" i="28"/>
  <c r="N138" i="28"/>
  <c r="A138" i="28" s="1"/>
  <c r="M138" i="28"/>
  <c r="N267" i="28"/>
  <c r="A267" i="28" s="1"/>
  <c r="M267" i="28"/>
  <c r="N272" i="28"/>
  <c r="A272" i="28" s="1"/>
  <c r="M272" i="28"/>
  <c r="N283" i="28"/>
  <c r="A283" i="28" s="1"/>
  <c r="M283" i="28"/>
  <c r="N292" i="28"/>
  <c r="A292" i="28" s="1"/>
  <c r="M292" i="28"/>
  <c r="M27" i="28"/>
  <c r="N27" i="28" s="1"/>
  <c r="A27" i="28" s="1"/>
  <c r="M29" i="28"/>
  <c r="N29" i="28" s="1"/>
  <c r="A29" i="28" s="1"/>
  <c r="M36" i="28"/>
  <c r="N36" i="28" s="1"/>
  <c r="A36" i="28" s="1"/>
  <c r="M43" i="28"/>
  <c r="N43" i="28" s="1"/>
  <c r="A43" i="28" s="1"/>
  <c r="M45" i="28"/>
  <c r="N45" i="28" s="1"/>
  <c r="A45" i="28" s="1"/>
  <c r="AY7" i="20" s="1"/>
  <c r="M52" i="28"/>
  <c r="N52" i="28" s="1"/>
  <c r="A52" i="28" s="1"/>
  <c r="M59" i="28"/>
  <c r="N59" i="28" s="1"/>
  <c r="A59" i="28" s="1"/>
  <c r="M61" i="28"/>
  <c r="N61" i="28" s="1"/>
  <c r="A61" i="28" s="1"/>
  <c r="N68" i="28"/>
  <c r="A68" i="28" s="1"/>
  <c r="M68" i="28"/>
  <c r="M82" i="28"/>
  <c r="N82" i="28" s="1"/>
  <c r="A82" i="28" s="1"/>
  <c r="M101" i="28"/>
  <c r="M125" i="28"/>
  <c r="N130" i="28"/>
  <c r="A130" i="28" s="1"/>
  <c r="M130" i="28"/>
  <c r="N142" i="28"/>
  <c r="A142" i="28" s="1"/>
  <c r="M142" i="28"/>
  <c r="M180" i="28"/>
  <c r="N180" i="28"/>
  <c r="A180" i="28" s="1"/>
  <c r="M188" i="28"/>
  <c r="N188" i="28"/>
  <c r="A188" i="28" s="1"/>
  <c r="N197" i="28"/>
  <c r="A197" i="28" s="1"/>
  <c r="M197" i="28"/>
  <c r="N220" i="28"/>
  <c r="A220" i="28" s="1"/>
  <c r="M220" i="28"/>
  <c r="N236" i="28"/>
  <c r="A236" i="28" s="1"/>
  <c r="M236" i="28"/>
  <c r="M65" i="28"/>
  <c r="N65" i="28" s="1"/>
  <c r="A65" i="28" s="1"/>
  <c r="M77" i="28"/>
  <c r="N77" i="28" s="1"/>
  <c r="A77" i="28" s="1"/>
  <c r="N91" i="28"/>
  <c r="A91" i="28" s="1"/>
  <c r="M91" i="28"/>
  <c r="N115" i="28"/>
  <c r="A115" i="28" s="1"/>
  <c r="M115" i="28"/>
  <c r="N154" i="28"/>
  <c r="A154" i="28" s="1"/>
  <c r="M154" i="28"/>
  <c r="N263" i="28"/>
  <c r="A263" i="28" s="1"/>
  <c r="M263" i="28"/>
  <c r="M31" i="28"/>
  <c r="N31" i="28" s="1"/>
  <c r="A31" i="28" s="1"/>
  <c r="M47" i="28"/>
  <c r="N47" i="28" s="1"/>
  <c r="A47" i="28" s="1"/>
  <c r="AY9" i="20" s="1"/>
  <c r="M63" i="28"/>
  <c r="N63" i="28" s="1"/>
  <c r="A63" i="28" s="1"/>
  <c r="AY6" i="20" s="1"/>
  <c r="N98" i="28"/>
  <c r="A98" i="28" s="1"/>
  <c r="M98" i="28"/>
  <c r="N122" i="28"/>
  <c r="A122" i="28" s="1"/>
  <c r="M122" i="28"/>
  <c r="M144" i="28"/>
  <c r="N158" i="28"/>
  <c r="A158" i="28" s="1"/>
  <c r="M158" i="28"/>
  <c r="M184" i="28"/>
  <c r="N230" i="28"/>
  <c r="A230" i="28" s="1"/>
  <c r="M230" i="28"/>
  <c r="N23" i="28"/>
  <c r="A23" i="28" s="1"/>
  <c r="N26" i="28"/>
  <c r="A26" i="28" s="1"/>
  <c r="N39" i="28"/>
  <c r="A39" i="28" s="1"/>
  <c r="N42" i="28"/>
  <c r="A42" i="28" s="1"/>
  <c r="N55" i="28"/>
  <c r="A55" i="28" s="1"/>
  <c r="N58" i="28"/>
  <c r="A58" i="28" s="1"/>
  <c r="N71" i="28"/>
  <c r="A71" i="28" s="1"/>
  <c r="N74" i="28"/>
  <c r="A74" i="28" s="1"/>
  <c r="M93" i="28"/>
  <c r="N93" i="28" s="1"/>
  <c r="A93" i="28" s="1"/>
  <c r="N107" i="28"/>
  <c r="A107" i="28" s="1"/>
  <c r="M107" i="28"/>
  <c r="M117" i="28"/>
  <c r="M148" i="28"/>
  <c r="N148" i="28"/>
  <c r="A148" i="28" s="1"/>
  <c r="N170" i="28"/>
  <c r="A170" i="28" s="1"/>
  <c r="M170" i="28"/>
  <c r="N181" i="28"/>
  <c r="A181" i="28" s="1"/>
  <c r="M181" i="28"/>
  <c r="N204" i="28"/>
  <c r="A204" i="28" s="1"/>
  <c r="M204" i="28"/>
  <c r="N212" i="28"/>
  <c r="A212" i="28" s="1"/>
  <c r="M212" i="28"/>
  <c r="N239" i="28"/>
  <c r="A239" i="28" s="1"/>
  <c r="M239" i="28"/>
  <c r="N256" i="28"/>
  <c r="A256" i="28" s="1"/>
  <c r="M256" i="28"/>
  <c r="N295" i="28"/>
  <c r="A295" i="28" s="1"/>
  <c r="M295" i="28"/>
  <c r="N304" i="28"/>
  <c r="A304" i="28" s="1"/>
  <c r="M304" i="28"/>
  <c r="N214" i="28"/>
  <c r="A214" i="28" s="1"/>
  <c r="M214" i="28"/>
  <c r="N222" i="28"/>
  <c r="A222" i="28" s="1"/>
  <c r="M222" i="28"/>
  <c r="N228" i="28"/>
  <c r="A228" i="28" s="1"/>
  <c r="M228" i="28"/>
  <c r="N252" i="28"/>
  <c r="A252" i="28" s="1"/>
  <c r="M252" i="28"/>
  <c r="N271" i="28"/>
  <c r="A271" i="28" s="1"/>
  <c r="M271" i="28"/>
  <c r="N276" i="28"/>
  <c r="A276" i="28" s="1"/>
  <c r="M276" i="28"/>
  <c r="N291" i="28"/>
  <c r="A291" i="28" s="1"/>
  <c r="M291" i="28"/>
  <c r="N300" i="28"/>
  <c r="A300" i="28" s="1"/>
  <c r="M300" i="28"/>
  <c r="M30" i="28"/>
  <c r="N30" i="28" s="1"/>
  <c r="A30" i="28" s="1"/>
  <c r="M38" i="28"/>
  <c r="N38" i="28" s="1"/>
  <c r="A38" i="28" s="1"/>
  <c r="M46" i="28"/>
  <c r="N46" i="28" s="1"/>
  <c r="A46" i="28" s="1"/>
  <c r="AY12" i="20" s="1"/>
  <c r="M84" i="28"/>
  <c r="N84" i="28" s="1"/>
  <c r="A84" i="28" s="1"/>
  <c r="M92" i="28"/>
  <c r="N92" i="28" s="1"/>
  <c r="A92" i="28" s="1"/>
  <c r="M100" i="28"/>
  <c r="M108" i="28"/>
  <c r="M116" i="28"/>
  <c r="M124" i="28"/>
  <c r="M132" i="28"/>
  <c r="M143" i="28"/>
  <c r="M149" i="28"/>
  <c r="M159" i="28"/>
  <c r="M165" i="28"/>
  <c r="M175" i="28"/>
  <c r="M199" i="28"/>
  <c r="N205" i="28"/>
  <c r="A205" i="28" s="1"/>
  <c r="M205" i="28"/>
  <c r="N259" i="28"/>
  <c r="A259" i="28" s="1"/>
  <c r="M259" i="28"/>
  <c r="N288" i="28"/>
  <c r="A288" i="28" s="1"/>
  <c r="M288" i="28"/>
  <c r="N198" i="28"/>
  <c r="A198" i="28" s="1"/>
  <c r="M198" i="28"/>
  <c r="N246" i="28"/>
  <c r="A246" i="28" s="1"/>
  <c r="M246" i="28"/>
  <c r="N255" i="28"/>
  <c r="A255" i="28" s="1"/>
  <c r="M255" i="28"/>
  <c r="N268" i="28"/>
  <c r="A268" i="28" s="1"/>
  <c r="M268" i="28"/>
  <c r="N279" i="28"/>
  <c r="A279" i="28" s="1"/>
  <c r="M279" i="28"/>
  <c r="N284" i="28"/>
  <c r="A284" i="28" s="1"/>
  <c r="M284" i="28"/>
  <c r="N196" i="28"/>
  <c r="A196" i="28" s="1"/>
  <c r="M196" i="28"/>
  <c r="M231" i="28"/>
  <c r="N244" i="28"/>
  <c r="A244" i="28" s="1"/>
  <c r="M244" i="28"/>
  <c r="N251" i="28"/>
  <c r="A251" i="28" s="1"/>
  <c r="M251" i="28"/>
  <c r="N264" i="28"/>
  <c r="A264" i="28" s="1"/>
  <c r="M264" i="28"/>
  <c r="N303" i="28"/>
  <c r="A303" i="28" s="1"/>
  <c r="M303" i="28"/>
  <c r="N189" i="28"/>
  <c r="A189" i="28" s="1"/>
  <c r="M189" i="28"/>
  <c r="N206" i="28"/>
  <c r="A206" i="28" s="1"/>
  <c r="M206" i="28"/>
  <c r="M215" i="28"/>
  <c r="M223" i="28"/>
  <c r="N238" i="28"/>
  <c r="A238" i="28" s="1"/>
  <c r="M238" i="28"/>
  <c r="N260" i="28"/>
  <c r="A260" i="28" s="1"/>
  <c r="M260" i="28"/>
  <c r="N275" i="28"/>
  <c r="A275" i="28" s="1"/>
  <c r="M275" i="28"/>
  <c r="N280" i="28"/>
  <c r="A280" i="28" s="1"/>
  <c r="M280" i="28"/>
  <c r="N299" i="28"/>
  <c r="A299" i="28" s="1"/>
  <c r="M299" i="28"/>
  <c r="M213" i="28"/>
  <c r="M221" i="28"/>
  <c r="M229" i="28"/>
  <c r="M237" i="28"/>
  <c r="M245" i="28"/>
  <c r="U15" i="13"/>
  <c r="U9" i="13"/>
  <c r="U17" i="13"/>
  <c r="U18" i="13"/>
  <c r="U19" i="13"/>
  <c r="U20" i="13"/>
  <c r="U21" i="13"/>
  <c r="U22" i="13"/>
  <c r="U23" i="13"/>
  <c r="M15" i="13"/>
  <c r="M9" i="13"/>
  <c r="M17" i="13"/>
  <c r="M18" i="13"/>
  <c r="M19" i="13"/>
  <c r="M20" i="13"/>
  <c r="M21" i="13"/>
  <c r="M22" i="13"/>
  <c r="M23" i="13"/>
  <c r="M8" i="14"/>
  <c r="A9" i="14"/>
  <c r="F9" i="20" s="1"/>
  <c r="E23" i="13"/>
  <c r="E22" i="13"/>
  <c r="E21" i="13"/>
  <c r="E20" i="13"/>
  <c r="E19" i="13"/>
  <c r="E18" i="13"/>
  <c r="E17" i="13"/>
  <c r="E9" i="13"/>
  <c r="E15" i="13"/>
  <c r="A11" i="14"/>
  <c r="M12" i="14"/>
  <c r="A12" i="14" s="1"/>
  <c r="M13" i="14"/>
  <c r="A13" i="14" s="1"/>
  <c r="M14" i="14"/>
  <c r="A14" i="14" s="1"/>
  <c r="M15" i="14"/>
  <c r="A15" i="14" s="1"/>
  <c r="M16" i="14"/>
  <c r="A16" i="14" s="1"/>
  <c r="M17" i="14"/>
  <c r="A17" i="14" s="1"/>
  <c r="M19" i="14"/>
  <c r="A19" i="14" s="1"/>
  <c r="M20" i="14"/>
  <c r="A20" i="14" s="1"/>
  <c r="M21" i="14"/>
  <c r="A21" i="14" s="1"/>
  <c r="M23" i="14"/>
  <c r="A23" i="14" s="1"/>
  <c r="M25" i="14"/>
  <c r="A25" i="14" s="1"/>
  <c r="M27" i="14"/>
  <c r="A27" i="14" s="1"/>
  <c r="M29" i="14"/>
  <c r="A29" i="14" s="1"/>
  <c r="M31" i="14"/>
  <c r="A31" i="14" s="1"/>
  <c r="M32" i="14"/>
  <c r="A32" i="14" s="1"/>
  <c r="M33" i="14"/>
  <c r="A33" i="14" s="1"/>
  <c r="M35" i="14"/>
  <c r="A35" i="14" s="1"/>
  <c r="M37" i="14"/>
  <c r="A37" i="14" s="1"/>
  <c r="M6" i="15"/>
  <c r="G9" i="13"/>
  <c r="G17" i="13"/>
  <c r="H17" i="13" s="1"/>
  <c r="M13" i="15"/>
  <c r="A13" i="15" s="1"/>
  <c r="M15" i="15"/>
  <c r="A15" i="15" s="1"/>
  <c r="M17" i="15"/>
  <c r="A17" i="15" s="1"/>
  <c r="M19" i="15"/>
  <c r="A19" i="15" s="1"/>
  <c r="M20" i="15"/>
  <c r="A20" i="15" s="1"/>
  <c r="M22" i="15"/>
  <c r="A22" i="15" s="1"/>
  <c r="M24" i="15"/>
  <c r="A24" i="15" s="1"/>
  <c r="M25" i="15"/>
  <c r="A25" i="15" s="1"/>
  <c r="M27" i="15"/>
  <c r="A27" i="15" s="1"/>
  <c r="M28" i="15"/>
  <c r="A28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K15" i="13"/>
  <c r="K9" i="13"/>
  <c r="K17" i="13"/>
  <c r="K18" i="13"/>
  <c r="K19" i="13"/>
  <c r="K20" i="13"/>
  <c r="K21" i="13"/>
  <c r="K22" i="13"/>
  <c r="K23" i="13"/>
  <c r="L6" i="18"/>
  <c r="M6" i="18" s="1"/>
  <c r="A6" i="18" s="1"/>
  <c r="N10" i="13" s="1"/>
  <c r="L8" i="18"/>
  <c r="L7" i="18"/>
  <c r="M7" i="18" s="1"/>
  <c r="A7" i="18" s="1"/>
  <c r="M8" i="18"/>
  <c r="A8" i="18" s="1"/>
  <c r="M13" i="18"/>
  <c r="A13" i="18" s="1"/>
  <c r="M14" i="18"/>
  <c r="A14" i="18" s="1"/>
  <c r="M15" i="18"/>
  <c r="A15" i="18" s="1"/>
  <c r="M16" i="18"/>
  <c r="A16" i="18" s="1"/>
  <c r="M17" i="18"/>
  <c r="A17" i="18" s="1"/>
  <c r="M20" i="18"/>
  <c r="A20" i="18" s="1"/>
  <c r="M21" i="18"/>
  <c r="A21" i="18" s="1"/>
  <c r="M25" i="18"/>
  <c r="A25" i="18" s="1"/>
  <c r="M27" i="18"/>
  <c r="A27" i="18" s="1"/>
  <c r="M28" i="18"/>
  <c r="A28" i="18" s="1"/>
  <c r="M29" i="18"/>
  <c r="A29" i="18" s="1"/>
  <c r="M30" i="18"/>
  <c r="A30" i="18" s="1"/>
  <c r="M32" i="18"/>
  <c r="A32" i="18" s="1"/>
  <c r="M36" i="18"/>
  <c r="A36" i="18" s="1"/>
  <c r="L8" i="19"/>
  <c r="L6" i="19"/>
  <c r="M6" i="19"/>
  <c r="N6" i="19" s="1"/>
  <c r="A6" i="19" s="1"/>
  <c r="M8" i="19"/>
  <c r="N8" i="19" s="1"/>
  <c r="A8" i="19" s="1"/>
  <c r="M9" i="19"/>
  <c r="N9" i="19" s="1"/>
  <c r="A9" i="19" s="1"/>
  <c r="V15" i="20" s="1"/>
  <c r="M10" i="19"/>
  <c r="N10" i="19" s="1"/>
  <c r="A10" i="19" s="1"/>
  <c r="V12" i="20" s="1"/>
  <c r="M11" i="19"/>
  <c r="N11" i="19" s="1"/>
  <c r="A11" i="19" s="1"/>
  <c r="M12" i="19"/>
  <c r="N12" i="19" s="1"/>
  <c r="A12" i="19" s="1"/>
  <c r="M13" i="19"/>
  <c r="N13" i="19" s="1"/>
  <c r="A13" i="19" s="1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M19" i="19"/>
  <c r="N20" i="19"/>
  <c r="M20" i="19"/>
  <c r="N21" i="19"/>
  <c r="A21" i="19" s="1"/>
  <c r="M21" i="19"/>
  <c r="N22" i="19"/>
  <c r="A22" i="19" s="1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M46" i="19"/>
  <c r="N47" i="19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A69" i="19" s="1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A77" i="19" s="1"/>
  <c r="M77" i="19"/>
  <c r="N78" i="19"/>
  <c r="M78" i="19"/>
  <c r="N79" i="19"/>
  <c r="M79" i="19"/>
  <c r="N80" i="19"/>
  <c r="M80" i="19"/>
  <c r="N81" i="19"/>
  <c r="A81" i="19" s="1"/>
  <c r="M81" i="19"/>
  <c r="N82" i="19"/>
  <c r="M82" i="19"/>
  <c r="N83" i="19"/>
  <c r="A83" i="19" s="1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M132" i="19"/>
  <c r="N133" i="19"/>
  <c r="A133" i="19" s="1"/>
  <c r="M133" i="19"/>
  <c r="N134" i="19"/>
  <c r="M134" i="19"/>
  <c r="N135" i="19"/>
  <c r="A135" i="19" s="1"/>
  <c r="M135" i="19"/>
  <c r="N136" i="19"/>
  <c r="M136" i="19"/>
  <c r="N137" i="19"/>
  <c r="A137" i="19" s="1"/>
  <c r="M137" i="19"/>
  <c r="N138" i="19"/>
  <c r="A138" i="19" s="1"/>
  <c r="M138" i="19"/>
  <c r="N139" i="19"/>
  <c r="M139" i="19"/>
  <c r="N140" i="19"/>
  <c r="M140" i="19"/>
  <c r="N141" i="19"/>
  <c r="A141" i="19" s="1"/>
  <c r="M141" i="19"/>
  <c r="N142" i="19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A149" i="19" s="1"/>
  <c r="M149" i="19"/>
  <c r="N150" i="19"/>
  <c r="M150" i="19"/>
  <c r="N151" i="19"/>
  <c r="M151" i="19"/>
  <c r="N152" i="19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M159" i="19"/>
  <c r="N160" i="19"/>
  <c r="M160" i="19"/>
  <c r="N161" i="19"/>
  <c r="A161" i="19" s="1"/>
  <c r="M161" i="19"/>
  <c r="N162" i="19"/>
  <c r="M162" i="19"/>
  <c r="N163" i="19"/>
  <c r="M163" i="19"/>
  <c r="N164" i="19"/>
  <c r="M164" i="19"/>
  <c r="N165" i="19"/>
  <c r="A165" i="19" s="1"/>
  <c r="M165" i="19"/>
  <c r="N166" i="19"/>
  <c r="M166" i="19"/>
  <c r="N167" i="19"/>
  <c r="M167" i="19"/>
  <c r="N168" i="19"/>
  <c r="M168" i="19"/>
  <c r="N169" i="19"/>
  <c r="A169" i="19" s="1"/>
  <c r="M169" i="19"/>
  <c r="N170" i="19"/>
  <c r="M170" i="19"/>
  <c r="N171" i="19"/>
  <c r="M171" i="19"/>
  <c r="N172" i="19"/>
  <c r="M172" i="19"/>
  <c r="N173" i="19"/>
  <c r="A173" i="19" s="1"/>
  <c r="M173" i="19"/>
  <c r="N174" i="19"/>
  <c r="M174" i="19"/>
  <c r="N175" i="19"/>
  <c r="M175" i="19"/>
  <c r="N176" i="19"/>
  <c r="M176" i="19"/>
  <c r="N177" i="19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M183" i="19"/>
  <c r="N184" i="19"/>
  <c r="M184" i="19"/>
  <c r="N185" i="19"/>
  <c r="A185" i="19" s="1"/>
  <c r="M185" i="19"/>
  <c r="N186" i="19"/>
  <c r="M186" i="19"/>
  <c r="N187" i="19"/>
  <c r="M187" i="19"/>
  <c r="N188" i="19"/>
  <c r="M188" i="19"/>
  <c r="N189" i="19"/>
  <c r="A189" i="19" s="1"/>
  <c r="M189" i="19"/>
  <c r="N190" i="19"/>
  <c r="M190" i="19"/>
  <c r="N191" i="19"/>
  <c r="M191" i="19"/>
  <c r="N192" i="19"/>
  <c r="M192" i="19"/>
  <c r="N193" i="19"/>
  <c r="A193" i="19" s="1"/>
  <c r="M193" i="19"/>
  <c r="N194" i="19"/>
  <c r="M194" i="19"/>
  <c r="N195" i="19"/>
  <c r="M195" i="19"/>
  <c r="N196" i="19"/>
  <c r="M196" i="19"/>
  <c r="N197" i="19"/>
  <c r="A197" i="19" s="1"/>
  <c r="M197" i="19"/>
  <c r="N198" i="19"/>
  <c r="M198" i="19"/>
  <c r="N199" i="19"/>
  <c r="M199" i="19"/>
  <c r="N200" i="19"/>
  <c r="M200" i="19"/>
  <c r="N201" i="19"/>
  <c r="A201" i="19" s="1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A213" i="19" s="1"/>
  <c r="M213" i="19"/>
  <c r="N214" i="19"/>
  <c r="M214" i="19"/>
  <c r="N215" i="19"/>
  <c r="M215" i="19"/>
  <c r="N216" i="19"/>
  <c r="M216" i="19"/>
  <c r="N217" i="19"/>
  <c r="A217" i="19" s="1"/>
  <c r="M217" i="19"/>
  <c r="N218" i="19"/>
  <c r="M218" i="19"/>
  <c r="N219" i="19"/>
  <c r="M219" i="19"/>
  <c r="N220" i="19"/>
  <c r="M220" i="19"/>
  <c r="N221" i="19"/>
  <c r="A221" i="19" s="1"/>
  <c r="M221" i="19"/>
  <c r="N222" i="19"/>
  <c r="M222" i="19"/>
  <c r="N223" i="19"/>
  <c r="M223" i="19"/>
  <c r="N224" i="19"/>
  <c r="M224" i="19"/>
  <c r="N225" i="19"/>
  <c r="A225" i="19" s="1"/>
  <c r="M225" i="19"/>
  <c r="N226" i="19"/>
  <c r="M226" i="19"/>
  <c r="N227" i="19"/>
  <c r="M227" i="19"/>
  <c r="N228" i="19"/>
  <c r="M228" i="19"/>
  <c r="N229" i="19"/>
  <c r="A229" i="19" s="1"/>
  <c r="M229" i="19"/>
  <c r="N230" i="19"/>
  <c r="M230" i="19"/>
  <c r="N231" i="19"/>
  <c r="M231" i="19"/>
  <c r="N232" i="19"/>
  <c r="M232" i="19"/>
  <c r="N233" i="19"/>
  <c r="A233" i="19" s="1"/>
  <c r="M233" i="19"/>
  <c r="N234" i="19"/>
  <c r="M234" i="19"/>
  <c r="N235" i="19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9" i="17"/>
  <c r="M10" i="17"/>
  <c r="L14" i="13" s="1"/>
  <c r="M11" i="17"/>
  <c r="A11" i="17" s="1"/>
  <c r="M13" i="17"/>
  <c r="A13" i="17" s="1"/>
  <c r="M15" i="17"/>
  <c r="A15" i="17" s="1"/>
  <c r="M18" i="17"/>
  <c r="A18" i="17" s="1"/>
  <c r="M20" i="17"/>
  <c r="A20" i="17" s="1"/>
  <c r="M22" i="17"/>
  <c r="A22" i="17" s="1"/>
  <c r="M24" i="17"/>
  <c r="A24" i="17" s="1"/>
  <c r="M26" i="17"/>
  <c r="A26" i="17" s="1"/>
  <c r="M30" i="17"/>
  <c r="A30" i="17" s="1"/>
  <c r="M32" i="17"/>
  <c r="A32" i="17" s="1"/>
  <c r="M34" i="17"/>
  <c r="A34" i="17" s="1"/>
  <c r="M7" i="16"/>
  <c r="A7" i="16"/>
  <c r="I11" i="13"/>
  <c r="J11" i="13" s="1"/>
  <c r="L8" i="16"/>
  <c r="M8" i="16" s="1"/>
  <c r="A8" i="16" s="1"/>
  <c r="A19" i="16"/>
  <c r="I15" i="13"/>
  <c r="J15" i="13" s="1"/>
  <c r="A21" i="16"/>
  <c r="A29" i="16"/>
  <c r="I18" i="13"/>
  <c r="J18" i="13" s="1"/>
  <c r="L6" i="16"/>
  <c r="M6" i="16" s="1"/>
  <c r="A6" i="16" s="1"/>
  <c r="A27" i="16"/>
  <c r="J14" i="13"/>
  <c r="I19" i="13"/>
  <c r="J19" i="13" s="1"/>
  <c r="A37" i="16"/>
  <c r="M16" i="16"/>
  <c r="A16" i="16" s="1"/>
  <c r="J8" i="13"/>
  <c r="I20" i="13"/>
  <c r="J20" i="13" s="1"/>
  <c r="A15" i="16"/>
  <c r="M17" i="16"/>
  <c r="A17" i="16" s="1"/>
  <c r="M25" i="16"/>
  <c r="A25" i="16" s="1"/>
  <c r="M33" i="16"/>
  <c r="A33" i="16" s="1"/>
  <c r="J6" i="13"/>
  <c r="I21" i="13"/>
  <c r="J21" i="13" s="1"/>
  <c r="A13" i="16"/>
  <c r="A35" i="16"/>
  <c r="J12" i="13"/>
  <c r="I22" i="13"/>
  <c r="J22" i="13" s="1"/>
  <c r="I23" i="13"/>
  <c r="J23" i="13" s="1"/>
  <c r="I9" i="13"/>
  <c r="J9" i="13" s="1"/>
  <c r="A18" i="18"/>
  <c r="A34" i="18"/>
  <c r="A28" i="17"/>
  <c r="A12" i="17"/>
  <c r="A36" i="17"/>
  <c r="A18" i="15"/>
  <c r="H12" i="20"/>
  <c r="A34" i="15"/>
  <c r="A11" i="15"/>
  <c r="H11" i="20" s="1"/>
  <c r="H8" i="13"/>
  <c r="G18" i="13"/>
  <c r="H18" i="13" s="1"/>
  <c r="A9" i="15"/>
  <c r="H9" i="20" s="1"/>
  <c r="G6" i="13"/>
  <c r="G19" i="13"/>
  <c r="H19" i="13" s="1"/>
  <c r="G12" i="13"/>
  <c r="G20" i="13"/>
  <c r="H20" i="13" s="1"/>
  <c r="L8" i="15"/>
  <c r="M8" i="15" s="1"/>
  <c r="G16" i="13"/>
  <c r="H16" i="13" s="1"/>
  <c r="G21" i="13"/>
  <c r="A8" i="15"/>
  <c r="H15" i="20" s="1"/>
  <c r="G11" i="13"/>
  <c r="H11" i="13" s="1"/>
  <c r="G22" i="13"/>
  <c r="H13" i="13"/>
  <c r="G15" i="13"/>
  <c r="H15" i="13" s="1"/>
  <c r="G23" i="13"/>
  <c r="H23" i="13" s="1"/>
  <c r="A26" i="14"/>
  <c r="A34" i="14"/>
  <c r="F14" i="13"/>
  <c r="L7" i="14"/>
  <c r="A10" i="14"/>
  <c r="A8" i="14"/>
  <c r="A6" i="15"/>
  <c r="H7" i="20" s="1"/>
  <c r="A94" i="19"/>
  <c r="A118" i="19"/>
  <c r="A196" i="19"/>
  <c r="A292" i="19"/>
  <c r="L6" i="14"/>
  <c r="L7" i="15"/>
  <c r="M7" i="15" s="1"/>
  <c r="A7" i="15" s="1"/>
  <c r="H13" i="20" s="1"/>
  <c r="L8" i="17"/>
  <c r="M8" i="17" s="1"/>
  <c r="L6" i="17"/>
  <c r="M6" i="17" s="1"/>
  <c r="L7" i="17"/>
  <c r="M7" i="17" s="1"/>
  <c r="L16" i="13"/>
  <c r="A46" i="19"/>
  <c r="A39" i="19"/>
  <c r="A65" i="19"/>
  <c r="A70" i="19"/>
  <c r="A32" i="19"/>
  <c r="A79" i="19"/>
  <c r="A84" i="19"/>
  <c r="A108" i="19"/>
  <c r="A132" i="19"/>
  <c r="A163" i="19"/>
  <c r="A75" i="19"/>
  <c r="A80" i="19"/>
  <c r="A104" i="19"/>
  <c r="A128" i="19"/>
  <c r="A148" i="19"/>
  <c r="A19" i="19"/>
  <c r="A66" i="19"/>
  <c r="A90" i="19"/>
  <c r="A114" i="19"/>
  <c r="A191" i="19"/>
  <c r="A240" i="19"/>
  <c r="A288" i="19"/>
  <c r="A26" i="19"/>
  <c r="A54" i="19"/>
  <c r="A71" i="19"/>
  <c r="A76" i="19"/>
  <c r="A100" i="19"/>
  <c r="A124" i="19"/>
  <c r="A143" i="19"/>
  <c r="A235" i="19"/>
  <c r="A44" i="19"/>
  <c r="A61" i="19"/>
  <c r="A86" i="19"/>
  <c r="A110" i="19"/>
  <c r="A134" i="19"/>
  <c r="A187" i="19"/>
  <c r="A192" i="19"/>
  <c r="L7" i="19"/>
  <c r="A67" i="19"/>
  <c r="A72" i="19"/>
  <c r="A96" i="19"/>
  <c r="A120" i="19"/>
  <c r="A144" i="19"/>
  <c r="A220" i="19"/>
  <c r="A268" i="19"/>
  <c r="A20" i="19"/>
  <c r="A47" i="19"/>
  <c r="A59" i="19"/>
  <c r="A82" i="19"/>
  <c r="A106" i="19"/>
  <c r="A130" i="19"/>
  <c r="A139" i="19"/>
  <c r="A172" i="19"/>
  <c r="A31" i="19"/>
  <c r="A68" i="19"/>
  <c r="A92" i="19"/>
  <c r="A116" i="19"/>
  <c r="A215" i="19"/>
  <c r="V7" i="20"/>
  <c r="A38" i="19"/>
  <c r="A73" i="19"/>
  <c r="A78" i="19"/>
  <c r="A102" i="19"/>
  <c r="A126" i="19"/>
  <c r="A167" i="19"/>
  <c r="A264" i="19"/>
  <c r="A27" i="19"/>
  <c r="A88" i="19"/>
  <c r="A112" i="19"/>
  <c r="A136" i="19"/>
  <c r="A216" i="19"/>
  <c r="A48" i="19"/>
  <c r="A60" i="19"/>
  <c r="A74" i="19"/>
  <c r="A98" i="19"/>
  <c r="A122" i="19"/>
  <c r="A168" i="19"/>
  <c r="A211" i="19"/>
  <c r="A244" i="19"/>
  <c r="A162" i="19"/>
  <c r="A186" i="19"/>
  <c r="A205" i="19"/>
  <c r="A210" i="19"/>
  <c r="A234" i="19"/>
  <c r="A258" i="19"/>
  <c r="A282" i="19"/>
  <c r="A158" i="19"/>
  <c r="A177" i="19"/>
  <c r="A182" i="19"/>
  <c r="A206" i="19"/>
  <c r="A230" i="19"/>
  <c r="A254" i="19"/>
  <c r="A278" i="19"/>
  <c r="A302" i="19"/>
  <c r="A154" i="19"/>
  <c r="A178" i="19"/>
  <c r="A202" i="19"/>
  <c r="A226" i="19"/>
  <c r="A250" i="19"/>
  <c r="A274" i="19"/>
  <c r="A298" i="19"/>
  <c r="A140" i="19"/>
  <c r="A159" i="19"/>
  <c r="A164" i="19"/>
  <c r="A183" i="19"/>
  <c r="A188" i="19"/>
  <c r="A207" i="19"/>
  <c r="A212" i="19"/>
  <c r="A231" i="19"/>
  <c r="A236" i="19"/>
  <c r="A260" i="19"/>
  <c r="A284" i="19"/>
  <c r="A150" i="19"/>
  <c r="A174" i="19"/>
  <c r="A198" i="19"/>
  <c r="A222" i="19"/>
  <c r="A246" i="19"/>
  <c r="A270" i="19"/>
  <c r="A294" i="19"/>
  <c r="A155" i="19"/>
  <c r="A160" i="19"/>
  <c r="A179" i="19"/>
  <c r="A184" i="19"/>
  <c r="A203" i="19"/>
  <c r="A208" i="19"/>
  <c r="A227" i="19"/>
  <c r="A232" i="19"/>
  <c r="A256" i="19"/>
  <c r="A280" i="19"/>
  <c r="A304" i="19"/>
  <c r="A146" i="19"/>
  <c r="A170" i="19"/>
  <c r="A194" i="19"/>
  <c r="A218" i="19"/>
  <c r="A242" i="19"/>
  <c r="A266" i="19"/>
  <c r="A290" i="19"/>
  <c r="A151" i="19"/>
  <c r="A156" i="19"/>
  <c r="A175" i="19"/>
  <c r="A180" i="19"/>
  <c r="A199" i="19"/>
  <c r="A204" i="19"/>
  <c r="A223" i="19"/>
  <c r="A228" i="19"/>
  <c r="A252" i="19"/>
  <c r="A276" i="19"/>
  <c r="A300" i="19"/>
  <c r="A142" i="19"/>
  <c r="A166" i="19"/>
  <c r="A190" i="19"/>
  <c r="A209" i="19"/>
  <c r="A214" i="19"/>
  <c r="A238" i="19"/>
  <c r="A262" i="19"/>
  <c r="A286" i="19"/>
  <c r="A147" i="19"/>
  <c r="A152" i="19"/>
  <c r="A171" i="19"/>
  <c r="A176" i="19"/>
  <c r="A195" i="19"/>
  <c r="A200" i="19"/>
  <c r="A219" i="19"/>
  <c r="A224" i="19"/>
  <c r="A248" i="19"/>
  <c r="A272" i="19"/>
  <c r="A296" i="19"/>
  <c r="BB16" i="20" l="1"/>
  <c r="BE15" i="20"/>
  <c r="BF14" i="20"/>
  <c r="BD14" i="20"/>
  <c r="BF15" i="20"/>
  <c r="BG10" i="20"/>
  <c r="BF11" i="20"/>
  <c r="BF6" i="20"/>
  <c r="V16" i="20"/>
  <c r="V24" i="20"/>
  <c r="V23" i="20"/>
  <c r="V25" i="20"/>
  <c r="V14" i="20"/>
  <c r="V18" i="20"/>
  <c r="V22" i="20"/>
  <c r="V11" i="20"/>
  <c r="V19" i="20"/>
  <c r="V29" i="20"/>
  <c r="V20" i="20"/>
  <c r="V27" i="20"/>
  <c r="V21" i="20"/>
  <c r="V28" i="20"/>
  <c r="V6" i="20"/>
  <c r="BE8" i="20"/>
  <c r="BF10" i="20"/>
  <c r="BG12" i="20"/>
  <c r="BF13" i="20"/>
  <c r="BE10" i="20"/>
  <c r="BE13" i="20"/>
  <c r="BF12" i="20"/>
  <c r="BB6" i="20"/>
  <c r="BD6" i="20"/>
  <c r="BF7" i="20"/>
  <c r="BE6" i="20"/>
  <c r="AK17" i="20"/>
  <c r="BF17" i="20" s="1"/>
  <c r="BB15" i="20"/>
  <c r="BE12" i="20"/>
  <c r="BG13" i="20"/>
  <c r="BB7" i="20"/>
  <c r="BE11" i="20"/>
  <c r="BD15" i="20"/>
  <c r="N27" i="20"/>
  <c r="N13" i="20"/>
  <c r="N7" i="20"/>
  <c r="N12" i="13"/>
  <c r="N10" i="20"/>
  <c r="N17" i="20"/>
  <c r="N13" i="13"/>
  <c r="N23" i="20"/>
  <c r="N12" i="20"/>
  <c r="N6" i="20"/>
  <c r="N16" i="20"/>
  <c r="N8" i="20"/>
  <c r="N14" i="20"/>
  <c r="N19" i="20"/>
  <c r="N14" i="13"/>
  <c r="N9" i="20"/>
  <c r="N26" i="20"/>
  <c r="N11" i="20"/>
  <c r="N15" i="20"/>
  <c r="N28" i="20"/>
  <c r="N21" i="20"/>
  <c r="N7" i="13"/>
  <c r="N6" i="13"/>
  <c r="N16" i="13"/>
  <c r="N29" i="20"/>
  <c r="N19" i="13"/>
  <c r="N18" i="13"/>
  <c r="N24" i="20"/>
  <c r="N17" i="13"/>
  <c r="N25" i="20"/>
  <c r="N22" i="20"/>
  <c r="N21" i="13"/>
  <c r="N9" i="13"/>
  <c r="N18" i="20"/>
  <c r="N15" i="13"/>
  <c r="N20" i="13"/>
  <c r="N20" i="20"/>
  <c r="N23" i="13"/>
  <c r="N22" i="13"/>
  <c r="BE7" i="20"/>
  <c r="BD7" i="20"/>
  <c r="BB13" i="20"/>
  <c r="BB8" i="20"/>
  <c r="BB12" i="20"/>
  <c r="L8" i="13"/>
  <c r="L8" i="20"/>
  <c r="L6" i="20"/>
  <c r="L27" i="20"/>
  <c r="L28" i="20"/>
  <c r="L24" i="20"/>
  <c r="L20" i="20"/>
  <c r="L15" i="20"/>
  <c r="L17" i="20"/>
  <c r="L14" i="20"/>
  <c r="L9" i="20"/>
  <c r="L10" i="20"/>
  <c r="L18" i="20"/>
  <c r="L11" i="20"/>
  <c r="L29" i="20"/>
  <c r="L16" i="20"/>
  <c r="L19" i="20"/>
  <c r="L22" i="20"/>
  <c r="L13" i="20"/>
  <c r="L21" i="20"/>
  <c r="BD13" i="20"/>
  <c r="J16" i="13"/>
  <c r="J11" i="20"/>
  <c r="J13" i="13"/>
  <c r="J8" i="20"/>
  <c r="BB11" i="20"/>
  <c r="BD11" i="20"/>
  <c r="BD10" i="20"/>
  <c r="H14" i="13"/>
  <c r="F8" i="13"/>
  <c r="F12" i="20"/>
  <c r="F8" i="20"/>
  <c r="F11" i="20"/>
  <c r="F13" i="20"/>
  <c r="F16" i="20"/>
  <c r="F15" i="20"/>
  <c r="F10" i="20"/>
  <c r="F14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22" i="13"/>
  <c r="F19" i="13"/>
  <c r="F16" i="13"/>
  <c r="F12" i="13"/>
  <c r="F6" i="13"/>
  <c r="F17" i="13"/>
  <c r="F15" i="13"/>
  <c r="F9" i="13"/>
  <c r="F18" i="13"/>
  <c r="F20" i="13"/>
  <c r="F21" i="13"/>
  <c r="F23" i="13"/>
  <c r="BD8" i="20"/>
  <c r="BB9" i="20"/>
  <c r="BD9" i="20"/>
  <c r="BB10" i="20"/>
  <c r="BD12" i="20"/>
  <c r="L7" i="13"/>
  <c r="L7" i="20"/>
  <c r="J7" i="13"/>
  <c r="J7" i="20"/>
  <c r="AC6" i="20"/>
  <c r="AC13" i="20"/>
  <c r="AC11" i="20"/>
  <c r="AC14" i="20"/>
  <c r="AC26" i="20"/>
  <c r="BC26" i="20" s="1"/>
  <c r="AC23" i="20"/>
  <c r="BC23" i="20" s="1"/>
  <c r="AC8" i="20"/>
  <c r="AC16" i="20"/>
  <c r="AC25" i="20"/>
  <c r="BC25" i="20" s="1"/>
  <c r="AC10" i="20"/>
  <c r="AC9" i="20"/>
  <c r="AC20" i="20"/>
  <c r="BC20" i="20" s="1"/>
  <c r="AC15" i="20"/>
  <c r="BC14" i="20" s="1"/>
  <c r="AC24" i="20"/>
  <c r="BC24" i="20" s="1"/>
  <c r="AC19" i="20"/>
  <c r="BC19" i="20" s="1"/>
  <c r="AC7" i="20"/>
  <c r="AC12" i="20"/>
  <c r="AC22" i="20"/>
  <c r="BC22" i="20" s="1"/>
  <c r="AC18" i="20"/>
  <c r="BC18" i="20" s="1"/>
  <c r="AY28" i="20"/>
  <c r="AY21" i="20"/>
  <c r="AY27" i="20"/>
  <c r="AY17" i="20"/>
  <c r="AY24" i="20"/>
  <c r="AY26" i="20"/>
  <c r="AY29" i="20"/>
  <c r="AY14" i="20"/>
  <c r="AY25" i="20"/>
  <c r="AY18" i="20"/>
  <c r="AY16" i="20"/>
  <c r="AY19" i="20"/>
  <c r="AY20" i="20"/>
  <c r="AY22" i="20"/>
  <c r="AY23" i="20"/>
  <c r="AY8" i="20"/>
  <c r="AY10" i="20"/>
  <c r="L11" i="13"/>
  <c r="N8" i="13"/>
  <c r="N11" i="13"/>
  <c r="V7" i="13"/>
  <c r="V10" i="13"/>
  <c r="V14" i="13"/>
  <c r="V13" i="13"/>
  <c r="V16" i="13"/>
  <c r="V6" i="13"/>
  <c r="V11" i="13"/>
  <c r="V12" i="13"/>
  <c r="V23" i="13"/>
  <c r="V22" i="13"/>
  <c r="V21" i="13"/>
  <c r="V20" i="13"/>
  <c r="V19" i="13"/>
  <c r="V18" i="13"/>
  <c r="V17" i="13"/>
  <c r="V9" i="13"/>
  <c r="V15" i="13"/>
  <c r="M7" i="19"/>
  <c r="N7" i="19" s="1"/>
  <c r="M6" i="14"/>
  <c r="A6" i="14" s="1"/>
  <c r="M7" i="14"/>
  <c r="A7" i="14" s="1"/>
  <c r="L10" i="13"/>
  <c r="L13" i="13"/>
  <c r="L6" i="13"/>
  <c r="L12" i="13"/>
  <c r="L23" i="13"/>
  <c r="L22" i="13"/>
  <c r="L21" i="13"/>
  <c r="L20" i="13"/>
  <c r="L19" i="13"/>
  <c r="L18" i="13"/>
  <c r="L17" i="13"/>
  <c r="L9" i="13"/>
  <c r="L15" i="13"/>
  <c r="H21" i="13"/>
  <c r="H7" i="13"/>
  <c r="H9" i="13"/>
  <c r="H12" i="13"/>
  <c r="H22" i="13"/>
  <c r="H6" i="13"/>
  <c r="F13" i="13"/>
  <c r="F10" i="13"/>
  <c r="BC16" i="20" l="1"/>
  <c r="A7" i="19"/>
  <c r="V8" i="20" s="1"/>
  <c r="D8" i="20" s="1"/>
  <c r="BC15" i="20"/>
  <c r="D28" i="20"/>
  <c r="D27" i="20"/>
  <c r="D11" i="20"/>
  <c r="D18" i="20"/>
  <c r="D9" i="20"/>
  <c r="D19" i="20"/>
  <c r="D26" i="20"/>
  <c r="D25" i="20"/>
  <c r="D17" i="20"/>
  <c r="D12" i="20"/>
  <c r="D24" i="20"/>
  <c r="D14" i="20"/>
  <c r="D23" i="20"/>
  <c r="D10" i="20"/>
  <c r="D22" i="20"/>
  <c r="D15" i="20"/>
  <c r="BC6" i="20"/>
  <c r="D29" i="20"/>
  <c r="D21" i="20"/>
  <c r="D16" i="20"/>
  <c r="D20" i="20"/>
  <c r="D13" i="20"/>
  <c r="BC7" i="20"/>
  <c r="BC10" i="20"/>
  <c r="D20" i="13"/>
  <c r="D14" i="13"/>
  <c r="D13" i="13"/>
  <c r="D23" i="13"/>
  <c r="D21" i="13"/>
  <c r="D16" i="13"/>
  <c r="D12" i="13"/>
  <c r="D19" i="13"/>
  <c r="D18" i="13"/>
  <c r="D22" i="13"/>
  <c r="D9" i="13"/>
  <c r="D15" i="13"/>
  <c r="D17" i="13"/>
  <c r="D10" i="13"/>
  <c r="D6" i="13"/>
  <c r="BC13" i="20"/>
  <c r="BC8" i="20"/>
  <c r="F6" i="20"/>
  <c r="D6" i="20" s="1"/>
  <c r="F11" i="13"/>
  <c r="D11" i="13" s="1"/>
  <c r="BC12" i="20"/>
  <c r="BC9" i="20"/>
  <c r="BC11" i="20"/>
  <c r="F7" i="13"/>
  <c r="D7" i="13" s="1"/>
  <c r="F7" i="20"/>
  <c r="D7" i="20" s="1"/>
  <c r="V8" i="13" l="1"/>
  <c r="D8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<sst xmlns="http://schemas.openxmlformats.org/spreadsheetml/2006/main" count="2693" uniqueCount="248">
  <si>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</si>
  <si>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</si>
  <si>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</si>
  <si>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</si>
  <si>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</si>
  <si>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</si>
  <si>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</si>
  <si>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</si>
  <si>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</si>
  <si>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</si>
  <si>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</si>
  <si>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</si>
  <si>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</si>
  <si>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</si>
  <si>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</si>
  <si>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</si>
  <si>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</si>
  <si>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</si>
  <si>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</si>
  <si>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OSSOWSKI Wojciech</t>
  </si>
  <si>
    <t>ZABŁOCKI Michał</t>
  </si>
  <si>
    <t>CHUDYCKI Artur</t>
  </si>
  <si>
    <t>NIKALAICHUK Aliaksandr</t>
  </si>
  <si>
    <t>NOWICKI Wiesław</t>
  </si>
  <si>
    <t>BARAŃSKI Wacław</t>
  </si>
  <si>
    <t>GRABOWSKI Romuald</t>
  </si>
  <si>
    <t>ZABŁOCKI Marcin</t>
  </si>
  <si>
    <t>KIERSZNICKI Ryszard</t>
  </si>
  <si>
    <t>WOJCIECHOWSKI Marek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</si>
  <si>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</si>
  <si>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</si>
  <si>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</si>
  <si>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</si>
  <si>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</si>
  <si>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</si>
  <si>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</si>
  <si>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</si>
  <si>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</si>
  <si>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</si>
  <si>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</si>
  <si>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</si>
  <si>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</si>
  <si>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</si>
  <si>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</si>
  <si>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</si>
  <si>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</si>
  <si>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</si>
  <si>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</si>
  <si>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</si>
  <si>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MUKS VICTOR WARSZAWA</t>
  </si>
  <si>
    <t>POL</t>
  </si>
  <si>
    <t>UKS START OPOLE</t>
  </si>
  <si>
    <t>JUSZKIEWICZ Piotr</t>
  </si>
  <si>
    <t>MKS KUSY SZCZECIN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</si>
  <si>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</si>
  <si>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</si>
  <si>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</si>
  <si>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</si>
  <si>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</si>
  <si>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</si>
  <si>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</si>
  <si>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</si>
  <si>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</si>
  <si>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</si>
  <si>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9k2</t>
  </si>
  <si>
    <t>KS CRACOVIA 1906.</t>
  </si>
  <si>
    <t>NIEPOŁOMICE</t>
  </si>
  <si>
    <t>18.06.2023</t>
  </si>
  <si>
    <t>AZS AWF KRAKÓW</t>
  </si>
  <si>
    <t xml:space="preserve"> POL</t>
  </si>
  <si>
    <t>2k2</t>
  </si>
  <si>
    <t>7k2</t>
  </si>
  <si>
    <t>OPOLE</t>
  </si>
  <si>
    <t>23-24.10.2023</t>
  </si>
  <si>
    <t>PAŁAC MŁODZIEŻY TARNÓW</t>
  </si>
  <si>
    <t>ST. POLSKICH WETERANÓW SZERMIERKI</t>
  </si>
  <si>
    <t> </t>
  </si>
  <si>
    <t>GDAŃSK</t>
  </si>
  <si>
    <t>28.10.2023</t>
  </si>
  <si>
    <t>BONUS ZA PUCHAR</t>
  </si>
  <si>
    <t>AZS POZNAŃ</t>
  </si>
  <si>
    <t>ZABŁOCKI Michał (3)</t>
  </si>
  <si>
    <t>STOWARZYSZENIE POLSKICH WETERANÓW SZERMIERKI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</si>
  <si>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</si>
  <si>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</si>
  <si>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</si>
  <si>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</si>
  <si>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</si>
  <si>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</si>
  <si>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</si>
  <si>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</si>
  <si>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</si>
  <si>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18-19.11.2023</t>
  </si>
  <si>
    <t> POL</t>
  </si>
  <si>
    <t>AZS AWF WARSZAWA</t>
  </si>
  <si>
    <t>FUHRMANN Ulrike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</si>
  <si>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</si>
  <si>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</si>
  <si>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</si>
  <si>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</si>
  <si>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</si>
  <si>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Kat.3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</si>
  <si>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</si>
  <si>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</si>
  <si>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</si>
  <si>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</si>
  <si>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</si>
  <si>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</si>
  <si>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</si>
  <si>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</si>
  <si>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</si>
  <si>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</si>
  <si>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</si>
  <si>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</si>
  <si>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</si>
  <si>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</si>
  <si>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</si>
  <si>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</si>
  <si>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</si>
  <si>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Faches-Thumesnil</t>
  </si>
  <si>
    <t>21-22.01.2023</t>
  </si>
  <si>
    <t>Terni</t>
  </si>
  <si>
    <t>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</si>
  <si>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</si>
  <si>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</si>
  <si>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</si>
  <si>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</si>
  <si>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</si>
  <si>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</si>
  <si>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</si>
  <si>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</si>
  <si>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</si>
  <si>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</si>
  <si>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</si>
  <si>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</si>
  <si>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</si>
  <si>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</si>
  <si>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</si>
  <si>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</si>
  <si>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ANTINORO </t>
  </si>
  <si>
    <t xml:space="preserve"> ENRICO </t>
  </si>
  <si>
    <t>ITA</t>
  </si>
  <si>
    <t xml:space="preserve"> BEM </t>
  </si>
  <si>
    <t xml:space="preserve"> MICHEL </t>
  </si>
  <si>
    <t>FRA</t>
  </si>
  <si>
    <t xml:space="preserve"> KAS </t>
  </si>
  <si>
    <t xml:space="preserve"> GEZA </t>
  </si>
  <si>
    <t xml:space="preserve"> PIMENAU </t>
  </si>
  <si>
    <t xml:space="preserve"> ALEX </t>
  </si>
  <si>
    <t>NED</t>
  </si>
  <si>
    <t xml:space="preserve"> TAKACSY </t>
  </si>
  <si>
    <t xml:space="preserve"> LASZLO </t>
  </si>
  <si>
    <t>HUN</t>
  </si>
  <si>
    <t xml:space="preserve"> ROSEN </t>
  </si>
  <si>
    <t xml:space="preserve"> JURI </t>
  </si>
  <si>
    <t>GER</t>
  </si>
  <si>
    <t xml:space="preserve"> BRANDT </t>
  </si>
  <si>
    <t xml:space="preserve"> THORSTEN </t>
  </si>
  <si>
    <t xml:space="preserve"> FEIRA CHIOS </t>
  </si>
  <si>
    <t xml:space="preserve"> ALBERTO </t>
  </si>
  <si>
    <t xml:space="preserve"> RAMIER </t>
  </si>
  <si>
    <t xml:space="preserve"> THIERRY </t>
  </si>
  <si>
    <t xml:space="preserve"> TAILLANDIER </t>
  </si>
  <si>
    <t xml:space="preserve"> JEAN FRANCOIS </t>
  </si>
  <si>
    <t xml:space="preserve"> FALASCHI </t>
  </si>
  <si>
    <t xml:space="preserve"> LUCA </t>
  </si>
  <si>
    <t xml:space="preserve"> GHOSH </t>
  </si>
  <si>
    <t xml:space="preserve"> JULIAN </t>
  </si>
  <si>
    <t>GBR</t>
  </si>
  <si>
    <t xml:space="preserve"> ZELIKOVICS </t>
  </si>
  <si>
    <t xml:space="preserve"> SEMJONS </t>
  </si>
  <si>
    <t>LAT</t>
  </si>
  <si>
    <t xml:space="preserve"> LUZZO </t>
  </si>
  <si>
    <t xml:space="preserve"> ANTONIO </t>
  </si>
  <si>
    <t xml:space="preserve"> ARPASI </t>
  </si>
  <si>
    <t xml:space="preserve"> TIBOR </t>
  </si>
  <si>
    <t xml:space="preserve"> WOJCIECH </t>
  </si>
  <si>
    <t xml:space="preserve"> BOTTECCHIA </t>
  </si>
  <si>
    <t xml:space="preserve"> GODEFROID </t>
  </si>
  <si>
    <t>BEL</t>
  </si>
  <si>
    <t xml:space="preserve"> VAN DER WEIDE </t>
  </si>
  <si>
    <t xml:space="preserve"> RICK </t>
  </si>
  <si>
    <t xml:space="preserve"> PREIS </t>
  </si>
  <si>
    <t xml:space="preserve"> PAUL </t>
  </si>
  <si>
    <t xml:space="preserve"> ZIEBELL </t>
  </si>
  <si>
    <t xml:space="preserve"> OLAF </t>
  </si>
  <si>
    <t xml:space="preserve"> ZANELLATO </t>
  </si>
  <si>
    <t xml:space="preserve"> ACHILLE </t>
  </si>
  <si>
    <t xml:space="preserve"> TALLARICO </t>
  </si>
  <si>
    <t xml:space="preserve"> VINCENZO </t>
  </si>
  <si>
    <t xml:space="preserve"> DUBOS </t>
  </si>
  <si>
    <t xml:space="preserve"> PATRICK </t>
  </si>
  <si>
    <t xml:space="preserve"> BENARD </t>
  </si>
  <si>
    <t xml:space="preserve"> JEAN YVES </t>
  </si>
  <si>
    <t xml:space="preserve"> SILVER </t>
  </si>
  <si>
    <t xml:space="preserve"> ANTHONY </t>
  </si>
  <si>
    <t xml:space="preserve"> BALONUSKOVS </t>
  </si>
  <si>
    <t xml:space="preserve"> JURIJS </t>
  </si>
  <si>
    <t xml:space="preserve"> ROSADO OLARÁN </t>
  </si>
  <si>
    <t xml:space="preserve"> JOSÉ IGNACIO </t>
  </si>
  <si>
    <t>ESP</t>
  </si>
  <si>
    <t xml:space="preserve"> PRIJATELJ </t>
  </si>
  <si>
    <t xml:space="preserve"> BOJAN </t>
  </si>
  <si>
    <t>SLO</t>
  </si>
  <si>
    <t xml:space="preserve"> VARJU </t>
  </si>
  <si>
    <t xml:space="preserve"> TAMAS </t>
  </si>
  <si>
    <t xml:space="preserve"> KOBYAKOV </t>
  </si>
  <si>
    <t xml:space="preserve"> ANDREY </t>
  </si>
  <si>
    <t xml:space="preserve"> NAGY </t>
  </si>
  <si>
    <t xml:space="preserve"> ANDRAS </t>
  </si>
  <si>
    <t xml:space="preserve"> CIUFFREDA </t>
  </si>
  <si>
    <t xml:space="preserve"> LUIGI SALVATORE </t>
  </si>
  <si>
    <t xml:space="preserve"> PREVETT </t>
  </si>
  <si>
    <t xml:space="preserve"> CHRISTOPHER </t>
  </si>
  <si>
    <t xml:space="preserve"> PETER </t>
  </si>
  <si>
    <t xml:space="preserve"> VAROTTO </t>
  </si>
  <si>
    <t xml:space="preserve"> LORENZO </t>
  </si>
  <si>
    <t xml:space="preserve"> MARACZ </t>
  </si>
  <si>
    <t xml:space="preserve"> LASZLO KAROLY </t>
  </si>
  <si>
    <t xml:space="preserve"> JUSZKIEWICZ PIOTR</t>
  </si>
  <si>
    <t xml:space="preserve"> PIOTR </t>
  </si>
  <si>
    <t xml:space="preserve"> DAWKINS </t>
  </si>
  <si>
    <t xml:space="preserve"> JONATHAN </t>
  </si>
  <si>
    <t xml:space="preserve"> BOHMER </t>
  </si>
  <si>
    <t xml:space="preserve"> HEINRICH </t>
  </si>
  <si>
    <t xml:space="preserve"> CHIKHRADZE </t>
  </si>
  <si>
    <t xml:space="preserve"> GELA </t>
  </si>
  <si>
    <t>GEO</t>
  </si>
  <si>
    <t xml:space="preserve"> ROHR AGUIRRE </t>
  </si>
  <si>
    <t xml:space="preserve"> MORITH </t>
  </si>
  <si>
    <t xml:space="preserve"> KAINZ </t>
  </si>
  <si>
    <t xml:space="preserve"> ERNST </t>
  </si>
  <si>
    <t>AUT</t>
  </si>
  <si>
    <t xml:space="preserve"> CRANSTON-SELBY </t>
  </si>
  <si>
    <t xml:space="preserve"> CHRIS </t>
  </si>
  <si>
    <t xml:space="preserve"> O'FARRELL </t>
  </si>
  <si>
    <t xml:space="preserve"> JEAN-LUC </t>
  </si>
  <si>
    <t>IRL</t>
  </si>
  <si>
    <t xml:space="preserve"> SCHRANS </t>
  </si>
  <si>
    <t xml:space="preserve"> HERVÉ </t>
  </si>
  <si>
    <t xml:space="preserve"> BURGHARDT </t>
  </si>
  <si>
    <t xml:space="preserve"> ULRICH </t>
  </si>
  <si>
    <t>SPAŁA</t>
  </si>
  <si>
    <t>28.01.2024</t>
  </si>
  <si>
    <t>WARSZAWA</t>
  </si>
  <si>
    <t>2-3.03.2024</t>
  </si>
  <si>
    <t>23.06.2024</t>
  </si>
  <si>
    <t>FARAGO József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</si>
</sst>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21252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309">
    <xf numFmtId="0" fontId="0" fillId="0" borderId="0" xfId="0"/>
    <xf numFmtId="0" fontId="8" fillId="3" borderId="0" xfId="1" applyAlignment="1">
      <alignment horizontal="center" vertical="center" wrapText="1"/>
    </xf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0" xfId="0" applyFont="1" applyFill="1"/>
    <xf numFmtId="0" fontId="12" fillId="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5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7" fillId="7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24" fillId="5" borderId="0" xfId="0" applyFont="1" applyFill="1"/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5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27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7" fillId="7" borderId="0" xfId="0" applyFont="1" applyFill="1" applyAlignment="1">
      <alignment horizontal="left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7" fillId="0" borderId="14" xfId="0" applyFont="1" applyBorder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9" fillId="12" borderId="0" xfId="8" applyFill="1" applyAlignment="1">
      <alignment horizontal="left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3" fillId="13" borderId="14" xfId="3" applyBorder="1" applyAlignment="1">
      <alignment horizontal="left"/>
    </xf>
    <xf numFmtId="0" fontId="3" fillId="13" borderId="0" xfId="3" applyAlignment="1">
      <alignment horizontal="center" vertical="center"/>
    </xf>
    <xf numFmtId="0" fontId="3" fillId="13" borderId="16" xfId="3" applyBorder="1" applyAlignment="1">
      <alignment horizontal="center" vertical="center"/>
    </xf>
    <xf numFmtId="0" fontId="3" fillId="13" borderId="0" xfId="3" applyAlignment="1">
      <alignment vertical="center" wrapText="1"/>
    </xf>
    <xf numFmtId="0" fontId="30" fillId="12" borderId="0" xfId="0" applyFont="1" applyFill="1"/>
    <xf numFmtId="0" fontId="30" fillId="12" borderId="0" xfId="0" applyFont="1" applyFill="1" applyAlignment="1">
      <alignment horizontal="left" vertical="center"/>
    </xf>
    <xf numFmtId="0" fontId="30" fillId="12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center" vertical="center"/>
    </xf>
    <xf numFmtId="0" fontId="31" fillId="12" borderId="0" xfId="0" applyFont="1" applyFill="1"/>
    <xf numFmtId="0" fontId="31" fillId="12" borderId="0" xfId="0" applyFont="1" applyFill="1" applyAlignment="1">
      <alignment horizontal="left" vertical="center"/>
    </xf>
    <xf numFmtId="0" fontId="32" fillId="12" borderId="0" xfId="0" applyFont="1" applyFill="1" applyAlignment="1">
      <alignment horizontal="center" vertical="center"/>
    </xf>
    <xf numFmtId="17" fontId="30" fillId="12" borderId="0" xfId="0" applyNumberFormat="1" applyFont="1" applyFill="1" applyAlignment="1">
      <alignment horizontal="center" vertical="center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3" fillId="13" borderId="11" xfId="3" applyBorder="1" applyAlignment="1">
      <alignment horizontal="left"/>
    </xf>
    <xf numFmtId="0" fontId="7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33" fillId="8" borderId="0" xfId="5" applyFont="1" applyFill="1" applyAlignment="1">
      <alignment horizontal="center" vertical="center"/>
    </xf>
    <xf numFmtId="164" fontId="2" fillId="8" borderId="0" xfId="5" applyNumberFormat="1" applyFill="1" applyAlignment="1">
      <alignment horizontal="center" vertical="center"/>
    </xf>
    <xf numFmtId="0" fontId="10" fillId="8" borderId="0" xfId="5" applyFont="1" applyFill="1" applyAlignment="1">
      <alignment horizontal="center" vertical="center"/>
    </xf>
    <xf numFmtId="0" fontId="2" fillId="8" borderId="0" xfId="5" applyFill="1" applyAlignment="1">
      <alignment horizontal="left" vertical="center"/>
    </xf>
    <xf numFmtId="0" fontId="33" fillId="8" borderId="0" xfId="5" applyFont="1" applyFill="1" applyAlignment="1">
      <alignment horizontal="left" vertical="center"/>
    </xf>
    <xf numFmtId="164" fontId="2" fillId="8" borderId="0" xfId="5" applyNumberFormat="1" applyFill="1" applyAlignment="1">
      <alignment horizontal="left" vertical="center"/>
    </xf>
    <xf numFmtId="0" fontId="1" fillId="13" borderId="16" xfId="3" applyFont="1" applyBorder="1" applyAlignment="1">
      <alignment horizontal="center" vertical="center"/>
    </xf>
    <xf numFmtId="0" fontId="34" fillId="0" borderId="0" xfId="0" applyFont="1"/>
    <xf numFmtId="0" fontId="9" fillId="8" borderId="0" xfId="8" applyFill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1" fillId="12" borderId="0" xfId="0" applyFont="1" applyFill="1" applyAlignment="1">
      <alignment horizontal="center" vertical="center"/>
    </xf>
    <xf numFmtId="0" fontId="33" fillId="8" borderId="0" xfId="5" applyFont="1" applyFill="1" applyAlignment="1">
      <alignment horizontal="center" vertical="center"/>
    </xf>
    <xf numFmtId="0" fontId="11" fillId="13" borderId="25" xfId="3" applyFont="1" applyBorder="1" applyAlignment="1">
      <alignment horizontal="center" vertical="center"/>
    </xf>
    <xf numFmtId="0" fontId="11" fillId="13" borderId="26" xfId="3" applyFont="1" applyBorder="1" applyAlignment="1">
      <alignment horizontal="center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1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23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D03162E9-A9CE-4874-8231-25794F4C4795}"/>
    <cellStyle name="Normal 2 2" xfId="5" xr:uid="{0DA6710F-CFA8-417E-BA3C-9763782721B7}"/>
    <cellStyle name="Normal 2 2 2" xfId="4" xr:uid="{1DB3230B-D7DC-47AE-BCF6-9D6C378333D3}"/>
    <cellStyle name="Normal 2 2 2 2" xfId="6" xr:uid="{FCFEFF4D-DEAB-4243-A0C6-AFD8111F00EB}"/>
    <cellStyle name="Normal 2 2 2 3" xfId="7" xr:uid="{1497A05A-371C-4E9F-8053-03A20E7469F2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7301178A42EF4C4D91A0F0E32716FE2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AC0F37F1E5F457A97120D2447D341B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F912391B85DC4EFCADCF81578E60B7A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50FCF9C3417C4E99BDF48E6B9BD9A5A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8652CA83471542E2A6F4EEF73C854E33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7CE1DC7ACC484DF9B37E067638C32C38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630DE247210948C19312EDDC80AEB59C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A2482623A480483CB53D9B87F8DB0A9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B079588F64174F78A071DDEB961412D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hv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sm_3_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M&amp;c=8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B4E1D74A71A940289365E666CBD94735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sabr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01D9-D758-4840-9D46-5FC1A4F61A99}">
  <dimension ref="A1:AA39"/>
  <sheetViews>
    <sheetView workbookViewId="0">
      <selection activeCell="B18" sqref="B18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.25" customWidth="1"/>
  </cols>
  <sheetData>
    <row r="1" spans="1:27" ht="14.3" thickBot="1" x14ac:dyDescent="0.3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3.75" customHeight="1" thickTop="1" x14ac:dyDescent="0.25">
      <c r="A2" s="4"/>
      <c r="B2" s="2" t="s">
        <v>0</v>
      </c>
      <c r="C2" s="4"/>
      <c r="D2" s="68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X2" s="274" t="s">
        <v>2</v>
      </c>
      <c r="Y2" s="275"/>
      <c r="Z2" s="275"/>
      <c r="AA2" s="276"/>
    </row>
    <row r="3" spans="1:27" ht="13.6" x14ac:dyDescent="0.25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77"/>
      <c r="Y3" s="278"/>
      <c r="Z3" s="278"/>
      <c r="AA3" s="279"/>
    </row>
    <row r="4" spans="1:27" ht="24.8" customHeight="1" thickBot="1" x14ac:dyDescent="0.25">
      <c r="A4" s="269" t="s">
        <v>4</v>
      </c>
      <c r="B4" s="271" t="s">
        <v>5</v>
      </c>
      <c r="C4" s="271" t="s">
        <v>6</v>
      </c>
      <c r="D4" s="271" t="s">
        <v>7</v>
      </c>
      <c r="E4" s="267" t="s">
        <v>8</v>
      </c>
      <c r="F4" s="268"/>
      <c r="G4" s="267" t="s">
        <v>9</v>
      </c>
      <c r="H4" s="268"/>
      <c r="I4" s="267" t="s">
        <v>10</v>
      </c>
      <c r="J4" s="268"/>
      <c r="K4" s="267" t="s">
        <v>11</v>
      </c>
      <c r="L4" s="268"/>
      <c r="M4" s="267" t="s">
        <v>12</v>
      </c>
      <c r="N4" s="268"/>
      <c r="O4" s="267" t="s">
        <v>13</v>
      </c>
      <c r="P4" s="268"/>
      <c r="Q4" s="267" t="s">
        <v>14</v>
      </c>
      <c r="R4" s="268"/>
      <c r="S4" s="267" t="s">
        <v>15</v>
      </c>
      <c r="T4" s="268"/>
      <c r="U4" s="267" t="s">
        <v>16</v>
      </c>
      <c r="V4" s="268"/>
      <c r="X4" s="280"/>
      <c r="Y4" s="281"/>
      <c r="Z4" s="281"/>
      <c r="AA4" s="282"/>
    </row>
    <row r="5" spans="1:27" ht="18" customHeight="1" thickTop="1" x14ac:dyDescent="0.2">
      <c r="A5" s="270"/>
      <c r="B5" s="272"/>
      <c r="C5" s="272"/>
      <c r="D5" s="273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7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3" t="s">
        <v>17</v>
      </c>
      <c r="V5" s="7" t="s">
        <v>18</v>
      </c>
    </row>
    <row r="6" spans="1:27" ht="14.8" customHeight="1" x14ac:dyDescent="0.25">
      <c r="A6" s="8">
        <f>ROW()-5</f>
        <v>1</v>
      </c>
      <c r="B6" s="255" t="s">
        <v>20</v>
      </c>
      <c r="C6" s="256"/>
      <c r="D6" s="76">
        <f>SUM(F6,H6,J6,L6,N6,P6,R6,T6,V6)-SUM(SMALL((F6,H6,J6,L6,N6,P6,R6,T6),1),SMALL((F6,H6,J6,L6,N6,P6,R6,T6),2))</f>
        <v>517.4989032471683</v>
      </c>
      <c r="E6" s="9" t="str">
        <f>_xlfn.XLOOKUP($B6,'GP1'!$C$6:$C$101,'GP1'!$B$6:$B$101,"")</f>
        <v/>
      </c>
      <c r="F6" s="77">
        <f>_xlfn.XLOOKUP(E6,'GP1'!$B$6:$B$55,'GP1'!$A$6:$A$55,0)</f>
        <v>0</v>
      </c>
      <c r="G6" s="9" t="str">
        <f>_xlfn.XLOOKUP($B6,'GP2'!$C$6:$C$101,'GP2'!$B$6:$B$101,"")</f>
        <v/>
      </c>
      <c r="H6" s="77">
        <f>_xlfn.XLOOKUP(G6,'GP2'!$B$6:$B$55,'GP2'!$A$6:$A$55,0)</f>
        <v>0</v>
      </c>
      <c r="I6" s="9" t="str">
        <f>_xlfn.XLOOKUP($B6,'GP3'!$C$6:$C$101,'GP3'!$B$6:$B$101,"")</f>
        <v>2k2</v>
      </c>
      <c r="J6" s="77">
        <f>_xlfn.XLOOKUP(I6,'GP3'!$B$6:$B$55,'GP3'!$A$6:$A$55,0)</f>
        <v>64</v>
      </c>
      <c r="K6" s="9">
        <f>_xlfn.XLOOKUP($B6,'GP4'!$C$6:$C$101,'GP4'!$B$6:$B$101,"")</f>
        <v>1</v>
      </c>
      <c r="L6" s="77">
        <f>_xlfn.XLOOKUP(K6,'GP4'!$B$6:$B$55,'GP4'!$A$6:$A$55,0)</f>
        <v>84.286609467713788</v>
      </c>
      <c r="M6" s="9">
        <f>_xlfn.XLOOKUP($B6,'GP5'!$C$6:$C$101,'GP5'!$B$6:$B$101,"")</f>
        <v>1</v>
      </c>
      <c r="N6" s="78">
        <f>_xlfn.XLOOKUP(M6,'GP5'!$B$6:$B$55,'GP5'!$A$6:$A$55,0)</f>
        <v>101.33928944905387</v>
      </c>
      <c r="O6" s="9">
        <f>_xlfn.XLOOKUP($B6,'GP6'!$C$6:$C$101,'GP6'!$B$6:$B$101,"")</f>
        <v>1</v>
      </c>
      <c r="P6" s="78">
        <f>_xlfn.XLOOKUP(O6,'GP6'!$B$6:$B$55,'GP6'!$A$6:$A$55,0)</f>
        <v>95.389783520090276</v>
      </c>
      <c r="Q6" s="9">
        <f>_xlfn.XLOOKUP($B6,'GP7'!$C$6:$C$101,'GP7'!$B$6:$B$101,"")</f>
        <v>1</v>
      </c>
      <c r="R6" s="78">
        <f>_xlfn.XLOOKUP(Q6,'GP7'!$B$6:$B$55,'GP7'!$A$6:$A$55,0)</f>
        <v>71.339289449053865</v>
      </c>
      <c r="S6" s="9" t="str">
        <f>_xlfn.XLOOKUP($B6,'GP8'!$C$6:$C$101,'GP8'!$B$6:$B$101,"")</f>
        <v/>
      </c>
      <c r="T6" s="78">
        <f>_xlfn.XLOOKUP(S6,'GP8'!$B$6:$B$55,'GP8'!$A$6:$A$55,0)</f>
        <v>0</v>
      </c>
      <c r="U6" s="9">
        <f>_xlfn.XLOOKUP(B6,MPW!C$6:C$101,MPW!B$6:B$101,"")</f>
        <v>1</v>
      </c>
      <c r="V6" s="78">
        <f>_xlfn.XLOOKUP(U6,MPW!B$6:B$55,MPW!A$6:A$55,0)</f>
        <v>101.14393136125655</v>
      </c>
    </row>
    <row r="7" spans="1:27" ht="14.8" customHeight="1" x14ac:dyDescent="0.25">
      <c r="A7" s="8">
        <f>ROW()-5</f>
        <v>2</v>
      </c>
      <c r="B7" s="131" t="s">
        <v>19</v>
      </c>
      <c r="C7" s="257"/>
      <c r="D7" s="76">
        <f>SUM(F7,H7,J7,L7,N7,P7,R7,T7,V7)-SUM(SMALL((F7,H7,J7,L7,N7,P7,R7,T7),1),SMALL((F7,H7,J7,L7,N7,P7,R7,T7),2))</f>
        <v>264.16149943178743</v>
      </c>
      <c r="E7" s="9">
        <f>_xlfn.XLOOKUP($B7,'GP1'!$C$6:$C$101,'GP1'!$B$6:$B$101,"")</f>
        <v>1</v>
      </c>
      <c r="F7" s="77">
        <f>_xlfn.XLOOKUP(E7,'GP1'!$B$6:$B$55,'GP1'!$A$6:$A$55,0)</f>
        <v>84.286609467713788</v>
      </c>
      <c r="G7" s="9">
        <f>_xlfn.XLOOKUP($B7,'GP2'!$C$6:$C$101,'GP2'!$B$6:$B$101,"")</f>
        <v>1</v>
      </c>
      <c r="H7" s="77">
        <f>_xlfn.XLOOKUP(G7,'GP2'!$B$6:$B$55,'GP2'!$A$6:$A$55,0)</f>
        <v>82.980246132766666</v>
      </c>
      <c r="I7" s="9">
        <f>_xlfn.XLOOKUP($B7,'GP3'!$C$6:$C$101,'GP3'!$B$6:$B$101,"")</f>
        <v>2</v>
      </c>
      <c r="J7" s="77">
        <f>_xlfn.XLOOKUP(I7,'GP3'!$B$6:$B$55,'GP3'!$A$6:$A$55,0)</f>
        <v>37.73793949684304</v>
      </c>
      <c r="K7" s="9" t="str">
        <f>_xlfn.XLOOKUP($B7,'GP4'!$C$6:$C$101,'GP4'!$B$6:$B$101,"")</f>
        <v/>
      </c>
      <c r="L7" s="77">
        <f>_xlfn.XLOOKUP(K7,'GP4'!$B$6:$B$55,'GP4'!$A$6:$A$55,0)</f>
        <v>0</v>
      </c>
      <c r="M7" s="9" t="str">
        <f>_xlfn.XLOOKUP($B7,'GP5'!$C$6:$C$101,'GP5'!$B$6:$B$101,"")</f>
        <v/>
      </c>
      <c r="N7" s="78">
        <f>_xlfn.XLOOKUP(M7,'GP5'!$B$6:$B$55,'GP5'!$A$6:$A$55,0)</f>
        <v>0</v>
      </c>
      <c r="O7" s="9">
        <f>_xlfn.XLOOKUP($B7,'GP6'!$C$6:$C$101,'GP6'!$B$6:$B$101,"")</f>
        <v>2</v>
      </c>
      <c r="P7" s="78">
        <f>_xlfn.XLOOKUP(O7,'GP6'!$B$6:$B$55,'GP6'!$A$6:$A$55,0)</f>
        <v>59.156704334463925</v>
      </c>
      <c r="Q7" s="9" t="str">
        <f>_xlfn.XLOOKUP($B7,'GP7'!$C$6:$C$101,'GP7'!$B$6:$B$101,"")</f>
        <v/>
      </c>
      <c r="R7" s="78">
        <f>_xlfn.XLOOKUP(Q7,'GP7'!$B$6:$B$55,'GP7'!$A$6:$A$55,0)</f>
        <v>0</v>
      </c>
      <c r="S7" s="9" t="str">
        <f>_xlfn.XLOOKUP($B7,'GP8'!$C$6:$C$101,'GP8'!$B$6:$B$101,"")</f>
        <v/>
      </c>
      <c r="T7" s="78">
        <f>_xlfn.XLOOKUP(S7,'GP8'!$B$6:$B$55,'GP8'!$A$6:$A$55,0)</f>
        <v>0</v>
      </c>
      <c r="U7" s="9" t="str">
        <f>_xlfn.XLOOKUP(B7,MPW!C$6:C$101,MPW!B$6:B$101,"")</f>
        <v/>
      </c>
      <c r="V7" s="78">
        <f>_xlfn.XLOOKUP(U7,MPW!B$6:B$55,MPW!A$6:A$55,0)</f>
        <v>0</v>
      </c>
    </row>
    <row r="8" spans="1:27" ht="15.8" customHeight="1" x14ac:dyDescent="0.25">
      <c r="A8" s="8">
        <f>ROW()-5</f>
        <v>3</v>
      </c>
      <c r="B8" s="131" t="s">
        <v>21</v>
      </c>
      <c r="C8" s="11"/>
      <c r="D8" s="76">
        <f>SUM(F8,H8,J8,L8,N8,P8,R8,T8,V8)-SUM(SMALL((F8,H8,J8,L8,N8,P8,R8,T8),1),SMALL((F8,H8,J8,L8,N8,P8,R8,T8),2))</f>
        <v>162.37755004436394</v>
      </c>
      <c r="E8" s="9" t="str">
        <f>_xlfn.XLOOKUP($B8,'GP1'!$C$6:$C$101,'GP1'!$B$6:$B$101,"")</f>
        <v/>
      </c>
      <c r="F8" s="77">
        <f>_xlfn.XLOOKUP(E8,'GP1'!$B$6:$B$55,'GP1'!$A$6:$A$55,0)</f>
        <v>0</v>
      </c>
      <c r="G8" s="9" t="str">
        <f>_xlfn.XLOOKUP($B8,'GP2'!$C$6:$C$101,'GP2'!$B$6:$B$101,"")</f>
        <v/>
      </c>
      <c r="H8" s="77">
        <f>_xlfn.XLOOKUP(G8,'GP2'!$B$6:$B$55,'GP2'!$A$6:$A$55,0)</f>
        <v>0</v>
      </c>
      <c r="I8" s="9">
        <f>_xlfn.XLOOKUP($B8,'GP3'!$C$6:$C$101,'GP3'!$B$6:$B$101,"")</f>
        <v>3</v>
      </c>
      <c r="J8" s="77">
        <f>_xlfn.XLOOKUP(I8,'GP3'!$B$6:$B$55,'GP3'!$A$6:$A$55,0)</f>
        <v>5.3267487109222245</v>
      </c>
      <c r="K8" s="9" t="str">
        <f>_xlfn.XLOOKUP($B8,'GP4'!$C$6:$C$101,'GP4'!$B$6:$B$101,"")</f>
        <v/>
      </c>
      <c r="L8" s="77">
        <f>_xlfn.XLOOKUP(K8,'GP4'!$B$6:$B$55,'GP4'!$A$6:$A$55,0)</f>
        <v>0</v>
      </c>
      <c r="M8" s="9" t="str">
        <f>_xlfn.XLOOKUP($B8,'GP5'!$C$6:$C$101,'GP5'!$B$6:$B$101,"")</f>
        <v/>
      </c>
      <c r="N8" s="78">
        <f>_xlfn.XLOOKUP(M8,'GP5'!$B$6:$B$55,'GP5'!$A$6:$A$55,0)</f>
        <v>0</v>
      </c>
      <c r="O8" s="9">
        <f>_xlfn.XLOOKUP($B8,'GP6'!$C$6:$C$101,'GP6'!$B$6:$B$101,"")</f>
        <v>3</v>
      </c>
      <c r="P8" s="78">
        <f>_xlfn.XLOOKUP(O8,'GP6'!$B$6:$B$55,'GP6'!$A$6:$A$55,0)</f>
        <v>31.682224310216817</v>
      </c>
      <c r="Q8" s="9" t="str">
        <f>_xlfn.XLOOKUP($B8,'GP7'!$C$6:$C$101,'GP7'!$B$6:$B$101,"")</f>
        <v/>
      </c>
      <c r="R8" s="78">
        <f>_xlfn.XLOOKUP(Q8,'GP7'!$B$6:$B$55,'GP7'!$A$6:$A$55,0)</f>
        <v>0</v>
      </c>
      <c r="S8" s="9">
        <f>_xlfn.XLOOKUP($B8,'GP8'!$C$6:$C$101,'GP8'!$B$6:$B$101,"")</f>
        <v>1</v>
      </c>
      <c r="T8" s="78">
        <f>_xlfn.XLOOKUP(S8,'GP8'!$B$6:$B$55,'GP8'!$A$6:$A$55,0)</f>
        <v>71.339289449053865</v>
      </c>
      <c r="U8" s="9">
        <f>_xlfn.XLOOKUP(B8,MPW!C$6:C$101,MPW!B$6:B$101,"")</f>
        <v>2</v>
      </c>
      <c r="V8" s="78">
        <f>_xlfn.XLOOKUP(U8,MPW!B$6:B$55,MPW!A$6:A$55,0)</f>
        <v>54.029287574171029</v>
      </c>
    </row>
    <row r="9" spans="1:27" ht="14.8" customHeight="1" x14ac:dyDescent="0.25">
      <c r="A9" s="8">
        <f>ROW()-5</f>
        <v>4</v>
      </c>
      <c r="B9" s="207" t="s">
        <v>24</v>
      </c>
      <c r="C9" s="11"/>
      <c r="D9" s="76">
        <f>SUM(F9,H9,J9,L9,N9,P9,R9,T9,V9)-SUM(SMALL((F9,H9,J9,L9,N9,P9,R9,T9),1),SMALL((F9,H9,J9,L9,N9,P9,R9,T9),2))</f>
        <v>83.960118061665767</v>
      </c>
      <c r="E9" s="9" t="str">
        <f>_xlfn.XLOOKUP($B9,'GP1'!$C$6:$C$101,'GP1'!$B$6:$B$101,"")</f>
        <v/>
      </c>
      <c r="F9" s="77">
        <f>_xlfn.XLOOKUP(E9,'GP1'!$B$6:$B$55,'GP1'!$A$6:$A$55,0)</f>
        <v>0</v>
      </c>
      <c r="G9" s="9" t="str">
        <f>_xlfn.XLOOKUP($B9,'GP2'!$C$6:$C$101,'GP2'!$B$6:$B$101,"")</f>
        <v>9k2</v>
      </c>
      <c r="H9" s="77">
        <f>_xlfn.XLOOKUP(G9,'GP2'!$B$6:$B$55,'GP2'!$A$6:$A$55,0)</f>
        <v>3</v>
      </c>
      <c r="I9" s="9" t="str">
        <f>_xlfn.XLOOKUP($B9,'GP3'!$C$6:$C$101,'GP3'!$B$6:$B$101,"")</f>
        <v>7k2</v>
      </c>
      <c r="J9" s="77">
        <f>_xlfn.XLOOKUP(I9,'GP3'!$B$6:$B$55,'GP3'!$A$6:$A$55,0)</f>
        <v>1</v>
      </c>
      <c r="K9" s="9">
        <f>_xlfn.XLOOKUP($B9,'GP4'!$C$6:$C$101,'GP4'!$B$6:$B$101,"")</f>
        <v>3</v>
      </c>
      <c r="L9" s="77">
        <f>_xlfn.XLOOKUP(K9,'GP4'!$B$6:$B$55,'GP4'!$A$6:$A$55,0)</f>
        <v>15.930621888236271</v>
      </c>
      <c r="M9" s="9">
        <f>_xlfn.XLOOKUP($B9,'GP5'!$C$6:$C$101,'GP5'!$B$6:$B$101,"")</f>
        <v>2</v>
      </c>
      <c r="N9" s="78">
        <f>_xlfn.XLOOKUP(M9,'GP5'!$B$6:$B$55,'GP5'!$A$6:$A$55,0)</f>
        <v>18.559526299369239</v>
      </c>
      <c r="O9" s="9">
        <f>_xlfn.XLOOKUP($B9,'GP6'!$C$6:$C$101,'GP6'!$B$6:$B$101,"")</f>
        <v>4</v>
      </c>
      <c r="P9" s="78">
        <f>_xlfn.XLOOKUP(O9,'GP6'!$B$6:$B$55,'GP6'!$A$6:$A$55,0)</f>
        <v>17.793697308807488</v>
      </c>
      <c r="Q9" s="9">
        <f>_xlfn.XLOOKUP($B9,'GP7'!$C$6:$C$101,'GP7'!$B$6:$B$101,"")</f>
        <v>2</v>
      </c>
      <c r="R9" s="78">
        <f>_xlfn.XLOOKUP(Q9,'GP7'!$B$6:$B$55,'GP7'!$A$6:$A$55,0)</f>
        <v>8.5595262993692387</v>
      </c>
      <c r="S9" s="9" t="str">
        <f>_xlfn.XLOOKUP($B9,'GP8'!$C$6:$C$101,'GP8'!$B$6:$B$101,"")</f>
        <v/>
      </c>
      <c r="T9" s="78">
        <f>_xlfn.XLOOKUP(S9,'GP8'!$B$6:$B$55,'GP8'!$A$6:$A$55,0)</f>
        <v>0</v>
      </c>
      <c r="U9" s="9">
        <f>_xlfn.XLOOKUP(B9,MPW!C$6:C$101,MPW!B$6:B$101,"")</f>
        <v>3</v>
      </c>
      <c r="V9" s="78">
        <f>_xlfn.XLOOKUP(U9,MPW!B$6:B$55,MPW!A$6:A$55,0)</f>
        <v>19.116746265883524</v>
      </c>
    </row>
    <row r="10" spans="1:27" ht="14.8" customHeight="1" x14ac:dyDescent="0.25">
      <c r="A10" s="8">
        <f>ROW()-5</f>
        <v>5</v>
      </c>
      <c r="B10" s="131" t="s">
        <v>22</v>
      </c>
      <c r="C10" s="11"/>
      <c r="D10" s="76">
        <f>SUM(F10,H10,J10,L10,N10,P10,R10,T10,V10)-SUM(SMALL((F10,H10,J10,L10,N10,P10,R10,T10),1),SMALL((F10,H10,J10,L10,N10,P10,R10,T10),2))</f>
        <v>82.980246132766666</v>
      </c>
      <c r="E10" s="9" t="str">
        <f>_xlfn.XLOOKUP($B10,'GP1'!$C$6:$C$101,'GP1'!$B$6:$B$101,"")</f>
        <v/>
      </c>
      <c r="F10" s="77">
        <f>_xlfn.XLOOKUP(E10,'GP1'!$B$6:$B$55,'GP1'!$A$6:$A$55,0)</f>
        <v>0</v>
      </c>
      <c r="G10" s="9" t="str">
        <f>_xlfn.XLOOKUP($B10,'GP2'!$C$6:$C$101,'GP2'!$B$6:$B$101,"")</f>
        <v/>
      </c>
      <c r="H10" s="77">
        <f>_xlfn.XLOOKUP(G10,'GP2'!$B$6:$B$55,'GP2'!$A$6:$A$55,0)</f>
        <v>0</v>
      </c>
      <c r="I10" s="9">
        <f>_xlfn.XLOOKUP($B10,'GP3'!$C$6:$C$101,'GP3'!$B$6:$B$101,"")</f>
        <v>1</v>
      </c>
      <c r="J10" s="77">
        <f>_xlfn.XLOOKUP(I10,'GP3'!$B$6:$B$55,'GP3'!$A$6:$A$55,0)</f>
        <v>82.980246132766666</v>
      </c>
      <c r="K10" s="9" t="str">
        <f>_xlfn.XLOOKUP($B10,'GP4'!$C$6:$C$101,'GP4'!$B$6:$B$101,"")</f>
        <v/>
      </c>
      <c r="L10" s="77">
        <f>_xlfn.XLOOKUP(K10,'GP4'!$B$6:$B$55,'GP4'!$A$6:$A$55,0)</f>
        <v>0</v>
      </c>
      <c r="M10" s="9" t="str">
        <f>_xlfn.XLOOKUP($B10,'GP5'!$C$6:$C$101,'GP5'!$B$6:$B$101,"")</f>
        <v/>
      </c>
      <c r="N10" s="78">
        <f>_xlfn.XLOOKUP(M10,'GP5'!$B$6:$B$55,'GP5'!$A$6:$A$55,0)</f>
        <v>0</v>
      </c>
      <c r="O10" s="9" t="str">
        <f>_xlfn.XLOOKUP($B10,'GP6'!$C$6:$C$101,'GP6'!$B$6:$B$101,"")</f>
        <v/>
      </c>
      <c r="P10" s="78">
        <f>_xlfn.XLOOKUP(O10,'GP6'!$B$6:$B$55,'GP6'!$A$6:$A$55,0)</f>
        <v>0</v>
      </c>
      <c r="Q10" s="9" t="str">
        <f>_xlfn.XLOOKUP($B10,'GP7'!$C$6:$C$101,'GP7'!$B$6:$B$101,"")</f>
        <v/>
      </c>
      <c r="R10" s="78">
        <f>_xlfn.XLOOKUP(Q10,'GP7'!$B$6:$B$55,'GP7'!$A$6:$A$55,0)</f>
        <v>0</v>
      </c>
      <c r="S10" s="9" t="str">
        <f>_xlfn.XLOOKUP($B10,'GP8'!$C$6:$C$101,'GP8'!$B$6:$B$101,"")</f>
        <v/>
      </c>
      <c r="T10" s="78">
        <f>_xlfn.XLOOKUP(S10,'GP8'!$B$6:$B$55,'GP8'!$A$6:$A$55,0)</f>
        <v>0</v>
      </c>
      <c r="U10" s="9" t="str">
        <f>_xlfn.XLOOKUP(B10,MPW!C$6:C$101,MPW!B$6:B$101,"")</f>
        <v/>
      </c>
      <c r="V10" s="78">
        <f>_xlfn.XLOOKUP(U10,MPW!B$6:B$55,MPW!A$6:A$55,0)</f>
        <v>0</v>
      </c>
    </row>
    <row r="11" spans="1:27" ht="14.8" customHeight="1" x14ac:dyDescent="0.25">
      <c r="A11" s="8">
        <f>ROW()-5</f>
        <v>6</v>
      </c>
      <c r="B11" s="131" t="s">
        <v>25</v>
      </c>
      <c r="C11" s="11"/>
      <c r="D11" s="76">
        <f>SUM(F11,H11,J11,L11,N11,P11,R11,T11,V11)-SUM(SMALL((F11,H11,J11,L11,N11,P11,R11,T11),1),SMALL((F11,H11,J11,L11,N11,P11,R11,T11),2))</f>
        <v>50.351155022731419</v>
      </c>
      <c r="E11" s="9">
        <f>_xlfn.XLOOKUP($B11,'GP1'!$C$6:$C$101,'GP1'!$B$6:$B$101,"")</f>
        <v>2</v>
      </c>
      <c r="F11" s="77">
        <f>_xlfn.XLOOKUP(E11,'GP1'!$B$6:$B$55,'GP1'!$A$6:$A$55,0)</f>
        <v>45.024406311809194</v>
      </c>
      <c r="G11" s="9">
        <f>_xlfn.XLOOKUP($B11,'GP2'!$C$6:$C$101,'GP2'!$B$6:$B$101,"")</f>
        <v>3</v>
      </c>
      <c r="H11" s="77">
        <f>_xlfn.XLOOKUP(G11,'GP2'!$B$6:$B$55,'GP2'!$A$6:$A$55,0)</f>
        <v>5.3267487109222245</v>
      </c>
      <c r="I11" s="9" t="str">
        <f>_xlfn.XLOOKUP($B11,'GP3'!$C$6:$C$101,'GP3'!$B$6:$B$101,"")</f>
        <v/>
      </c>
      <c r="J11" s="77">
        <f>_xlfn.XLOOKUP(I11,'GP3'!$B$6:$B$55,'GP3'!$A$6:$A$55,0)</f>
        <v>0</v>
      </c>
      <c r="K11" s="9" t="str">
        <f>_xlfn.XLOOKUP($B11,'GP4'!$C$6:$C$101,'GP4'!$B$6:$B$101,"")</f>
        <v/>
      </c>
      <c r="L11" s="77">
        <f>_xlfn.XLOOKUP(K11,'GP4'!$B$6:$B$55,'GP4'!$A$6:$A$55,0)</f>
        <v>0</v>
      </c>
      <c r="M11" s="9" t="str">
        <f>_xlfn.XLOOKUP($B11,'GP5'!$C$6:$C$101,'GP5'!$B$6:$B$101,"")</f>
        <v/>
      </c>
      <c r="N11" s="78">
        <f>_xlfn.XLOOKUP(M11,'GP5'!$B$6:$B$55,'GP5'!$A$6:$A$55,0)</f>
        <v>0</v>
      </c>
      <c r="O11" s="9" t="str">
        <f>_xlfn.XLOOKUP($B11,'GP6'!$C$6:$C$101,'GP6'!$B$6:$B$101,"")</f>
        <v/>
      </c>
      <c r="P11" s="78">
        <f>_xlfn.XLOOKUP(O11,'GP6'!$B$6:$B$55,'GP6'!$A$6:$A$55,0)</f>
        <v>0</v>
      </c>
      <c r="Q11" s="9" t="str">
        <f>_xlfn.XLOOKUP($B11,'GP7'!$C$6:$C$101,'GP7'!$B$6:$B$101,"")</f>
        <v/>
      </c>
      <c r="R11" s="78">
        <f>_xlfn.XLOOKUP(Q11,'GP7'!$B$6:$B$55,'GP7'!$A$6:$A$55,0)</f>
        <v>0</v>
      </c>
      <c r="S11" s="9" t="str">
        <f>_xlfn.XLOOKUP($B11,'GP8'!$C$6:$C$101,'GP8'!$B$6:$B$101,"")</f>
        <v/>
      </c>
      <c r="T11" s="78">
        <f>_xlfn.XLOOKUP(S11,'GP8'!$B$6:$B$55,'GP8'!$A$6:$A$55,0)</f>
        <v>0</v>
      </c>
      <c r="U11" s="9" t="str">
        <f>_xlfn.XLOOKUP(B11,MPW!C$6:C$101,MPW!B$6:B$101,"")</f>
        <v/>
      </c>
      <c r="V11" s="78">
        <f>_xlfn.XLOOKUP(U11,MPW!B$6:B$55,MPW!A$6:A$55,0)</f>
        <v>0</v>
      </c>
    </row>
    <row r="12" spans="1:27" ht="14.8" customHeight="1" x14ac:dyDescent="0.25">
      <c r="A12" s="8">
        <f>ROW()-5</f>
        <v>7</v>
      </c>
      <c r="B12" s="207" t="s">
        <v>23</v>
      </c>
      <c r="C12" s="11"/>
      <c r="D12" s="76">
        <f>SUM(F12,H12,J12,L12,N12,P12,R12,T12,V12)-SUM(SMALL((F12,H12,J12,L12,N12,P12,R12,T12),1),SMALL((F12,H12,J12,L12,N12,P12,R12,T12),2))</f>
        <v>45.024406311809194</v>
      </c>
      <c r="E12" s="9" t="str">
        <f>_xlfn.XLOOKUP($B12,'GP1'!$C$6:$C$101,'GP1'!$B$6:$B$101,"")</f>
        <v/>
      </c>
      <c r="F12" s="77">
        <f>_xlfn.XLOOKUP(E12,'GP1'!$B$6:$B$55,'GP1'!$A$6:$A$55,0)</f>
        <v>0</v>
      </c>
      <c r="G12" s="9" t="str">
        <f>_xlfn.XLOOKUP($B12,'GP2'!$C$6:$C$101,'GP2'!$B$6:$B$101,"")</f>
        <v/>
      </c>
      <c r="H12" s="77">
        <f>_xlfn.XLOOKUP(G12,'GP2'!$B$6:$B$55,'GP2'!$A$6:$A$55,0)</f>
        <v>0</v>
      </c>
      <c r="I12" s="9" t="str">
        <f>_xlfn.XLOOKUP($B12,'GP3'!$C$6:$C$101,'GP3'!$B$6:$B$101,"")</f>
        <v/>
      </c>
      <c r="J12" s="77">
        <f>_xlfn.XLOOKUP(I12,'GP3'!$B$6:$B$55,'GP3'!$A$6:$A$55,0)</f>
        <v>0</v>
      </c>
      <c r="K12" s="9">
        <f>_xlfn.XLOOKUP($B12,'GP4'!$C$6:$C$101,'GP4'!$B$6:$B$101,"")</f>
        <v>2</v>
      </c>
      <c r="L12" s="77">
        <f>_xlfn.XLOOKUP(K12,'GP4'!$B$6:$B$55,'GP4'!$A$6:$A$55,0)</f>
        <v>45.024406311809194</v>
      </c>
      <c r="M12" s="9" t="str">
        <f>_xlfn.XLOOKUP($B12,'GP5'!$C$6:$C$101,'GP5'!$B$6:$B$101,"")</f>
        <v/>
      </c>
      <c r="N12" s="78">
        <f>_xlfn.XLOOKUP(M12,'GP5'!$B$6:$B$55,'GP5'!$A$6:$A$55,0)</f>
        <v>0</v>
      </c>
      <c r="O12" s="9" t="str">
        <f>_xlfn.XLOOKUP($B12,'GP6'!$C$6:$C$101,'GP6'!$B$6:$B$101,"")</f>
        <v/>
      </c>
      <c r="P12" s="78">
        <f>_xlfn.XLOOKUP(O12,'GP6'!$B$6:$B$55,'GP6'!$A$6:$A$55,0)</f>
        <v>0</v>
      </c>
      <c r="Q12" s="9" t="str">
        <f>_xlfn.XLOOKUP($B12,'GP7'!$C$6:$C$101,'GP7'!$B$6:$B$101,"")</f>
        <v/>
      </c>
      <c r="R12" s="78">
        <f>_xlfn.XLOOKUP(Q12,'GP7'!$B$6:$B$55,'GP7'!$A$6:$A$55,0)</f>
        <v>0</v>
      </c>
      <c r="S12" s="9" t="str">
        <f>_xlfn.XLOOKUP($B12,'GP8'!$C$6:$C$101,'GP8'!$B$6:$B$101,"")</f>
        <v/>
      </c>
      <c r="T12" s="78">
        <f>_xlfn.XLOOKUP(S12,'GP8'!$B$6:$B$55,'GP8'!$A$6:$A$55,0)</f>
        <v>0</v>
      </c>
      <c r="U12" s="9" t="str">
        <f>_xlfn.XLOOKUP(B12,MPW!C$6:C$101,MPW!B$6:B$101,"")</f>
        <v/>
      </c>
      <c r="V12" s="78">
        <f>_xlfn.XLOOKUP(U12,MPW!B$6:B$55,MPW!A$6:A$55,0)</f>
        <v>0</v>
      </c>
    </row>
    <row r="13" spans="1:27" ht="14.8" customHeight="1" x14ac:dyDescent="0.25">
      <c r="A13" s="8">
        <f>ROW()-5</f>
        <v>8</v>
      </c>
      <c r="B13" s="131" t="s">
        <v>247</v>
      </c>
      <c r="C13" s="11"/>
      <c r="D13" s="76">
        <f>SUM(F13,H13,J13,L13,N13,P13,R13,T13,V13)-SUM(SMALL((F13,H13,J13,L13,N13,P13,R13,T13),1),SMALL((F13,H13,J13,L13,N13,P13,R13,T13),2))</f>
        <v>8.5595262993692387</v>
      </c>
      <c r="E13" s="9" t="str">
        <f>_xlfn.XLOOKUP($B13,'GP1'!$C$6:$C$101,'GP1'!$B$6:$B$101,"")</f>
        <v/>
      </c>
      <c r="F13" s="77">
        <f>_xlfn.XLOOKUP(E13,'GP1'!$B$6:$B$55,'GP1'!$A$6:$A$55,0)</f>
        <v>0</v>
      </c>
      <c r="G13" s="9" t="str">
        <f>_xlfn.XLOOKUP($B13,'GP2'!$C$6:$C$101,'GP2'!$B$6:$B$101,"")</f>
        <v/>
      </c>
      <c r="H13" s="77">
        <f>_xlfn.XLOOKUP(G13,'GP2'!$B$6:$B$55,'GP2'!$A$6:$A$55,0)</f>
        <v>0</v>
      </c>
      <c r="I13" s="9" t="str">
        <f>_xlfn.XLOOKUP($B13,'GP3'!$C$6:$C$101,'GP3'!$B$6:$B$101,"")</f>
        <v/>
      </c>
      <c r="J13" s="77">
        <f>_xlfn.XLOOKUP(I13,'GP3'!$B$6:$B$55,'GP3'!$A$6:$A$55,0)</f>
        <v>0</v>
      </c>
      <c r="K13" s="9" t="str">
        <f>_xlfn.XLOOKUP($B13,'GP4'!$C$6:$C$101,'GP4'!$B$6:$B$101,"")</f>
        <v/>
      </c>
      <c r="L13" s="77">
        <f>_xlfn.XLOOKUP(K13,'GP4'!$B$6:$B$55,'GP4'!$A$6:$A$55,0)</f>
        <v>0</v>
      </c>
      <c r="M13" s="9" t="str">
        <f>_xlfn.XLOOKUP($B13,'GP5'!$C$6:$C$101,'GP5'!$B$6:$B$101,"")</f>
        <v/>
      </c>
      <c r="N13" s="78">
        <f>_xlfn.XLOOKUP(M13,'GP5'!$B$6:$B$55,'GP5'!$A$6:$A$55,0)</f>
        <v>0</v>
      </c>
      <c r="O13" s="9" t="str">
        <f>_xlfn.XLOOKUP($B13,'GP6'!$C$6:$C$101,'GP6'!$B$6:$B$101,"")</f>
        <v/>
      </c>
      <c r="P13" s="78">
        <f>_xlfn.XLOOKUP(O13,'GP6'!$B$6:$B$55,'GP6'!$A$6:$A$55,0)</f>
        <v>0</v>
      </c>
      <c r="Q13" s="9" t="str">
        <f>_xlfn.XLOOKUP($B13,'GP7'!$C$6:$C$101,'GP7'!$B$6:$B$101,"")</f>
        <v/>
      </c>
      <c r="R13" s="78">
        <f>_xlfn.XLOOKUP(Q13,'GP7'!$B$6:$B$55,'GP7'!$A$6:$A$55,0)</f>
        <v>0</v>
      </c>
      <c r="S13" s="9">
        <f>_xlfn.XLOOKUP($B13,'GP8'!$C$6:$C$101,'GP8'!$B$6:$B$101,"")</f>
        <v>2</v>
      </c>
      <c r="T13" s="78">
        <f>_xlfn.XLOOKUP(S13,'GP8'!$B$6:$B$55,'GP8'!$A$6:$A$55,0)</f>
        <v>8.5595262993692387</v>
      </c>
      <c r="U13" s="9" t="str">
        <f>_xlfn.XLOOKUP(B13,MPW!C$6:C$101,MPW!B$6:B$101,"")</f>
        <v/>
      </c>
      <c r="V13" s="78">
        <f>_xlfn.XLOOKUP(U13,MPW!B$6:B$55,MPW!A$6:A$55,0)</f>
        <v>0</v>
      </c>
    </row>
    <row r="14" spans="1:27" ht="14.8" customHeight="1" x14ac:dyDescent="0.25">
      <c r="A14" s="8">
        <f>ROW()-5</f>
        <v>9</v>
      </c>
      <c r="B14" s="131" t="s">
        <v>27</v>
      </c>
      <c r="C14" s="11"/>
      <c r="D14" s="76">
        <f>SUM(F14,H14,J14,L14,N14,P14,R14,T14,V14)-SUM(SMALL((F14,H14,J14,L14,N14,P14,R14,T14),1),SMALL((F14,H14,J14,L14,N14,P14,R14,T14),2))</f>
        <v>4.2</v>
      </c>
      <c r="E14" s="9">
        <f>_xlfn.XLOOKUP($B14,'GP1'!$C$6:$C$101,'GP1'!$B$6:$B$101,"")</f>
        <v>4</v>
      </c>
      <c r="F14" s="77">
        <f>_xlfn.XLOOKUP(E14,'GP1'!$B$6:$B$55,'GP1'!$A$6:$A$55,0)</f>
        <v>1</v>
      </c>
      <c r="G14" s="9" t="str">
        <f>_xlfn.XLOOKUP($B14,'GP2'!$C$6:$C$101,'GP2'!$B$6:$B$101,"")</f>
        <v/>
      </c>
      <c r="H14" s="77">
        <f>_xlfn.XLOOKUP(G14,'GP2'!$B$6:$B$55,'GP2'!$A$6:$A$55,0)</f>
        <v>0</v>
      </c>
      <c r="I14" s="9" t="str">
        <f>_xlfn.XLOOKUP($B14,'GP3'!$C$6:$C$101,'GP3'!$B$6:$B$101,"")</f>
        <v/>
      </c>
      <c r="J14" s="77">
        <f>_xlfn.XLOOKUP(I14,'GP3'!$B$6:$B$55,'GP3'!$A$6:$A$55,0)</f>
        <v>0</v>
      </c>
      <c r="K14" s="9">
        <f>_xlfn.XLOOKUP($B14,'GP4'!$C$6:$C$101,'GP4'!$B$6:$B$101,"")</f>
        <v>4</v>
      </c>
      <c r="L14" s="77">
        <f>_xlfn.XLOOKUP(K14,'GP4'!$B$6:$B$55,'GP4'!$A$6:$A$55,0)</f>
        <v>1</v>
      </c>
      <c r="M14" s="9" t="str">
        <f>_xlfn.XLOOKUP($B14,'GP5'!$C$6:$C$101,'GP5'!$B$6:$B$101,"")</f>
        <v/>
      </c>
      <c r="N14" s="78">
        <f>_xlfn.XLOOKUP(M14,'GP5'!$B$6:$B$55,'GP5'!$A$6:$A$55,0)</f>
        <v>0</v>
      </c>
      <c r="O14" s="9">
        <f>_xlfn.XLOOKUP($B14,'GP6'!$C$6:$C$101,'GP6'!$B$6:$B$101,"")</f>
        <v>5</v>
      </c>
      <c r="P14" s="78">
        <f>_xlfn.XLOOKUP(O14,'GP6'!$B$6:$B$55,'GP6'!$A$6:$A$55,0)</f>
        <v>1</v>
      </c>
      <c r="Q14" s="9" t="str">
        <f>_xlfn.XLOOKUP($B14,'GP7'!$C$6:$C$101,'GP7'!$B$6:$B$101,"")</f>
        <v/>
      </c>
      <c r="R14" s="78">
        <f>_xlfn.XLOOKUP(Q14,'GP7'!$B$6:$B$55,'GP7'!$A$6:$A$55,0)</f>
        <v>0</v>
      </c>
      <c r="S14" s="9" t="str">
        <f>_xlfn.XLOOKUP($B14,'GP8'!$C$6:$C$101,'GP8'!$B$6:$B$101,"")</f>
        <v/>
      </c>
      <c r="T14" s="78">
        <f>_xlfn.XLOOKUP(S14,'GP8'!$B$6:$B$55,'GP8'!$A$6:$A$55,0)</f>
        <v>0</v>
      </c>
      <c r="U14" s="9">
        <f>_xlfn.XLOOKUP(B14,MPW!C$6:C$101,MPW!B$6:B$101,"")</f>
        <v>4</v>
      </c>
      <c r="V14" s="78">
        <f>_xlfn.XLOOKUP(U14,MPW!B$6:B$55,MPW!A$6:A$55,0)</f>
        <v>1.2</v>
      </c>
    </row>
    <row r="15" spans="1:27" ht="14.8" customHeight="1" x14ac:dyDescent="0.25">
      <c r="A15" s="8">
        <f>ROW()-5</f>
        <v>10</v>
      </c>
      <c r="B15" s="131" t="s">
        <v>26</v>
      </c>
      <c r="C15" s="11"/>
      <c r="D15" s="76">
        <f>SUM(F15,H15,J15,L15,N15,P15,R15,T15,V15)-SUM(SMALL((F15,H15,J15,L15,N15,P15,R15,T15),1),SMALL((F15,H15,J15,L15,N15,P15,R15,T15),2))</f>
        <v>0</v>
      </c>
      <c r="E15" s="9" t="str">
        <f>_xlfn.XLOOKUP($B15,'GP1'!$C$6:$C$101,'GP1'!$B$6:$B$101,"")</f>
        <v/>
      </c>
      <c r="F15" s="77">
        <f>_xlfn.XLOOKUP(E15,'GP1'!$B$6:$B$55,'GP1'!$A$6:$A$55,0)</f>
        <v>0</v>
      </c>
      <c r="G15" s="9" t="str">
        <f>_xlfn.XLOOKUP($B15,'GP2'!$C$6:$C$101,'GP2'!$B$6:$B$101,"")</f>
        <v/>
      </c>
      <c r="H15" s="77">
        <f>_xlfn.XLOOKUP(G15,'GP2'!$B$6:$B$55,'GP2'!$A$6:$A$55,0)</f>
        <v>0</v>
      </c>
      <c r="I15" s="9" t="str">
        <f>_xlfn.XLOOKUP($B15,'GP3'!$C$6:$C$101,'GP3'!$B$6:$B$101,"")</f>
        <v/>
      </c>
      <c r="J15" s="77">
        <f>_xlfn.XLOOKUP(I15,'GP3'!$B$6:$B$55,'GP3'!$A$6:$A$55,0)</f>
        <v>0</v>
      </c>
      <c r="K15" s="9" t="str">
        <f>_xlfn.XLOOKUP($B15,'GP4'!$C$6:$C$101,'GP4'!$B$6:$B$101,"")</f>
        <v/>
      </c>
      <c r="L15" s="77">
        <f>_xlfn.XLOOKUP(K15,'GP4'!$B$6:$B$55,'GP4'!$A$6:$A$55,0)</f>
        <v>0</v>
      </c>
      <c r="M15" s="9" t="str">
        <f>_xlfn.XLOOKUP($B15,'GP5'!$C$6:$C$101,'GP5'!$B$6:$B$101,"")</f>
        <v/>
      </c>
      <c r="N15" s="78">
        <f>_xlfn.XLOOKUP(M15,'GP5'!$B$6:$B$55,'GP5'!$A$6:$A$55,0)</f>
        <v>0</v>
      </c>
      <c r="O15" s="9" t="str">
        <f>_xlfn.XLOOKUP($B15,'GP6'!$C$6:$C$101,'GP6'!$B$6:$B$101,"")</f>
        <v/>
      </c>
      <c r="P15" s="78">
        <f>_xlfn.XLOOKUP(O15,'GP6'!$B$6:$B$55,'GP6'!$A$6:$A$55,0)</f>
        <v>0</v>
      </c>
      <c r="Q15" s="9" t="str">
        <f>_xlfn.XLOOKUP($B15,'GP7'!$C$6:$C$101,'GP7'!$B$6:$B$101,"")</f>
        <v/>
      </c>
      <c r="R15" s="78">
        <f>_xlfn.XLOOKUP(Q15,'GP7'!$B$6:$B$55,'GP7'!$A$6:$A$55,0)</f>
        <v>0</v>
      </c>
      <c r="S15" s="9" t="str">
        <f>_xlfn.XLOOKUP($B15,'GP8'!$C$6:$C$101,'GP8'!$B$6:$B$101,"")</f>
        <v/>
      </c>
      <c r="T15" s="78">
        <f>_xlfn.XLOOKUP(S15,'GP8'!$B$6:$B$55,'GP8'!$A$6:$A$55,0)</f>
        <v>0</v>
      </c>
      <c r="U15" s="9" t="str">
        <f>_xlfn.XLOOKUP(B15,MPW!C$6:C$101,MPW!B$6:B$101,"")</f>
        <v/>
      </c>
      <c r="V15" s="78">
        <f>_xlfn.XLOOKUP(U15,MPW!B$6:B$55,MPW!A$6:A$55,0)</f>
        <v>0</v>
      </c>
    </row>
    <row r="16" spans="1:27" ht="14.8" customHeight="1" x14ac:dyDescent="0.25">
      <c r="A16" s="8">
        <f>ROW()-5</f>
        <v>11</v>
      </c>
      <c r="B16" s="131" t="s">
        <v>28</v>
      </c>
      <c r="C16" s="11"/>
      <c r="D16" s="76">
        <f>SUM(F16,H16,J16,L16,N16,P16,R16,T16,V16)-SUM(SMALL((F16,H16,J16,L16,N16,P16,R16,T16),1),SMALL((F16,H16,J16,L16,N16,P16,R16,T16),2))</f>
        <v>0</v>
      </c>
      <c r="E16" s="9" t="str">
        <f>_xlfn.XLOOKUP($B16,'GP1'!$C$6:$C$101,'GP1'!$B$6:$B$101,"")</f>
        <v/>
      </c>
      <c r="F16" s="77">
        <f>_xlfn.XLOOKUP(E16,'GP1'!$B$6:$B$55,'GP1'!$A$6:$A$55,0)</f>
        <v>0</v>
      </c>
      <c r="G16" s="9" t="str">
        <f>_xlfn.XLOOKUP($B16,'GP2'!$C$6:$C$101,'GP2'!$B$6:$B$101,"")</f>
        <v/>
      </c>
      <c r="H16" s="77">
        <f>_xlfn.XLOOKUP(G16,'GP2'!$B$6:$B$55,'GP2'!$A$6:$A$55,0)</f>
        <v>0</v>
      </c>
      <c r="I16" s="9" t="str">
        <f>_xlfn.XLOOKUP($B16,'GP3'!$C$6:$C$101,'GP3'!$B$6:$B$101,"")</f>
        <v/>
      </c>
      <c r="J16" s="77">
        <f>_xlfn.XLOOKUP(I16,'GP3'!$B$6:$B$55,'GP3'!$A$6:$A$55,0)</f>
        <v>0</v>
      </c>
      <c r="K16" s="9" t="str">
        <f>_xlfn.XLOOKUP($B16,'GP4'!$C$6:$C$101,'GP4'!$B$6:$B$101,"")</f>
        <v/>
      </c>
      <c r="L16" s="77">
        <f>_xlfn.XLOOKUP(K16,'GP4'!$B$6:$B$55,'GP4'!$A$6:$A$55,0)</f>
        <v>0</v>
      </c>
      <c r="M16" s="9" t="str">
        <f>_xlfn.XLOOKUP($B16,'GP5'!$C$6:$C$101,'GP5'!$B$6:$B$101,"")</f>
        <v/>
      </c>
      <c r="N16" s="78">
        <f>_xlfn.XLOOKUP(M16,'GP5'!$B$6:$B$55,'GP5'!$A$6:$A$55,0)</f>
        <v>0</v>
      </c>
      <c r="O16" s="9" t="str">
        <f>_xlfn.XLOOKUP($B16,'GP6'!$C$6:$C$101,'GP6'!$B$6:$B$101,"")</f>
        <v/>
      </c>
      <c r="P16" s="78">
        <f>_xlfn.XLOOKUP(O16,'GP6'!$B$6:$B$55,'GP6'!$A$6:$A$55,0)</f>
        <v>0</v>
      </c>
      <c r="Q16" s="9" t="str">
        <f>_xlfn.XLOOKUP($B16,'GP7'!$C$6:$C$101,'GP7'!$B$6:$B$101,"")</f>
        <v/>
      </c>
      <c r="R16" s="78">
        <f>_xlfn.XLOOKUP(Q16,'GP7'!$B$6:$B$55,'GP7'!$A$6:$A$55,0)</f>
        <v>0</v>
      </c>
      <c r="S16" s="9" t="str">
        <f>_xlfn.XLOOKUP($B16,'GP8'!$C$6:$C$101,'GP8'!$B$6:$B$101,"")</f>
        <v/>
      </c>
      <c r="T16" s="78">
        <f>_xlfn.XLOOKUP(S16,'GP8'!$B$6:$B$55,'GP8'!$A$6:$A$55,0)</f>
        <v>0</v>
      </c>
      <c r="U16" s="9" t="str">
        <f>_xlfn.XLOOKUP(B16,MPW!C$6:C$101,MPW!B$6:B$101,"")</f>
        <v/>
      </c>
      <c r="V16" s="78">
        <f>_xlfn.XLOOKUP(U16,MPW!B$6:B$55,MPW!A$6:A$55,0)</f>
        <v>0</v>
      </c>
    </row>
    <row r="17" spans="1:22" ht="14.8" customHeight="1" x14ac:dyDescent="0.25">
      <c r="A17" s="8">
        <f>ROW()-5</f>
        <v>12</v>
      </c>
      <c r="B17" s="10"/>
      <c r="C17" s="11"/>
      <c r="D17" s="76">
        <f>SUM(F17,H17,J17,L17,N17,P17,R17,T17,V17)-SUM(SMALL((F17,H17,J17,L17,N17,P17,R17,T17),1),SMALL((F17,H17,J17,L17,N17,P17,R17,T17),2))</f>
        <v>0</v>
      </c>
      <c r="E17" s="9" t="str">
        <f>_xlfn.XLOOKUP($B17,'GP1'!$C$6:$C$101,'GP1'!$B$6:$B$101,"")</f>
        <v/>
      </c>
      <c r="F17" s="77">
        <f>_xlfn.XLOOKUP(E17,'GP1'!$B$6:$B$55,'GP1'!$A$6:$A$55,0)</f>
        <v>0</v>
      </c>
      <c r="G17" s="9">
        <f>_xlfn.XLOOKUP($B17,'GP2'!$C$6:$C$101,'GP2'!$B$6:$B$101,"")</f>
        <v>0</v>
      </c>
      <c r="H17" s="77">
        <f>_xlfn.XLOOKUP(G17,'GP2'!$B$6:$B$55,'GP2'!$A$6:$A$55,0)</f>
        <v>0</v>
      </c>
      <c r="I17" s="9" t="str">
        <f>_xlfn.XLOOKUP($B17,'GP3'!$C$6:$C$101,'GP3'!$B$6:$B$101,"")</f>
        <v/>
      </c>
      <c r="J17" s="77">
        <f>_xlfn.XLOOKUP(I17,'GP3'!$B$6:$B$55,'GP3'!$A$6:$A$55,0)</f>
        <v>0</v>
      </c>
      <c r="K17" s="9" t="str">
        <f>_xlfn.XLOOKUP($B17,'GP4'!$C$6:$C$101,'GP4'!$B$6:$B$101,"")</f>
        <v/>
      </c>
      <c r="L17" s="77">
        <f>_xlfn.XLOOKUP(K17,'GP4'!$B$6:$B$55,'GP4'!$A$6:$A$55,0)</f>
        <v>0</v>
      </c>
      <c r="M17" s="9" t="str">
        <f>_xlfn.XLOOKUP($B17,'GP5'!$C$6:$C$101,'GP5'!$B$6:$B$101,"")</f>
        <v/>
      </c>
      <c r="N17" s="78">
        <f>_xlfn.XLOOKUP(M17,'GP5'!$B$6:$B$55,'GP5'!$A$6:$A$55,0)</f>
        <v>0</v>
      </c>
      <c r="O17" s="9" t="str">
        <f>_xlfn.XLOOKUP($B17,'GP6'!$C$6:$C$101,'GP6'!$B$6:$B$101,"")</f>
        <v/>
      </c>
      <c r="P17" s="78">
        <f>_xlfn.XLOOKUP(O17,'GP6'!$B$6:$B$55,'GP6'!$A$6:$A$55,0)</f>
        <v>0</v>
      </c>
      <c r="Q17" s="9" t="str">
        <f>_xlfn.XLOOKUP($B17,'GP7'!$C$6:$C$101,'GP7'!$B$6:$B$101,"")</f>
        <v/>
      </c>
      <c r="R17" s="78">
        <f>_xlfn.XLOOKUP(Q17,'GP7'!$B$6:$B$55,'GP7'!$A$6:$A$55,0)</f>
        <v>0</v>
      </c>
      <c r="S17" s="9" t="str">
        <f>_xlfn.XLOOKUP($B17,'GP8'!$C$6:$C$101,'GP8'!$B$6:$B$101,"")</f>
        <v/>
      </c>
      <c r="T17" s="78">
        <f>_xlfn.XLOOKUP(S17,'GP8'!$B$6:$B$55,'GP8'!$A$6:$A$55,0)</f>
        <v>0</v>
      </c>
      <c r="U17" s="9" t="str">
        <f>_xlfn.XLOOKUP(B17,MPW!C$6:C$101,MPW!B$6:B$101,"")</f>
        <v/>
      </c>
      <c r="V17" s="78">
        <f>_xlfn.XLOOKUP(U17,MPW!B$6:B$55,MPW!A$6:A$55,0)</f>
        <v>0</v>
      </c>
    </row>
    <row r="18" spans="1:22" ht="14.8" customHeight="1" x14ac:dyDescent="0.25">
      <c r="A18" s="8">
        <f>ROW()-5</f>
        <v>13</v>
      </c>
      <c r="B18" s="10"/>
      <c r="C18" s="11"/>
      <c r="D18" s="76">
        <f>SUM(F18,H18,J18,L18,N18,P18,R18,T18,V18)-SUM(SMALL((F18,H18,J18,L18,N18,P18,R18,T18),1),SMALL((F18,H18,J18,L18,N18,P18,R18,T18),2))</f>
        <v>0</v>
      </c>
      <c r="E18" s="9" t="str">
        <f>_xlfn.XLOOKUP($B18,'GP1'!$C$6:$C$101,'GP1'!$B$6:$B$101,"")</f>
        <v/>
      </c>
      <c r="F18" s="77">
        <f>_xlfn.XLOOKUP(E18,'GP1'!$B$6:$B$55,'GP1'!$A$6:$A$55,0)</f>
        <v>0</v>
      </c>
      <c r="G18" s="9">
        <f>_xlfn.XLOOKUP($B18,'GP2'!$C$6:$C$101,'GP2'!$B$6:$B$101,"")</f>
        <v>0</v>
      </c>
      <c r="H18" s="77">
        <f>_xlfn.XLOOKUP(G18,'GP2'!$B$6:$B$55,'GP2'!$A$6:$A$55,0)</f>
        <v>0</v>
      </c>
      <c r="I18" s="9" t="str">
        <f>_xlfn.XLOOKUP($B18,'GP3'!$C$6:$C$101,'GP3'!$B$6:$B$101,"")</f>
        <v/>
      </c>
      <c r="J18" s="77">
        <f>_xlfn.XLOOKUP(I18,'GP3'!$B$6:$B$55,'GP3'!$A$6:$A$55,0)</f>
        <v>0</v>
      </c>
      <c r="K18" s="9" t="str">
        <f>_xlfn.XLOOKUP($B18,'GP4'!$C$6:$C$101,'GP4'!$B$6:$B$101,"")</f>
        <v/>
      </c>
      <c r="L18" s="77">
        <f>_xlfn.XLOOKUP(K18,'GP4'!$B$6:$B$55,'GP4'!$A$6:$A$55,0)</f>
        <v>0</v>
      </c>
      <c r="M18" s="9" t="str">
        <f>_xlfn.XLOOKUP($B18,'GP5'!$C$6:$C$101,'GP5'!$B$6:$B$101,"")</f>
        <v/>
      </c>
      <c r="N18" s="78">
        <f>_xlfn.XLOOKUP(M18,'GP5'!$B$6:$B$55,'GP5'!$A$6:$A$55,0)</f>
        <v>0</v>
      </c>
      <c r="O18" s="9" t="str">
        <f>_xlfn.XLOOKUP($B18,'GP6'!$C$6:$C$101,'GP6'!$B$6:$B$101,"")</f>
        <v/>
      </c>
      <c r="P18" s="78">
        <f>_xlfn.XLOOKUP(O18,'GP6'!$B$6:$B$55,'GP6'!$A$6:$A$55,0)</f>
        <v>0</v>
      </c>
      <c r="Q18" s="9" t="str">
        <f>_xlfn.XLOOKUP($B18,'GP7'!$C$6:$C$101,'GP7'!$B$6:$B$101,"")</f>
        <v/>
      </c>
      <c r="R18" s="78">
        <f>_xlfn.XLOOKUP(Q18,'GP7'!$B$6:$B$55,'GP7'!$A$6:$A$55,0)</f>
        <v>0</v>
      </c>
      <c r="S18" s="9" t="str">
        <f>_xlfn.XLOOKUP($B18,'GP8'!$C$6:$C$101,'GP8'!$B$6:$B$101,"")</f>
        <v/>
      </c>
      <c r="T18" s="78">
        <f>_xlfn.XLOOKUP(S18,'GP8'!$B$6:$B$55,'GP8'!$A$6:$A$55,0)</f>
        <v>0</v>
      </c>
      <c r="U18" s="9" t="str">
        <f>_xlfn.XLOOKUP(B18,MPW!C$6:C$101,MPW!B$6:B$101,"")</f>
        <v/>
      </c>
      <c r="V18" s="78">
        <f>_xlfn.XLOOKUP(U18,MPW!B$6:B$55,MPW!A$6:A$55,0)</f>
        <v>0</v>
      </c>
    </row>
    <row r="19" spans="1:22" ht="14.8" customHeight="1" x14ac:dyDescent="0.25">
      <c r="A19" s="8">
        <f>ROW()-5</f>
        <v>14</v>
      </c>
      <c r="B19" s="10"/>
      <c r="C19" s="11"/>
      <c r="D19" s="76">
        <f>SUM(F19,H19,J19,L19,N19,P19,R19,T19,V19)-SUM(SMALL((F19,H19,J19,L19,N19,P19,R19,T19),1),SMALL((F19,H19,J19,L19,N19,P19,R19,T19),2))</f>
        <v>0</v>
      </c>
      <c r="E19" s="9" t="str">
        <f>_xlfn.XLOOKUP($B19,'GP1'!$C$6:$C$101,'GP1'!$B$6:$B$101,"")</f>
        <v/>
      </c>
      <c r="F19" s="77">
        <f>_xlfn.XLOOKUP(E19,'GP1'!$B$6:$B$55,'GP1'!$A$6:$A$55,0)</f>
        <v>0</v>
      </c>
      <c r="G19" s="9">
        <f>_xlfn.XLOOKUP($B19,'GP2'!$C$6:$C$101,'GP2'!$B$6:$B$101,"")</f>
        <v>0</v>
      </c>
      <c r="H19" s="77">
        <f>_xlfn.XLOOKUP(G19,'GP2'!$B$6:$B$55,'GP2'!$A$6:$A$55,0)</f>
        <v>0</v>
      </c>
      <c r="I19" s="9" t="str">
        <f>_xlfn.XLOOKUP($B19,'GP3'!$C$6:$C$101,'GP3'!$B$6:$B$101,"")</f>
        <v/>
      </c>
      <c r="J19" s="77">
        <f>_xlfn.XLOOKUP(I19,'GP3'!$B$6:$B$55,'GP3'!$A$6:$A$55,0)</f>
        <v>0</v>
      </c>
      <c r="K19" s="9" t="str">
        <f>_xlfn.XLOOKUP($B19,'GP4'!$C$6:$C$101,'GP4'!$B$6:$B$101,"")</f>
        <v/>
      </c>
      <c r="L19" s="77">
        <f>_xlfn.XLOOKUP(K19,'GP4'!$B$6:$B$55,'GP4'!$A$6:$A$55,0)</f>
        <v>0</v>
      </c>
      <c r="M19" s="9" t="str">
        <f>_xlfn.XLOOKUP($B19,'GP5'!$C$6:$C$101,'GP5'!$B$6:$B$101,"")</f>
        <v/>
      </c>
      <c r="N19" s="78">
        <f>_xlfn.XLOOKUP(M19,'GP5'!$B$6:$B$55,'GP5'!$A$6:$A$55,0)</f>
        <v>0</v>
      </c>
      <c r="O19" s="9" t="str">
        <f>_xlfn.XLOOKUP($B19,'GP6'!$C$6:$C$101,'GP6'!$B$6:$B$101,"")</f>
        <v/>
      </c>
      <c r="P19" s="78">
        <f>_xlfn.XLOOKUP(O19,'GP6'!$B$6:$B$55,'GP6'!$A$6:$A$55,0)</f>
        <v>0</v>
      </c>
      <c r="Q19" s="9" t="str">
        <f>_xlfn.XLOOKUP($B19,'GP7'!$C$6:$C$101,'GP7'!$B$6:$B$101,"")</f>
        <v/>
      </c>
      <c r="R19" s="78">
        <f>_xlfn.XLOOKUP(Q19,'GP7'!$B$6:$B$55,'GP7'!$A$6:$A$55,0)</f>
        <v>0</v>
      </c>
      <c r="S19" s="9" t="str">
        <f>_xlfn.XLOOKUP($B19,'GP8'!$C$6:$C$101,'GP8'!$B$6:$B$101,"")</f>
        <v/>
      </c>
      <c r="T19" s="78">
        <f>_xlfn.XLOOKUP(S19,'GP8'!$B$6:$B$55,'GP8'!$A$6:$A$55,0)</f>
        <v>0</v>
      </c>
      <c r="U19" s="9" t="str">
        <f>_xlfn.XLOOKUP(B19,MPW!C$6:C$101,MPW!B$6:B$101,"")</f>
        <v/>
      </c>
      <c r="V19" s="78">
        <f>_xlfn.XLOOKUP(U19,MPW!B$6:B$55,MPW!A$6:A$55,0)</f>
        <v>0</v>
      </c>
    </row>
    <row r="20" spans="1:22" ht="14.8" customHeight="1" x14ac:dyDescent="0.25">
      <c r="A20" s="8">
        <f>ROW()-5</f>
        <v>15</v>
      </c>
      <c r="B20" s="10"/>
      <c r="C20" s="11"/>
      <c r="D20" s="76">
        <f>SUM(F20,H20,J20,L20,N20,P20,R20,T20,V20)-SUM(SMALL((F20,H20,J20,L20,N20,P20,R20,T20),1),SMALL((F20,H20,J20,L20,N20,P20,R20,T20),2))</f>
        <v>0</v>
      </c>
      <c r="E20" s="9" t="str">
        <f>_xlfn.XLOOKUP($B20,'GP1'!$C$6:$C$101,'GP1'!$B$6:$B$101,"")</f>
        <v/>
      </c>
      <c r="F20" s="77">
        <f>_xlfn.XLOOKUP(E20,'GP1'!$B$6:$B$55,'GP1'!$A$6:$A$55,0)</f>
        <v>0</v>
      </c>
      <c r="G20" s="9">
        <f>_xlfn.XLOOKUP($B20,'GP2'!$C$6:$C$101,'GP2'!$B$6:$B$101,"")</f>
        <v>0</v>
      </c>
      <c r="H20" s="77">
        <f>_xlfn.XLOOKUP(G20,'GP2'!$B$6:$B$55,'GP2'!$A$6:$A$55,0)</f>
        <v>0</v>
      </c>
      <c r="I20" s="9" t="str">
        <f>_xlfn.XLOOKUP($B20,'GP3'!$C$6:$C$101,'GP3'!$B$6:$B$101,"")</f>
        <v/>
      </c>
      <c r="J20" s="77">
        <f>_xlfn.XLOOKUP(I20,'GP3'!$B$6:$B$55,'GP3'!$A$6:$A$55,0)</f>
        <v>0</v>
      </c>
      <c r="K20" s="9" t="str">
        <f>_xlfn.XLOOKUP($B20,'GP4'!$C$6:$C$101,'GP4'!$B$6:$B$101,"")</f>
        <v/>
      </c>
      <c r="L20" s="77">
        <f>_xlfn.XLOOKUP(K20,'GP4'!$B$6:$B$55,'GP4'!$A$6:$A$55,0)</f>
        <v>0</v>
      </c>
      <c r="M20" s="9" t="str">
        <f>_xlfn.XLOOKUP($B20,'GP5'!$C$6:$C$101,'GP5'!$B$6:$B$101,"")</f>
        <v/>
      </c>
      <c r="N20" s="78">
        <f>_xlfn.XLOOKUP(M20,'GP5'!$B$6:$B$55,'GP5'!$A$6:$A$55,0)</f>
        <v>0</v>
      </c>
      <c r="O20" s="9" t="str">
        <f>_xlfn.XLOOKUP($B20,'GP6'!$C$6:$C$101,'GP6'!$B$6:$B$101,"")</f>
        <v/>
      </c>
      <c r="P20" s="78">
        <f>_xlfn.XLOOKUP(O20,'GP6'!$B$6:$B$55,'GP6'!$A$6:$A$55,0)</f>
        <v>0</v>
      </c>
      <c r="Q20" s="9" t="str">
        <f>_xlfn.XLOOKUP($B20,'GP7'!$C$6:$C$101,'GP7'!$B$6:$B$101,"")</f>
        <v/>
      </c>
      <c r="R20" s="78">
        <f>_xlfn.XLOOKUP(Q20,'GP7'!$B$6:$B$55,'GP7'!$A$6:$A$55,0)</f>
        <v>0</v>
      </c>
      <c r="S20" s="9" t="str">
        <f>_xlfn.XLOOKUP($B20,'GP8'!$C$6:$C$101,'GP8'!$B$6:$B$101,"")</f>
        <v/>
      </c>
      <c r="T20" s="78">
        <f>_xlfn.XLOOKUP(S20,'GP8'!$B$6:$B$55,'GP8'!$A$6:$A$55,0)</f>
        <v>0</v>
      </c>
      <c r="U20" s="9" t="str">
        <f>_xlfn.XLOOKUP(B20,MPW!C$6:C$101,MPW!B$6:B$101,"")</f>
        <v/>
      </c>
      <c r="V20" s="78">
        <f>_xlfn.XLOOKUP(U20,MPW!B$6:B$55,MPW!A$6:A$55,0)</f>
        <v>0</v>
      </c>
    </row>
    <row r="21" spans="1:22" ht="14.8" customHeight="1" x14ac:dyDescent="0.25">
      <c r="A21" s="8">
        <f>ROW()-5</f>
        <v>16</v>
      </c>
      <c r="B21" s="10"/>
      <c r="C21" s="11"/>
      <c r="D21" s="76">
        <f>SUM(F21,H21,J21,L21,N21,P21,R21,T21,V21)-SUM(SMALL((F21,H21,J21,L21,N21,P21,R21,T21),1),SMALL((F21,H21,J21,L21,N21,P21,R21,T21),2))</f>
        <v>0</v>
      </c>
      <c r="E21" s="9" t="str">
        <f>_xlfn.XLOOKUP($B21,'GP1'!$C$6:$C$101,'GP1'!$B$6:$B$101,"")</f>
        <v/>
      </c>
      <c r="F21" s="77">
        <f>_xlfn.XLOOKUP(E21,'GP1'!$B$6:$B$55,'GP1'!$A$6:$A$55,0)</f>
        <v>0</v>
      </c>
      <c r="G21" s="9">
        <f>_xlfn.XLOOKUP($B21,'GP2'!$C$6:$C$101,'GP2'!$B$6:$B$101,"")</f>
        <v>0</v>
      </c>
      <c r="H21" s="77">
        <f>_xlfn.XLOOKUP(G21,'GP2'!$B$6:$B$55,'GP2'!$A$6:$A$55,0)</f>
        <v>0</v>
      </c>
      <c r="I21" s="9" t="str">
        <f>_xlfn.XLOOKUP($B21,'GP3'!$C$6:$C$101,'GP3'!$B$6:$B$101,"")</f>
        <v/>
      </c>
      <c r="J21" s="77">
        <f>_xlfn.XLOOKUP(I21,'GP3'!$B$6:$B$55,'GP3'!$A$6:$A$55,0)</f>
        <v>0</v>
      </c>
      <c r="K21" s="9" t="str">
        <f>_xlfn.XLOOKUP($B21,'GP4'!$C$6:$C$101,'GP4'!$B$6:$B$101,"")</f>
        <v/>
      </c>
      <c r="L21" s="77">
        <f>_xlfn.XLOOKUP(K21,'GP4'!$B$6:$B$55,'GP4'!$A$6:$A$55,0)</f>
        <v>0</v>
      </c>
      <c r="M21" s="9" t="str">
        <f>_xlfn.XLOOKUP($B21,'GP5'!$C$6:$C$101,'GP5'!$B$6:$B$101,"")</f>
        <v/>
      </c>
      <c r="N21" s="78">
        <f>_xlfn.XLOOKUP(M21,'GP5'!$B$6:$B$55,'GP5'!$A$6:$A$55,0)</f>
        <v>0</v>
      </c>
      <c r="O21" s="9" t="str">
        <f>_xlfn.XLOOKUP($B21,'GP6'!$C$6:$C$101,'GP6'!$B$6:$B$101,"")</f>
        <v/>
      </c>
      <c r="P21" s="78">
        <f>_xlfn.XLOOKUP(O21,'GP6'!$B$6:$B$55,'GP6'!$A$6:$A$55,0)</f>
        <v>0</v>
      </c>
      <c r="Q21" s="9" t="str">
        <f>_xlfn.XLOOKUP($B21,'GP7'!$C$6:$C$101,'GP7'!$B$6:$B$101,"")</f>
        <v/>
      </c>
      <c r="R21" s="78">
        <f>_xlfn.XLOOKUP(Q21,'GP7'!$B$6:$B$55,'GP7'!$A$6:$A$55,0)</f>
        <v>0</v>
      </c>
      <c r="S21" s="9" t="str">
        <f>_xlfn.XLOOKUP($B21,'GP8'!$C$6:$C$101,'GP8'!$B$6:$B$101,"")</f>
        <v/>
      </c>
      <c r="T21" s="78">
        <f>_xlfn.XLOOKUP(S21,'GP8'!$B$6:$B$55,'GP8'!$A$6:$A$55,0)</f>
        <v>0</v>
      </c>
      <c r="U21" s="9" t="str">
        <f>_xlfn.XLOOKUP(B21,MPW!C$6:C$101,MPW!B$6:B$101,"")</f>
        <v/>
      </c>
      <c r="V21" s="78">
        <f>_xlfn.XLOOKUP(U21,MPW!B$6:B$55,MPW!A$6:A$55,0)</f>
        <v>0</v>
      </c>
    </row>
    <row r="22" spans="1:22" ht="14.8" customHeight="1" x14ac:dyDescent="0.25">
      <c r="A22" s="8">
        <f>ROW()-5</f>
        <v>17</v>
      </c>
      <c r="B22" s="10"/>
      <c r="C22" s="11"/>
      <c r="D22" s="76">
        <f>SUM(F22,H22,J22,L22,N22,P22,R22,T22,V22)-SUM(SMALL((F22,H22,J22,L22,N22,P22,R22,T22),1),SMALL((F22,H22,J22,L22,N22,P22,R22,T22),2))</f>
        <v>0</v>
      </c>
      <c r="E22" s="9" t="str">
        <f>_xlfn.XLOOKUP($B22,'GP1'!$C$6:$C$101,'GP1'!$B$6:$B$101,"")</f>
        <v/>
      </c>
      <c r="F22" s="77">
        <f>_xlfn.XLOOKUP(E22,'GP1'!$B$6:$B$55,'GP1'!$A$6:$A$55,0)</f>
        <v>0</v>
      </c>
      <c r="G22" s="9">
        <f>_xlfn.XLOOKUP($B22,'GP2'!$C$6:$C$101,'GP2'!$B$6:$B$101,"")</f>
        <v>0</v>
      </c>
      <c r="H22" s="77">
        <f>_xlfn.XLOOKUP(G22,'GP2'!$B$6:$B$55,'GP2'!$A$6:$A$55,0)</f>
        <v>0</v>
      </c>
      <c r="I22" s="9" t="str">
        <f>_xlfn.XLOOKUP($B22,'GP3'!$C$6:$C$101,'GP3'!$B$6:$B$101,"")</f>
        <v/>
      </c>
      <c r="J22" s="77">
        <f>_xlfn.XLOOKUP(I22,'GP3'!$B$6:$B$55,'GP3'!$A$6:$A$55,0)</f>
        <v>0</v>
      </c>
      <c r="K22" s="9" t="str">
        <f>_xlfn.XLOOKUP($B22,'GP4'!$C$6:$C$101,'GP4'!$B$6:$B$101,"")</f>
        <v/>
      </c>
      <c r="L22" s="77">
        <f>_xlfn.XLOOKUP(K22,'GP4'!$B$6:$B$55,'GP4'!$A$6:$A$55,0)</f>
        <v>0</v>
      </c>
      <c r="M22" s="9" t="str">
        <f>_xlfn.XLOOKUP($B22,'GP5'!$C$6:$C$101,'GP5'!$B$6:$B$101,"")</f>
        <v/>
      </c>
      <c r="N22" s="78">
        <f>_xlfn.XLOOKUP(M22,'GP5'!$B$6:$B$55,'GP5'!$A$6:$A$55,0)</f>
        <v>0</v>
      </c>
      <c r="O22" s="9" t="str">
        <f>_xlfn.XLOOKUP($B22,'GP6'!$C$6:$C$101,'GP6'!$B$6:$B$101,"")</f>
        <v/>
      </c>
      <c r="P22" s="78">
        <f>_xlfn.XLOOKUP(O22,'GP6'!$B$6:$B$55,'GP6'!$A$6:$A$55,0)</f>
        <v>0</v>
      </c>
      <c r="Q22" s="9" t="str">
        <f>_xlfn.XLOOKUP($B22,'GP7'!$C$6:$C$101,'GP7'!$B$6:$B$101,"")</f>
        <v/>
      </c>
      <c r="R22" s="78">
        <f>_xlfn.XLOOKUP(Q22,'GP7'!$B$6:$B$55,'GP7'!$A$6:$A$55,0)</f>
        <v>0</v>
      </c>
      <c r="S22" s="9" t="str">
        <f>_xlfn.XLOOKUP($B22,'GP8'!$C$6:$C$101,'GP8'!$B$6:$B$101,"")</f>
        <v/>
      </c>
      <c r="T22" s="78">
        <f>_xlfn.XLOOKUP(S22,'GP8'!$B$6:$B$55,'GP8'!$A$6:$A$55,0)</f>
        <v>0</v>
      </c>
      <c r="U22" s="9" t="str">
        <f>_xlfn.XLOOKUP(B22,MPW!C$6:C$101,MPW!B$6:B$101,"")</f>
        <v/>
      </c>
      <c r="V22" s="78">
        <f>_xlfn.XLOOKUP(U22,MPW!B$6:B$55,MPW!A$6:A$55,0)</f>
        <v>0</v>
      </c>
    </row>
    <row r="23" spans="1:22" ht="14.8" customHeight="1" x14ac:dyDescent="0.25">
      <c r="A23" s="8">
        <f>ROW()-5</f>
        <v>18</v>
      </c>
      <c r="B23" s="10"/>
      <c r="C23" s="11"/>
      <c r="D23" s="76">
        <f>SUM(F23,H23,J23,L23,N23,P23,R23,T23,V23)-SUM(SMALL((F23,H23,J23,L23,N23,P23,R23,T23),1),SMALL((F23,H23,J23,L23,N23,P23,R23,T23),2))</f>
        <v>0</v>
      </c>
      <c r="E23" s="9" t="str">
        <f>_xlfn.XLOOKUP($B23,'GP1'!$C$6:$C$101,'GP1'!$B$6:$B$101,"")</f>
        <v/>
      </c>
      <c r="F23" s="77">
        <f>_xlfn.XLOOKUP(E23,'GP1'!$B$6:$B$55,'GP1'!$A$6:$A$55,0)</f>
        <v>0</v>
      </c>
      <c r="G23" s="9">
        <f>_xlfn.XLOOKUP($B23,'GP2'!$C$6:$C$101,'GP2'!$B$6:$B$101,"")</f>
        <v>0</v>
      </c>
      <c r="H23" s="77">
        <f>_xlfn.XLOOKUP(G23,'GP2'!$B$6:$B$55,'GP2'!$A$6:$A$55,0)</f>
        <v>0</v>
      </c>
      <c r="I23" s="9" t="str">
        <f>_xlfn.XLOOKUP($B23,'GP3'!$C$6:$C$101,'GP3'!$B$6:$B$101,"")</f>
        <v/>
      </c>
      <c r="J23" s="77">
        <f>_xlfn.XLOOKUP(I23,'GP3'!$B$6:$B$55,'GP3'!$A$6:$A$55,0)</f>
        <v>0</v>
      </c>
      <c r="K23" s="9" t="str">
        <f>_xlfn.XLOOKUP($B23,'GP4'!$C$6:$C$101,'GP4'!$B$6:$B$101,"")</f>
        <v/>
      </c>
      <c r="L23" s="77">
        <f>_xlfn.XLOOKUP(K23,'GP4'!$B$6:$B$55,'GP4'!$A$6:$A$55,0)</f>
        <v>0</v>
      </c>
      <c r="M23" s="9" t="str">
        <f>_xlfn.XLOOKUP($B23,'GP5'!$C$6:$C$101,'GP5'!$B$6:$B$101,"")</f>
        <v/>
      </c>
      <c r="N23" s="78">
        <f>_xlfn.XLOOKUP(M23,'GP5'!$B$6:$B$55,'GP5'!$A$6:$A$55,0)</f>
        <v>0</v>
      </c>
      <c r="O23" s="9" t="str">
        <f>_xlfn.XLOOKUP($B23,'GP6'!$C$6:$C$101,'GP6'!$B$6:$B$101,"")</f>
        <v/>
      </c>
      <c r="P23" s="78">
        <f>_xlfn.XLOOKUP(O23,'GP6'!$B$6:$B$55,'GP6'!$A$6:$A$55,0)</f>
        <v>0</v>
      </c>
      <c r="Q23" s="9" t="str">
        <f>_xlfn.XLOOKUP($B23,'GP7'!$C$6:$C$101,'GP7'!$B$6:$B$101,"")</f>
        <v/>
      </c>
      <c r="R23" s="78">
        <f>_xlfn.XLOOKUP(Q23,'GP7'!$B$6:$B$55,'GP7'!$A$6:$A$55,0)</f>
        <v>0</v>
      </c>
      <c r="S23" s="9" t="str">
        <f>_xlfn.XLOOKUP($B23,'GP8'!$C$6:$C$101,'GP8'!$B$6:$B$101,"")</f>
        <v/>
      </c>
      <c r="T23" s="78">
        <f>_xlfn.XLOOKUP(S23,'GP8'!$B$6:$B$55,'GP8'!$A$6:$A$55,0)</f>
        <v>0</v>
      </c>
      <c r="U23" s="9" t="str">
        <f>_xlfn.XLOOKUP(B23,MPW!C$6:C$101,MPW!B$6:B$101,"")</f>
        <v/>
      </c>
      <c r="V23" s="78">
        <f>_xlfn.XLOOKUP(U23,MPW!B$6:B$55,MPW!A$6:A$55,0)</f>
        <v>0</v>
      </c>
    </row>
    <row r="24" spans="1:22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</sheetData>
  <sheetProtection selectLockedCells="1" selectUnlockedCells="1"/>
  <autoFilter ref="A5:V5" xr:uid="{281401D9-D758-4840-9D46-5FC1A4F61A99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7" priority="6" operator="equal">
      <formula>3</formula>
    </cfRule>
    <cfRule type="cellIs" dxfId="36" priority="7" operator="equal">
      <formula>2</formula>
    </cfRule>
    <cfRule type="cellIs" dxfId="35" priority="8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169A-4A97-4EC7-96B2-9AF68C2C3693}">
  <sheetPr>
    <tabColor rgb="FF92D050"/>
  </sheetPr>
  <dimension ref="A1:AL529"/>
  <sheetViews>
    <sheetView workbookViewId="0">
      <selection activeCell="C3" sqref="C3:D3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32</v>
      </c>
      <c r="L1" s="17"/>
      <c r="M1" s="17"/>
    </row>
    <row r="2" spans="1:36" ht="14.3" customHeight="1" x14ac:dyDescent="0.25">
      <c r="A2" s="13"/>
      <c r="B2" s="19" t="s">
        <v>33</v>
      </c>
      <c r="C2" s="283" t="s">
        <v>34</v>
      </c>
      <c r="D2" s="283"/>
      <c r="E2" s="20"/>
      <c r="F2" s="20"/>
      <c r="G2" s="20"/>
      <c r="H2" s="21">
        <v>4</v>
      </c>
      <c r="I2" s="22">
        <v>50</v>
      </c>
      <c r="J2" s="22">
        <v>10</v>
      </c>
      <c r="K2" s="65">
        <f>3*H2^(1/3)</f>
        <v>4.7622031559045981</v>
      </c>
      <c r="L2" s="17"/>
      <c r="M2" s="17"/>
    </row>
    <row r="3" spans="1:36" ht="14.3" customHeight="1" x14ac:dyDescent="0.25">
      <c r="A3" s="13"/>
      <c r="B3" s="24" t="s">
        <v>35</v>
      </c>
      <c r="C3" s="284" t="s">
        <v>36</v>
      </c>
      <c r="D3" s="28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</row>
    <row r="6" spans="1:36" ht="14.45" customHeight="1" x14ac:dyDescent="0.25">
      <c r="A6" s="32">
        <f>M6</f>
        <v>84.286609467713788</v>
      </c>
      <c r="B6" s="33">
        <f t="shared" ref="B6:B65" si="0">IF(H6&gt;$H$2,"",(ROW()-5))</f>
        <v>1</v>
      </c>
      <c r="C6" s="34" t="s">
        <v>19</v>
      </c>
      <c r="D6" s="34" t="s">
        <v>49</v>
      </c>
      <c r="E6" s="34"/>
      <c r="F6" s="34" t="s">
        <v>50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14.286609467713795</v>
      </c>
      <c r="M6" s="37">
        <f t="shared" ref="M6:M69" si="2">IF(I6&lt;&gt;"",K6+I6+L6,0)</f>
        <v>84.286609467713788</v>
      </c>
    </row>
    <row r="7" spans="1:36" ht="14.45" customHeight="1" x14ac:dyDescent="0.25">
      <c r="A7" s="38">
        <f t="shared" ref="A7:A37" si="3">M7</f>
        <v>45.024406311809194</v>
      </c>
      <c r="B7" s="39">
        <f t="shared" si="0"/>
        <v>2</v>
      </c>
      <c r="C7" s="40" t="s">
        <v>25</v>
      </c>
      <c r="D7" s="40" t="s">
        <v>51</v>
      </c>
      <c r="E7" s="40"/>
      <c r="F7" s="40" t="s">
        <v>50</v>
      </c>
      <c r="G7" s="27"/>
      <c r="H7" s="41">
        <v>2</v>
      </c>
      <c r="I7" s="42">
        <f t="shared" ref="I7:I69" si="4">IF(H7&lt;$H$2+1,($I$2-($I$2-1)*(LOG(H7)/LOG($H$2))),"")</f>
        <v>25.5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9.5244063118091962</v>
      </c>
      <c r="M7" s="43">
        <f t="shared" si="2"/>
        <v>45.024406311809194</v>
      </c>
    </row>
    <row r="8" spans="1:36" ht="14.45" customHeight="1" x14ac:dyDescent="0.25">
      <c r="A8" s="32">
        <f t="shared" si="3"/>
        <v>15.930621888236271</v>
      </c>
      <c r="B8" s="33">
        <f t="shared" si="0"/>
        <v>3</v>
      </c>
      <c r="C8" s="34" t="s">
        <v>52</v>
      </c>
      <c r="D8" s="34" t="s">
        <v>53</v>
      </c>
      <c r="E8" s="34"/>
      <c r="F8" s="34" t="s">
        <v>50</v>
      </c>
      <c r="G8" s="27"/>
      <c r="H8" s="35">
        <v>3</v>
      </c>
      <c r="I8" s="36">
        <f t="shared" si="4"/>
        <v>11.168418732331673</v>
      </c>
      <c r="J8" s="35">
        <f t="shared" si="5"/>
        <v>0</v>
      </c>
      <c r="K8" s="35">
        <f t="shared" si="1"/>
        <v>0</v>
      </c>
      <c r="L8" s="37">
        <f>K2</f>
        <v>4.7622031559045981</v>
      </c>
      <c r="M8" s="37">
        <f t="shared" si="2"/>
        <v>15.930621888236271</v>
      </c>
    </row>
    <row r="9" spans="1:36" ht="14.45" customHeight="1" x14ac:dyDescent="0.25">
      <c r="A9" s="38">
        <f t="shared" si="3"/>
        <v>1</v>
      </c>
      <c r="B9" s="39">
        <f t="shared" si="0"/>
        <v>4</v>
      </c>
      <c r="C9" s="40" t="s">
        <v>27</v>
      </c>
      <c r="D9" s="40" t="s">
        <v>53</v>
      </c>
      <c r="E9" s="40"/>
      <c r="F9" s="40" t="s">
        <v>50</v>
      </c>
      <c r="G9" s="27"/>
      <c r="H9" s="41">
        <v>4</v>
      </c>
      <c r="I9" s="42">
        <f t="shared" si="4"/>
        <v>1</v>
      </c>
      <c r="J9" s="41">
        <f t="shared" si="5"/>
        <v>0</v>
      </c>
      <c r="K9" s="41">
        <f t="shared" si="1"/>
        <v>0</v>
      </c>
      <c r="L9" s="43"/>
      <c r="M9" s="43">
        <f t="shared" si="2"/>
        <v>1</v>
      </c>
      <c r="V9" s="44"/>
      <c r="Z9" s="45"/>
      <c r="AA9" s="45"/>
      <c r="AG9" s="46"/>
      <c r="AH9" s="18" t="s">
        <v>54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1"/>
        <v>-10</v>
      </c>
      <c r="L10" s="35"/>
      <c r="M10" s="37">
        <f t="shared" si="2"/>
        <v>0</v>
      </c>
      <c r="V10" s="44"/>
      <c r="Z10" s="45"/>
      <c r="AA10" s="45"/>
      <c r="AG10" s="46"/>
      <c r="AH10" s="18" t="s">
        <v>55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56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si="0"/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0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3"/>
        <v>0</v>
      </c>
      <c r="B17" s="39" t="str">
        <f t="shared" si="0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0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0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0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0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0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0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0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0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0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0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0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0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0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0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0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0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0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0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0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0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0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0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0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0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0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0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0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0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0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0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0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0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0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0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0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0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0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0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0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0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0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0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0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0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0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0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0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0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6">IF(H70&lt;$H$2+1,($I$2-($I$2-1)*(LOG(H70)/LOG($H$2))),"")</f>
        <v/>
      </c>
      <c r="J70" s="35">
        <f t="shared" si="5"/>
        <v>-5</v>
      </c>
      <c r="K70" s="35">
        <f t="shared" ref="K70:K133" si="7">J70*$J$2</f>
        <v>-50</v>
      </c>
      <c r="L70" s="35"/>
      <c r="M70" s="37">
        <f t="shared" ref="M70:M133" si="8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6"/>
        <v/>
      </c>
      <c r="J71" s="35">
        <f t="shared" ref="J71:J134" si="9">INT(LOG($H$2,2))-ROUNDUP(LOG(H71,2),0)+IF(OR($H$2=1,$H$2=2,$H$2=4,$H$2=8,$H$2=16,$H$2=32,$H$2=64,$H$2=128,$H$2=256),0,1)</f>
        <v>-5</v>
      </c>
      <c r="K71" s="35">
        <f t="shared" si="7"/>
        <v>-50</v>
      </c>
      <c r="L71" s="35"/>
      <c r="M71" s="37">
        <f t="shared" si="8"/>
        <v>0</v>
      </c>
    </row>
    <row r="72" spans="1:13" x14ac:dyDescent="0.25">
      <c r="A72" s="56"/>
      <c r="G72" s="13"/>
      <c r="H72" s="35">
        <v>67</v>
      </c>
      <c r="I72" s="36" t="str">
        <f t="shared" si="6"/>
        <v/>
      </c>
      <c r="J72" s="35">
        <f t="shared" si="9"/>
        <v>-5</v>
      </c>
      <c r="K72" s="35">
        <f t="shared" si="7"/>
        <v>-50</v>
      </c>
      <c r="L72" s="35"/>
      <c r="M72" s="37">
        <f t="shared" si="8"/>
        <v>0</v>
      </c>
    </row>
    <row r="73" spans="1:13" x14ac:dyDescent="0.25">
      <c r="A73" s="56"/>
      <c r="G73" s="13"/>
      <c r="H73" s="35">
        <v>68</v>
      </c>
      <c r="I73" s="36" t="str">
        <f t="shared" si="6"/>
        <v/>
      </c>
      <c r="J73" s="35">
        <f t="shared" si="9"/>
        <v>-5</v>
      </c>
      <c r="K73" s="35">
        <f t="shared" si="7"/>
        <v>-50</v>
      </c>
      <c r="L73" s="35"/>
      <c r="M73" s="37">
        <f t="shared" si="8"/>
        <v>0</v>
      </c>
    </row>
    <row r="74" spans="1:13" x14ac:dyDescent="0.25">
      <c r="A74" s="56"/>
      <c r="G74" s="13"/>
      <c r="H74" s="35">
        <v>69</v>
      </c>
      <c r="I74" s="36" t="str">
        <f t="shared" si="6"/>
        <v/>
      </c>
      <c r="J74" s="35">
        <f t="shared" si="9"/>
        <v>-5</v>
      </c>
      <c r="K74" s="35">
        <f t="shared" si="7"/>
        <v>-50</v>
      </c>
      <c r="L74" s="35"/>
      <c r="M74" s="37">
        <f t="shared" si="8"/>
        <v>0</v>
      </c>
    </row>
    <row r="75" spans="1:13" x14ac:dyDescent="0.25">
      <c r="A75" s="56"/>
      <c r="G75" s="13"/>
      <c r="H75" s="35">
        <v>70</v>
      </c>
      <c r="I75" s="36" t="str">
        <f t="shared" si="6"/>
        <v/>
      </c>
      <c r="J75" s="35">
        <f t="shared" si="9"/>
        <v>-5</v>
      </c>
      <c r="K75" s="35">
        <f t="shared" si="7"/>
        <v>-50</v>
      </c>
      <c r="L75" s="35"/>
      <c r="M75" s="37">
        <f t="shared" si="8"/>
        <v>0</v>
      </c>
    </row>
    <row r="76" spans="1:13" x14ac:dyDescent="0.25">
      <c r="A76" s="56"/>
      <c r="G76" s="13"/>
      <c r="H76" s="35">
        <v>71</v>
      </c>
      <c r="I76" s="36" t="str">
        <f t="shared" si="6"/>
        <v/>
      </c>
      <c r="J76" s="35">
        <f t="shared" si="9"/>
        <v>-5</v>
      </c>
      <c r="K76" s="35">
        <f t="shared" si="7"/>
        <v>-50</v>
      </c>
      <c r="L76" s="35"/>
      <c r="M76" s="37">
        <f t="shared" si="8"/>
        <v>0</v>
      </c>
    </row>
    <row r="77" spans="1:13" x14ac:dyDescent="0.25">
      <c r="A77" s="56"/>
      <c r="G77" s="13"/>
      <c r="H77" s="35">
        <v>72</v>
      </c>
      <c r="I77" s="36" t="str">
        <f t="shared" si="6"/>
        <v/>
      </c>
      <c r="J77" s="35">
        <f t="shared" si="9"/>
        <v>-5</v>
      </c>
      <c r="K77" s="35">
        <f t="shared" si="7"/>
        <v>-50</v>
      </c>
      <c r="L77" s="35"/>
      <c r="M77" s="37">
        <f t="shared" si="8"/>
        <v>0</v>
      </c>
    </row>
    <row r="78" spans="1:13" x14ac:dyDescent="0.25">
      <c r="A78" s="56"/>
      <c r="G78" s="13"/>
      <c r="H78" s="35">
        <v>73</v>
      </c>
      <c r="I78" s="36" t="str">
        <f t="shared" si="6"/>
        <v/>
      </c>
      <c r="J78" s="35">
        <f t="shared" si="9"/>
        <v>-5</v>
      </c>
      <c r="K78" s="35">
        <f t="shared" si="7"/>
        <v>-50</v>
      </c>
      <c r="L78" s="35"/>
      <c r="M78" s="37">
        <f t="shared" si="8"/>
        <v>0</v>
      </c>
    </row>
    <row r="79" spans="1:13" x14ac:dyDescent="0.25">
      <c r="A79" s="56"/>
      <c r="G79" s="13"/>
      <c r="H79" s="35">
        <v>74</v>
      </c>
      <c r="I79" s="36" t="str">
        <f t="shared" si="6"/>
        <v/>
      </c>
      <c r="J79" s="35">
        <f t="shared" si="9"/>
        <v>-5</v>
      </c>
      <c r="K79" s="35">
        <f t="shared" si="7"/>
        <v>-50</v>
      </c>
      <c r="L79" s="35"/>
      <c r="M79" s="37">
        <f t="shared" si="8"/>
        <v>0</v>
      </c>
    </row>
    <row r="80" spans="1:13" x14ac:dyDescent="0.25">
      <c r="A80" s="56"/>
      <c r="G80" s="13"/>
      <c r="H80" s="35">
        <v>75</v>
      </c>
      <c r="I80" s="36" t="str">
        <f t="shared" si="6"/>
        <v/>
      </c>
      <c r="J80" s="35">
        <f t="shared" si="9"/>
        <v>-5</v>
      </c>
      <c r="K80" s="35">
        <f t="shared" si="7"/>
        <v>-50</v>
      </c>
      <c r="L80" s="35"/>
      <c r="M80" s="37">
        <f t="shared" si="8"/>
        <v>0</v>
      </c>
    </row>
    <row r="81" spans="1:13" x14ac:dyDescent="0.25">
      <c r="A81" s="56"/>
      <c r="G81" s="13"/>
      <c r="H81" s="35">
        <v>76</v>
      </c>
      <c r="I81" s="36" t="str">
        <f t="shared" si="6"/>
        <v/>
      </c>
      <c r="J81" s="35">
        <f t="shared" si="9"/>
        <v>-5</v>
      </c>
      <c r="K81" s="35">
        <f t="shared" si="7"/>
        <v>-50</v>
      </c>
      <c r="L81" s="35"/>
      <c r="M81" s="37">
        <f t="shared" si="8"/>
        <v>0</v>
      </c>
    </row>
    <row r="82" spans="1:13" x14ac:dyDescent="0.25">
      <c r="A82" s="56"/>
      <c r="G82" s="13"/>
      <c r="H82" s="35">
        <v>77</v>
      </c>
      <c r="I82" s="36" t="str">
        <f t="shared" si="6"/>
        <v/>
      </c>
      <c r="J82" s="35">
        <f t="shared" si="9"/>
        <v>-5</v>
      </c>
      <c r="K82" s="35">
        <f t="shared" si="7"/>
        <v>-50</v>
      </c>
      <c r="L82" s="35"/>
      <c r="M82" s="37">
        <f t="shared" si="8"/>
        <v>0</v>
      </c>
    </row>
    <row r="83" spans="1:13" x14ac:dyDescent="0.25">
      <c r="A83" s="56"/>
      <c r="G83" s="13"/>
      <c r="H83" s="35">
        <v>78</v>
      </c>
      <c r="I83" s="36" t="str">
        <f t="shared" si="6"/>
        <v/>
      </c>
      <c r="J83" s="35">
        <f t="shared" si="9"/>
        <v>-5</v>
      </c>
      <c r="K83" s="35">
        <f t="shared" si="7"/>
        <v>-50</v>
      </c>
      <c r="L83" s="35"/>
      <c r="M83" s="37">
        <f t="shared" si="8"/>
        <v>0</v>
      </c>
    </row>
    <row r="84" spans="1:13" x14ac:dyDescent="0.25">
      <c r="A84" s="56"/>
      <c r="G84" s="13"/>
      <c r="H84" s="35">
        <v>79</v>
      </c>
      <c r="I84" s="36" t="str">
        <f t="shared" si="6"/>
        <v/>
      </c>
      <c r="J84" s="35">
        <f t="shared" si="9"/>
        <v>-5</v>
      </c>
      <c r="K84" s="35">
        <f t="shared" si="7"/>
        <v>-50</v>
      </c>
      <c r="L84" s="35"/>
      <c r="M84" s="37">
        <f t="shared" si="8"/>
        <v>0</v>
      </c>
    </row>
    <row r="85" spans="1:13" x14ac:dyDescent="0.25">
      <c r="A85" s="56"/>
      <c r="G85" s="13"/>
      <c r="H85" s="35">
        <v>80</v>
      </c>
      <c r="I85" s="36" t="str">
        <f t="shared" si="6"/>
        <v/>
      </c>
      <c r="J85" s="35">
        <f t="shared" si="9"/>
        <v>-5</v>
      </c>
      <c r="K85" s="35">
        <f t="shared" si="7"/>
        <v>-50</v>
      </c>
      <c r="L85" s="35"/>
      <c r="M85" s="37">
        <f t="shared" si="8"/>
        <v>0</v>
      </c>
    </row>
    <row r="86" spans="1:13" x14ac:dyDescent="0.25">
      <c r="A86" s="56"/>
      <c r="G86" s="13"/>
      <c r="H86" s="35">
        <v>81</v>
      </c>
      <c r="I86" s="36" t="str">
        <f t="shared" si="6"/>
        <v/>
      </c>
      <c r="J86" s="35">
        <f t="shared" si="9"/>
        <v>-5</v>
      </c>
      <c r="K86" s="35">
        <f t="shared" si="7"/>
        <v>-50</v>
      </c>
      <c r="L86" s="35"/>
      <c r="M86" s="37">
        <f t="shared" si="8"/>
        <v>0</v>
      </c>
    </row>
    <row r="87" spans="1:13" x14ac:dyDescent="0.25">
      <c r="A87" s="56"/>
      <c r="G87" s="13"/>
      <c r="H87" s="35">
        <v>82</v>
      </c>
      <c r="I87" s="36" t="str">
        <f t="shared" si="6"/>
        <v/>
      </c>
      <c r="J87" s="35">
        <f t="shared" si="9"/>
        <v>-5</v>
      </c>
      <c r="K87" s="35">
        <f t="shared" si="7"/>
        <v>-50</v>
      </c>
      <c r="L87" s="35"/>
      <c r="M87" s="37">
        <f t="shared" si="8"/>
        <v>0</v>
      </c>
    </row>
    <row r="88" spans="1:13" x14ac:dyDescent="0.25">
      <c r="A88" s="56"/>
      <c r="G88" s="13"/>
      <c r="H88" s="35">
        <v>83</v>
      </c>
      <c r="I88" s="36" t="str">
        <f t="shared" si="6"/>
        <v/>
      </c>
      <c r="J88" s="35">
        <f t="shared" si="9"/>
        <v>-5</v>
      </c>
      <c r="K88" s="35">
        <f t="shared" si="7"/>
        <v>-50</v>
      </c>
      <c r="L88" s="35"/>
      <c r="M88" s="37">
        <f t="shared" si="8"/>
        <v>0</v>
      </c>
    </row>
    <row r="89" spans="1:13" x14ac:dyDescent="0.25">
      <c r="A89" s="56"/>
      <c r="G89" s="13"/>
      <c r="H89" s="35">
        <v>84</v>
      </c>
      <c r="I89" s="36" t="str">
        <f t="shared" si="6"/>
        <v/>
      </c>
      <c r="J89" s="35">
        <f t="shared" si="9"/>
        <v>-5</v>
      </c>
      <c r="K89" s="35">
        <f t="shared" si="7"/>
        <v>-50</v>
      </c>
      <c r="L89" s="35"/>
      <c r="M89" s="37">
        <f t="shared" si="8"/>
        <v>0</v>
      </c>
    </row>
    <row r="90" spans="1:13" x14ac:dyDescent="0.25">
      <c r="A90" s="56"/>
      <c r="G90" s="13"/>
      <c r="H90" s="35">
        <v>85</v>
      </c>
      <c r="I90" s="36" t="str">
        <f t="shared" si="6"/>
        <v/>
      </c>
      <c r="J90" s="35">
        <f t="shared" si="9"/>
        <v>-5</v>
      </c>
      <c r="K90" s="35">
        <f t="shared" si="7"/>
        <v>-50</v>
      </c>
      <c r="L90" s="35"/>
      <c r="M90" s="37">
        <f t="shared" si="8"/>
        <v>0</v>
      </c>
    </row>
    <row r="91" spans="1:13" x14ac:dyDescent="0.25">
      <c r="A91" s="56"/>
      <c r="G91" s="13"/>
      <c r="H91" s="35">
        <v>86</v>
      </c>
      <c r="I91" s="36" t="str">
        <f t="shared" si="6"/>
        <v/>
      </c>
      <c r="J91" s="35">
        <f t="shared" si="9"/>
        <v>-5</v>
      </c>
      <c r="K91" s="35">
        <f t="shared" si="7"/>
        <v>-50</v>
      </c>
      <c r="L91" s="35"/>
      <c r="M91" s="37">
        <f t="shared" si="8"/>
        <v>0</v>
      </c>
    </row>
    <row r="92" spans="1:13" x14ac:dyDescent="0.25">
      <c r="A92" s="56"/>
      <c r="G92" s="13"/>
      <c r="H92" s="35">
        <v>87</v>
      </c>
      <c r="I92" s="36" t="str">
        <f t="shared" si="6"/>
        <v/>
      </c>
      <c r="J92" s="35">
        <f t="shared" si="9"/>
        <v>-5</v>
      </c>
      <c r="K92" s="35">
        <f t="shared" si="7"/>
        <v>-50</v>
      </c>
      <c r="L92" s="35"/>
      <c r="M92" s="37">
        <f t="shared" si="8"/>
        <v>0</v>
      </c>
    </row>
    <row r="93" spans="1:13" x14ac:dyDescent="0.25">
      <c r="A93" s="56"/>
      <c r="G93" s="13"/>
      <c r="H93" s="35">
        <v>88</v>
      </c>
      <c r="I93" s="36" t="str">
        <f t="shared" si="6"/>
        <v/>
      </c>
      <c r="J93" s="35">
        <f t="shared" si="9"/>
        <v>-5</v>
      </c>
      <c r="K93" s="35">
        <f t="shared" si="7"/>
        <v>-50</v>
      </c>
      <c r="L93" s="35"/>
      <c r="M93" s="37">
        <f t="shared" si="8"/>
        <v>0</v>
      </c>
    </row>
    <row r="94" spans="1:13" x14ac:dyDescent="0.25">
      <c r="A94" s="56"/>
      <c r="G94" s="13"/>
      <c r="H94" s="35">
        <v>89</v>
      </c>
      <c r="I94" s="36" t="str">
        <f t="shared" si="6"/>
        <v/>
      </c>
      <c r="J94" s="35">
        <f t="shared" si="9"/>
        <v>-5</v>
      </c>
      <c r="K94" s="35">
        <f t="shared" si="7"/>
        <v>-50</v>
      </c>
      <c r="L94" s="35"/>
      <c r="M94" s="37">
        <f t="shared" si="8"/>
        <v>0</v>
      </c>
    </row>
    <row r="95" spans="1:13" x14ac:dyDescent="0.25">
      <c r="A95" s="56"/>
      <c r="G95" s="13"/>
      <c r="H95" s="35">
        <v>90</v>
      </c>
      <c r="I95" s="36" t="str">
        <f t="shared" si="6"/>
        <v/>
      </c>
      <c r="J95" s="35">
        <f t="shared" si="9"/>
        <v>-5</v>
      </c>
      <c r="K95" s="35">
        <f t="shared" si="7"/>
        <v>-50</v>
      </c>
      <c r="L95" s="35"/>
      <c r="M95" s="37">
        <f t="shared" si="8"/>
        <v>0</v>
      </c>
    </row>
    <row r="96" spans="1:13" x14ac:dyDescent="0.25">
      <c r="A96" s="56"/>
      <c r="G96" s="13"/>
      <c r="H96" s="35">
        <v>91</v>
      </c>
      <c r="I96" s="36" t="str">
        <f t="shared" si="6"/>
        <v/>
      </c>
      <c r="J96" s="35">
        <f t="shared" si="9"/>
        <v>-5</v>
      </c>
      <c r="K96" s="35">
        <f t="shared" si="7"/>
        <v>-50</v>
      </c>
      <c r="L96" s="35"/>
      <c r="M96" s="37">
        <f t="shared" si="8"/>
        <v>0</v>
      </c>
    </row>
    <row r="97" spans="1:13" x14ac:dyDescent="0.25">
      <c r="A97" s="56"/>
      <c r="G97" s="13"/>
      <c r="H97" s="35">
        <v>92</v>
      </c>
      <c r="I97" s="36" t="str">
        <f t="shared" si="6"/>
        <v/>
      </c>
      <c r="J97" s="35">
        <f t="shared" si="9"/>
        <v>-5</v>
      </c>
      <c r="K97" s="35">
        <f t="shared" si="7"/>
        <v>-50</v>
      </c>
      <c r="L97" s="35"/>
      <c r="M97" s="37">
        <f t="shared" si="8"/>
        <v>0</v>
      </c>
    </row>
    <row r="98" spans="1:13" x14ac:dyDescent="0.25">
      <c r="A98" s="56"/>
      <c r="G98" s="13"/>
      <c r="H98" s="35">
        <v>93</v>
      </c>
      <c r="I98" s="36" t="str">
        <f t="shared" si="6"/>
        <v/>
      </c>
      <c r="J98" s="35">
        <f t="shared" si="9"/>
        <v>-5</v>
      </c>
      <c r="K98" s="35">
        <f t="shared" si="7"/>
        <v>-50</v>
      </c>
      <c r="L98" s="35"/>
      <c r="M98" s="37">
        <f t="shared" si="8"/>
        <v>0</v>
      </c>
    </row>
    <row r="99" spans="1:13" x14ac:dyDescent="0.25">
      <c r="A99" s="56"/>
      <c r="G99" s="13"/>
      <c r="H99" s="35">
        <v>94</v>
      </c>
      <c r="I99" s="36" t="str">
        <f t="shared" si="6"/>
        <v/>
      </c>
      <c r="J99" s="35">
        <f t="shared" si="9"/>
        <v>-5</v>
      </c>
      <c r="K99" s="35">
        <f t="shared" si="7"/>
        <v>-50</v>
      </c>
      <c r="L99" s="35"/>
      <c r="M99" s="37">
        <f t="shared" si="8"/>
        <v>0</v>
      </c>
    </row>
    <row r="100" spans="1:13" x14ac:dyDescent="0.25">
      <c r="A100" s="56"/>
      <c r="G100" s="13"/>
      <c r="H100" s="35">
        <v>95</v>
      </c>
      <c r="I100" s="36" t="str">
        <f t="shared" si="6"/>
        <v/>
      </c>
      <c r="J100" s="35">
        <f t="shared" si="9"/>
        <v>-5</v>
      </c>
      <c r="K100" s="35">
        <f t="shared" si="7"/>
        <v>-50</v>
      </c>
      <c r="L100" s="35"/>
      <c r="M100" s="37">
        <f t="shared" si="8"/>
        <v>0</v>
      </c>
    </row>
    <row r="101" spans="1:13" x14ac:dyDescent="0.25">
      <c r="A101" s="56"/>
      <c r="G101" s="13"/>
      <c r="H101" s="35">
        <v>96</v>
      </c>
      <c r="I101" s="36" t="str">
        <f t="shared" si="6"/>
        <v/>
      </c>
      <c r="J101" s="35">
        <f t="shared" si="9"/>
        <v>-5</v>
      </c>
      <c r="K101" s="35">
        <f t="shared" si="7"/>
        <v>-50</v>
      </c>
      <c r="L101" s="35"/>
      <c r="M101" s="37">
        <f t="shared" si="8"/>
        <v>0</v>
      </c>
    </row>
    <row r="102" spans="1:13" x14ac:dyDescent="0.25">
      <c r="A102" s="56"/>
      <c r="G102" s="13"/>
      <c r="H102" s="35">
        <v>97</v>
      </c>
      <c r="I102" s="36" t="str">
        <f t="shared" si="6"/>
        <v/>
      </c>
      <c r="J102" s="35">
        <f t="shared" si="9"/>
        <v>-5</v>
      </c>
      <c r="K102" s="35">
        <f t="shared" si="7"/>
        <v>-50</v>
      </c>
      <c r="L102" s="35"/>
      <c r="M102" s="37">
        <f t="shared" si="8"/>
        <v>0</v>
      </c>
    </row>
    <row r="103" spans="1:13" x14ac:dyDescent="0.25">
      <c r="A103" s="56"/>
      <c r="G103" s="13"/>
      <c r="H103" s="35">
        <v>98</v>
      </c>
      <c r="I103" s="36" t="str">
        <f t="shared" si="6"/>
        <v/>
      </c>
      <c r="J103" s="35">
        <f t="shared" si="9"/>
        <v>-5</v>
      </c>
      <c r="K103" s="35">
        <f t="shared" si="7"/>
        <v>-50</v>
      </c>
      <c r="L103" s="35"/>
      <c r="M103" s="37">
        <f t="shared" si="8"/>
        <v>0</v>
      </c>
    </row>
    <row r="104" spans="1:13" x14ac:dyDescent="0.25">
      <c r="A104" s="56"/>
      <c r="G104" s="13"/>
      <c r="H104" s="35">
        <v>99</v>
      </c>
      <c r="I104" s="36" t="str">
        <f t="shared" si="6"/>
        <v/>
      </c>
      <c r="J104" s="35">
        <f t="shared" si="9"/>
        <v>-5</v>
      </c>
      <c r="K104" s="35">
        <f t="shared" si="7"/>
        <v>-50</v>
      </c>
      <c r="L104" s="35"/>
      <c r="M104" s="37">
        <f t="shared" si="8"/>
        <v>0</v>
      </c>
    </row>
    <row r="105" spans="1:13" x14ac:dyDescent="0.25">
      <c r="A105" s="56"/>
      <c r="G105" s="13"/>
      <c r="H105" s="35">
        <v>100</v>
      </c>
      <c r="I105" s="36" t="str">
        <f t="shared" si="6"/>
        <v/>
      </c>
      <c r="J105" s="35">
        <f t="shared" si="9"/>
        <v>-5</v>
      </c>
      <c r="K105" s="35">
        <f t="shared" si="7"/>
        <v>-50</v>
      </c>
      <c r="L105" s="35"/>
      <c r="M105" s="37">
        <f t="shared" si="8"/>
        <v>0</v>
      </c>
    </row>
    <row r="106" spans="1:13" x14ac:dyDescent="0.25">
      <c r="A106" s="56"/>
      <c r="G106" s="13"/>
      <c r="H106" s="35">
        <v>101</v>
      </c>
      <c r="I106" s="36" t="str">
        <f t="shared" si="6"/>
        <v/>
      </c>
      <c r="J106" s="35">
        <f t="shared" si="9"/>
        <v>-5</v>
      </c>
      <c r="K106" s="35">
        <f t="shared" si="7"/>
        <v>-50</v>
      </c>
      <c r="L106" s="35"/>
      <c r="M106" s="37">
        <f t="shared" si="8"/>
        <v>0</v>
      </c>
    </row>
    <row r="107" spans="1:13" x14ac:dyDescent="0.25">
      <c r="A107" s="56"/>
      <c r="G107" s="13"/>
      <c r="H107" s="35">
        <v>102</v>
      </c>
      <c r="I107" s="36" t="str">
        <f t="shared" si="6"/>
        <v/>
      </c>
      <c r="J107" s="35">
        <f t="shared" si="9"/>
        <v>-5</v>
      </c>
      <c r="K107" s="35">
        <f t="shared" si="7"/>
        <v>-50</v>
      </c>
      <c r="L107" s="35"/>
      <c r="M107" s="37">
        <f t="shared" si="8"/>
        <v>0</v>
      </c>
    </row>
    <row r="108" spans="1:13" x14ac:dyDescent="0.25">
      <c r="A108" s="56"/>
      <c r="G108" s="13"/>
      <c r="H108" s="35">
        <v>103</v>
      </c>
      <c r="I108" s="36" t="str">
        <f t="shared" si="6"/>
        <v/>
      </c>
      <c r="J108" s="35">
        <f t="shared" si="9"/>
        <v>-5</v>
      </c>
      <c r="K108" s="35">
        <f t="shared" si="7"/>
        <v>-50</v>
      </c>
      <c r="L108" s="35"/>
      <c r="M108" s="37">
        <f t="shared" si="8"/>
        <v>0</v>
      </c>
    </row>
    <row r="109" spans="1:13" x14ac:dyDescent="0.25">
      <c r="A109" s="56"/>
      <c r="G109" s="13"/>
      <c r="H109" s="35">
        <v>104</v>
      </c>
      <c r="I109" s="36" t="str">
        <f t="shared" si="6"/>
        <v/>
      </c>
      <c r="J109" s="35">
        <f t="shared" si="9"/>
        <v>-5</v>
      </c>
      <c r="K109" s="35">
        <f t="shared" si="7"/>
        <v>-50</v>
      </c>
      <c r="L109" s="35"/>
      <c r="M109" s="37">
        <f t="shared" si="8"/>
        <v>0</v>
      </c>
    </row>
    <row r="110" spans="1:13" x14ac:dyDescent="0.25">
      <c r="A110" s="56"/>
      <c r="G110" s="13"/>
      <c r="H110" s="35">
        <v>105</v>
      </c>
      <c r="I110" s="36" t="str">
        <f t="shared" si="6"/>
        <v/>
      </c>
      <c r="J110" s="35">
        <f t="shared" si="9"/>
        <v>-5</v>
      </c>
      <c r="K110" s="35">
        <f t="shared" si="7"/>
        <v>-50</v>
      </c>
      <c r="L110" s="35"/>
      <c r="M110" s="37">
        <f t="shared" si="8"/>
        <v>0</v>
      </c>
    </row>
    <row r="111" spans="1:13" x14ac:dyDescent="0.25">
      <c r="A111" s="56"/>
      <c r="G111" s="13"/>
      <c r="H111" s="35">
        <v>106</v>
      </c>
      <c r="I111" s="36" t="str">
        <f t="shared" si="6"/>
        <v/>
      </c>
      <c r="J111" s="35">
        <f t="shared" si="9"/>
        <v>-5</v>
      </c>
      <c r="K111" s="35">
        <f t="shared" si="7"/>
        <v>-50</v>
      </c>
      <c r="L111" s="35"/>
      <c r="M111" s="37">
        <f t="shared" si="8"/>
        <v>0</v>
      </c>
    </row>
    <row r="112" spans="1:13" x14ac:dyDescent="0.25">
      <c r="A112" s="56"/>
      <c r="G112" s="13"/>
      <c r="H112" s="35">
        <v>107</v>
      </c>
      <c r="I112" s="36" t="str">
        <f t="shared" si="6"/>
        <v/>
      </c>
      <c r="J112" s="35">
        <f t="shared" si="9"/>
        <v>-5</v>
      </c>
      <c r="K112" s="35">
        <f t="shared" si="7"/>
        <v>-50</v>
      </c>
      <c r="L112" s="35"/>
      <c r="M112" s="37">
        <f t="shared" si="8"/>
        <v>0</v>
      </c>
    </row>
    <row r="113" spans="1:13" x14ac:dyDescent="0.25">
      <c r="A113" s="56"/>
      <c r="G113" s="13"/>
      <c r="H113" s="35">
        <v>108</v>
      </c>
      <c r="I113" s="36" t="str">
        <f t="shared" si="6"/>
        <v/>
      </c>
      <c r="J113" s="35">
        <f t="shared" si="9"/>
        <v>-5</v>
      </c>
      <c r="K113" s="35">
        <f t="shared" si="7"/>
        <v>-50</v>
      </c>
      <c r="L113" s="35"/>
      <c r="M113" s="37">
        <f t="shared" si="8"/>
        <v>0</v>
      </c>
    </row>
    <row r="114" spans="1:13" x14ac:dyDescent="0.25">
      <c r="A114" s="56"/>
      <c r="G114" s="13"/>
      <c r="H114" s="35">
        <v>109</v>
      </c>
      <c r="I114" s="36" t="str">
        <f t="shared" si="6"/>
        <v/>
      </c>
      <c r="J114" s="35">
        <f t="shared" si="9"/>
        <v>-5</v>
      </c>
      <c r="K114" s="35">
        <f t="shared" si="7"/>
        <v>-50</v>
      </c>
      <c r="L114" s="35"/>
      <c r="M114" s="37">
        <f t="shared" si="8"/>
        <v>0</v>
      </c>
    </row>
    <row r="115" spans="1:13" x14ac:dyDescent="0.25">
      <c r="A115" s="56"/>
      <c r="G115" s="13"/>
      <c r="H115" s="35">
        <v>110</v>
      </c>
      <c r="I115" s="36" t="str">
        <f t="shared" si="6"/>
        <v/>
      </c>
      <c r="J115" s="35">
        <f t="shared" si="9"/>
        <v>-5</v>
      </c>
      <c r="K115" s="35">
        <f t="shared" si="7"/>
        <v>-50</v>
      </c>
      <c r="L115" s="35"/>
      <c r="M115" s="37">
        <f t="shared" si="8"/>
        <v>0</v>
      </c>
    </row>
    <row r="116" spans="1:13" x14ac:dyDescent="0.25">
      <c r="A116" s="56"/>
      <c r="G116" s="13"/>
      <c r="H116" s="35">
        <v>111</v>
      </c>
      <c r="I116" s="36" t="str">
        <f t="shared" si="6"/>
        <v/>
      </c>
      <c r="J116" s="35">
        <f t="shared" si="9"/>
        <v>-5</v>
      </c>
      <c r="K116" s="35">
        <f t="shared" si="7"/>
        <v>-50</v>
      </c>
      <c r="L116" s="35"/>
      <c r="M116" s="37">
        <f t="shared" si="8"/>
        <v>0</v>
      </c>
    </row>
    <row r="117" spans="1:13" x14ac:dyDescent="0.25">
      <c r="A117" s="56"/>
      <c r="G117" s="13"/>
      <c r="H117" s="35">
        <v>112</v>
      </c>
      <c r="I117" s="36" t="str">
        <f t="shared" si="6"/>
        <v/>
      </c>
      <c r="J117" s="35">
        <f t="shared" si="9"/>
        <v>-5</v>
      </c>
      <c r="K117" s="35">
        <f t="shared" si="7"/>
        <v>-50</v>
      </c>
      <c r="L117" s="35"/>
      <c r="M117" s="37">
        <f t="shared" si="8"/>
        <v>0</v>
      </c>
    </row>
    <row r="118" spans="1:13" x14ac:dyDescent="0.25">
      <c r="A118" s="56"/>
      <c r="G118" s="13"/>
      <c r="H118" s="35">
        <v>113</v>
      </c>
      <c r="I118" s="36" t="str">
        <f t="shared" si="6"/>
        <v/>
      </c>
      <c r="J118" s="35">
        <f t="shared" si="9"/>
        <v>-5</v>
      </c>
      <c r="K118" s="35">
        <f t="shared" si="7"/>
        <v>-50</v>
      </c>
      <c r="L118" s="35"/>
      <c r="M118" s="37">
        <f t="shared" si="8"/>
        <v>0</v>
      </c>
    </row>
    <row r="119" spans="1:13" x14ac:dyDescent="0.25">
      <c r="A119" s="56"/>
      <c r="G119" s="13"/>
      <c r="H119" s="35">
        <v>114</v>
      </c>
      <c r="I119" s="36" t="str">
        <f t="shared" si="6"/>
        <v/>
      </c>
      <c r="J119" s="35">
        <f t="shared" si="9"/>
        <v>-5</v>
      </c>
      <c r="K119" s="35">
        <f t="shared" si="7"/>
        <v>-50</v>
      </c>
      <c r="L119" s="35"/>
      <c r="M119" s="37">
        <f t="shared" si="8"/>
        <v>0</v>
      </c>
    </row>
    <row r="120" spans="1:13" x14ac:dyDescent="0.25">
      <c r="A120" s="56"/>
      <c r="G120" s="13"/>
      <c r="H120" s="35">
        <v>115</v>
      </c>
      <c r="I120" s="36" t="str">
        <f t="shared" si="6"/>
        <v/>
      </c>
      <c r="J120" s="35">
        <f t="shared" si="9"/>
        <v>-5</v>
      </c>
      <c r="K120" s="35">
        <f t="shared" si="7"/>
        <v>-50</v>
      </c>
      <c r="L120" s="35"/>
      <c r="M120" s="37">
        <f t="shared" si="8"/>
        <v>0</v>
      </c>
    </row>
    <row r="121" spans="1:13" x14ac:dyDescent="0.25">
      <c r="A121" s="56"/>
      <c r="G121" s="13"/>
      <c r="H121" s="35">
        <v>116</v>
      </c>
      <c r="I121" s="36" t="str">
        <f t="shared" si="6"/>
        <v/>
      </c>
      <c r="J121" s="35">
        <f t="shared" si="9"/>
        <v>-5</v>
      </c>
      <c r="K121" s="35">
        <f t="shared" si="7"/>
        <v>-50</v>
      </c>
      <c r="L121" s="35"/>
      <c r="M121" s="37">
        <f t="shared" si="8"/>
        <v>0</v>
      </c>
    </row>
    <row r="122" spans="1:13" x14ac:dyDescent="0.25">
      <c r="A122" s="56"/>
      <c r="G122" s="13"/>
      <c r="H122" s="35">
        <v>117</v>
      </c>
      <c r="I122" s="36" t="str">
        <f t="shared" si="6"/>
        <v/>
      </c>
      <c r="J122" s="35">
        <f t="shared" si="9"/>
        <v>-5</v>
      </c>
      <c r="K122" s="35">
        <f t="shared" si="7"/>
        <v>-50</v>
      </c>
      <c r="L122" s="35"/>
      <c r="M122" s="37">
        <f t="shared" si="8"/>
        <v>0</v>
      </c>
    </row>
    <row r="123" spans="1:13" x14ac:dyDescent="0.25">
      <c r="A123" s="56"/>
      <c r="G123" s="13"/>
      <c r="H123" s="35">
        <v>118</v>
      </c>
      <c r="I123" s="36" t="str">
        <f t="shared" si="6"/>
        <v/>
      </c>
      <c r="J123" s="35">
        <f t="shared" si="9"/>
        <v>-5</v>
      </c>
      <c r="K123" s="35">
        <f t="shared" si="7"/>
        <v>-50</v>
      </c>
      <c r="L123" s="35"/>
      <c r="M123" s="37">
        <f t="shared" si="8"/>
        <v>0</v>
      </c>
    </row>
    <row r="124" spans="1:13" x14ac:dyDescent="0.25">
      <c r="A124" s="56"/>
      <c r="G124" s="13"/>
      <c r="H124" s="35">
        <v>119</v>
      </c>
      <c r="I124" s="36" t="str">
        <f t="shared" si="6"/>
        <v/>
      </c>
      <c r="J124" s="35">
        <f t="shared" si="9"/>
        <v>-5</v>
      </c>
      <c r="K124" s="35">
        <f t="shared" si="7"/>
        <v>-50</v>
      </c>
      <c r="L124" s="35"/>
      <c r="M124" s="37">
        <f t="shared" si="8"/>
        <v>0</v>
      </c>
    </row>
    <row r="125" spans="1:13" x14ac:dyDescent="0.25">
      <c r="A125" s="56"/>
      <c r="G125" s="13"/>
      <c r="H125" s="35">
        <v>120</v>
      </c>
      <c r="I125" s="36" t="str">
        <f t="shared" si="6"/>
        <v/>
      </c>
      <c r="J125" s="35">
        <f t="shared" si="9"/>
        <v>-5</v>
      </c>
      <c r="K125" s="35">
        <f t="shared" si="7"/>
        <v>-50</v>
      </c>
      <c r="L125" s="35"/>
      <c r="M125" s="37">
        <f t="shared" si="8"/>
        <v>0</v>
      </c>
    </row>
    <row r="126" spans="1:13" x14ac:dyDescent="0.25">
      <c r="A126" s="56"/>
      <c r="G126" s="13"/>
      <c r="H126" s="35">
        <v>121</v>
      </c>
      <c r="I126" s="36" t="str">
        <f t="shared" si="6"/>
        <v/>
      </c>
      <c r="J126" s="35">
        <f t="shared" si="9"/>
        <v>-5</v>
      </c>
      <c r="K126" s="35">
        <f t="shared" si="7"/>
        <v>-50</v>
      </c>
      <c r="L126" s="35"/>
      <c r="M126" s="37">
        <f t="shared" si="8"/>
        <v>0</v>
      </c>
    </row>
    <row r="127" spans="1:13" x14ac:dyDescent="0.25">
      <c r="A127" s="56"/>
      <c r="G127" s="13"/>
      <c r="H127" s="35">
        <v>122</v>
      </c>
      <c r="I127" s="36" t="str">
        <f t="shared" si="6"/>
        <v/>
      </c>
      <c r="J127" s="35">
        <f t="shared" si="9"/>
        <v>-5</v>
      </c>
      <c r="K127" s="35">
        <f t="shared" si="7"/>
        <v>-50</v>
      </c>
      <c r="L127" s="35"/>
      <c r="M127" s="37">
        <f t="shared" si="8"/>
        <v>0</v>
      </c>
    </row>
    <row r="128" spans="1:13" x14ac:dyDescent="0.25">
      <c r="A128" s="56"/>
      <c r="G128" s="13"/>
      <c r="H128" s="35">
        <v>123</v>
      </c>
      <c r="I128" s="36" t="str">
        <f t="shared" si="6"/>
        <v/>
      </c>
      <c r="J128" s="35">
        <f t="shared" si="9"/>
        <v>-5</v>
      </c>
      <c r="K128" s="35">
        <f t="shared" si="7"/>
        <v>-50</v>
      </c>
      <c r="L128" s="35"/>
      <c r="M128" s="37">
        <f t="shared" si="8"/>
        <v>0</v>
      </c>
    </row>
    <row r="129" spans="1:13" x14ac:dyDescent="0.25">
      <c r="A129" s="56"/>
      <c r="G129" s="13"/>
      <c r="H129" s="35">
        <v>124</v>
      </c>
      <c r="I129" s="36" t="str">
        <f t="shared" si="6"/>
        <v/>
      </c>
      <c r="J129" s="35">
        <f t="shared" si="9"/>
        <v>-5</v>
      </c>
      <c r="K129" s="35">
        <f t="shared" si="7"/>
        <v>-50</v>
      </c>
      <c r="L129" s="35"/>
      <c r="M129" s="37">
        <f t="shared" si="8"/>
        <v>0</v>
      </c>
    </row>
    <row r="130" spans="1:13" x14ac:dyDescent="0.25">
      <c r="A130" s="56"/>
      <c r="G130" s="13"/>
      <c r="H130" s="35">
        <v>125</v>
      </c>
      <c r="I130" s="36" t="str">
        <f t="shared" si="6"/>
        <v/>
      </c>
      <c r="J130" s="35">
        <f t="shared" si="9"/>
        <v>-5</v>
      </c>
      <c r="K130" s="35">
        <f t="shared" si="7"/>
        <v>-50</v>
      </c>
      <c r="L130" s="35"/>
      <c r="M130" s="37">
        <f t="shared" si="8"/>
        <v>0</v>
      </c>
    </row>
    <row r="131" spans="1:13" x14ac:dyDescent="0.25">
      <c r="A131" s="56"/>
      <c r="G131" s="13"/>
      <c r="H131" s="35">
        <v>126</v>
      </c>
      <c r="I131" s="36" t="str">
        <f t="shared" si="6"/>
        <v/>
      </c>
      <c r="J131" s="35">
        <f t="shared" si="9"/>
        <v>-5</v>
      </c>
      <c r="K131" s="35">
        <f t="shared" si="7"/>
        <v>-50</v>
      </c>
      <c r="L131" s="35"/>
      <c r="M131" s="37">
        <f t="shared" si="8"/>
        <v>0</v>
      </c>
    </row>
    <row r="132" spans="1:13" x14ac:dyDescent="0.25">
      <c r="A132" s="56"/>
      <c r="G132" s="13"/>
      <c r="H132" s="35">
        <v>127</v>
      </c>
      <c r="I132" s="36" t="str">
        <f t="shared" si="6"/>
        <v/>
      </c>
      <c r="J132" s="35">
        <f t="shared" si="9"/>
        <v>-5</v>
      </c>
      <c r="K132" s="35">
        <f t="shared" si="7"/>
        <v>-50</v>
      </c>
      <c r="L132" s="35"/>
      <c r="M132" s="37">
        <f t="shared" si="8"/>
        <v>0</v>
      </c>
    </row>
    <row r="133" spans="1:13" x14ac:dyDescent="0.25">
      <c r="A133" s="56"/>
      <c r="G133" s="13"/>
      <c r="H133" s="35">
        <v>128</v>
      </c>
      <c r="I133" s="36" t="str">
        <f t="shared" si="6"/>
        <v/>
      </c>
      <c r="J133" s="35">
        <f t="shared" si="9"/>
        <v>-5</v>
      </c>
      <c r="K133" s="35">
        <f t="shared" si="7"/>
        <v>-50</v>
      </c>
      <c r="L133" s="35"/>
      <c r="M133" s="37">
        <f t="shared" si="8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0">IF(H134&lt;$H$2+1,($I$2-($I$2-1)*(LOG(H134)/LOG($H$2))),"")</f>
        <v/>
      </c>
      <c r="J134" s="35">
        <f t="shared" si="9"/>
        <v>-6</v>
      </c>
      <c r="K134" s="35">
        <f t="shared" ref="K134:K197" si="11">J134*$J$2</f>
        <v>-60</v>
      </c>
      <c r="L134" s="35"/>
      <c r="M134" s="37">
        <f t="shared" ref="M134:M197" si="12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0"/>
        <v/>
      </c>
      <c r="J135" s="35">
        <f t="shared" ref="J135:J198" si="13">INT(LOG($H$2,2))-ROUNDUP(LOG(H135,2),0)+IF(OR($H$2=1,$H$2=2,$H$2=4,$H$2=8,$H$2=16,$H$2=32,$H$2=64,$H$2=128,$H$2=256),0,1)</f>
        <v>-6</v>
      </c>
      <c r="K135" s="35">
        <f t="shared" si="11"/>
        <v>-60</v>
      </c>
      <c r="L135" s="35"/>
      <c r="M135" s="37">
        <f t="shared" si="12"/>
        <v>0</v>
      </c>
    </row>
    <row r="136" spans="1:13" x14ac:dyDescent="0.25">
      <c r="A136" s="56"/>
      <c r="G136" s="13"/>
      <c r="H136" s="35">
        <v>131</v>
      </c>
      <c r="I136" s="36" t="str">
        <f t="shared" si="10"/>
        <v/>
      </c>
      <c r="J136" s="35">
        <f t="shared" si="13"/>
        <v>-6</v>
      </c>
      <c r="K136" s="35">
        <f t="shared" si="11"/>
        <v>-60</v>
      </c>
      <c r="L136" s="35"/>
      <c r="M136" s="37">
        <f t="shared" si="12"/>
        <v>0</v>
      </c>
    </row>
    <row r="137" spans="1:13" x14ac:dyDescent="0.25">
      <c r="A137" s="56"/>
      <c r="G137" s="13"/>
      <c r="H137" s="35">
        <v>132</v>
      </c>
      <c r="I137" s="36" t="str">
        <f t="shared" si="10"/>
        <v/>
      </c>
      <c r="J137" s="35">
        <f t="shared" si="13"/>
        <v>-6</v>
      </c>
      <c r="K137" s="35">
        <f t="shared" si="11"/>
        <v>-60</v>
      </c>
      <c r="L137" s="35"/>
      <c r="M137" s="37">
        <f t="shared" si="12"/>
        <v>0</v>
      </c>
    </row>
    <row r="138" spans="1:13" x14ac:dyDescent="0.25">
      <c r="A138" s="56"/>
      <c r="G138" s="13"/>
      <c r="H138" s="35">
        <v>133</v>
      </c>
      <c r="I138" s="36" t="str">
        <f t="shared" si="10"/>
        <v/>
      </c>
      <c r="J138" s="35">
        <f t="shared" si="13"/>
        <v>-6</v>
      </c>
      <c r="K138" s="35">
        <f t="shared" si="11"/>
        <v>-60</v>
      </c>
      <c r="L138" s="35"/>
      <c r="M138" s="37">
        <f t="shared" si="12"/>
        <v>0</v>
      </c>
    </row>
    <row r="139" spans="1:13" x14ac:dyDescent="0.25">
      <c r="A139" s="56"/>
      <c r="G139" s="13"/>
      <c r="H139" s="35">
        <v>134</v>
      </c>
      <c r="I139" s="36" t="str">
        <f t="shared" si="10"/>
        <v/>
      </c>
      <c r="J139" s="35">
        <f t="shared" si="13"/>
        <v>-6</v>
      </c>
      <c r="K139" s="35">
        <f t="shared" si="11"/>
        <v>-60</v>
      </c>
      <c r="L139" s="35"/>
      <c r="M139" s="37">
        <f t="shared" si="12"/>
        <v>0</v>
      </c>
    </row>
    <row r="140" spans="1:13" x14ac:dyDescent="0.25">
      <c r="A140" s="56"/>
      <c r="G140" s="13"/>
      <c r="H140" s="35">
        <v>135</v>
      </c>
      <c r="I140" s="36" t="str">
        <f t="shared" si="10"/>
        <v/>
      </c>
      <c r="J140" s="35">
        <f t="shared" si="13"/>
        <v>-6</v>
      </c>
      <c r="K140" s="35">
        <f t="shared" si="11"/>
        <v>-60</v>
      </c>
      <c r="L140" s="35"/>
      <c r="M140" s="37">
        <f t="shared" si="12"/>
        <v>0</v>
      </c>
    </row>
    <row r="141" spans="1:13" x14ac:dyDescent="0.25">
      <c r="A141" s="56"/>
      <c r="G141" s="13"/>
      <c r="H141" s="35">
        <v>136</v>
      </c>
      <c r="I141" s="36" t="str">
        <f t="shared" si="10"/>
        <v/>
      </c>
      <c r="J141" s="35">
        <f t="shared" si="13"/>
        <v>-6</v>
      </c>
      <c r="K141" s="35">
        <f t="shared" si="11"/>
        <v>-60</v>
      </c>
      <c r="L141" s="35"/>
      <c r="M141" s="37">
        <f t="shared" si="12"/>
        <v>0</v>
      </c>
    </row>
    <row r="142" spans="1:13" x14ac:dyDescent="0.25">
      <c r="A142" s="56"/>
      <c r="G142" s="13"/>
      <c r="H142" s="35">
        <v>137</v>
      </c>
      <c r="I142" s="36" t="str">
        <f t="shared" si="10"/>
        <v/>
      </c>
      <c r="J142" s="35">
        <f t="shared" si="13"/>
        <v>-6</v>
      </c>
      <c r="K142" s="35">
        <f t="shared" si="11"/>
        <v>-60</v>
      </c>
      <c r="L142" s="35"/>
      <c r="M142" s="37">
        <f t="shared" si="12"/>
        <v>0</v>
      </c>
    </row>
    <row r="143" spans="1:13" x14ac:dyDescent="0.25">
      <c r="A143" s="56"/>
      <c r="G143" s="13"/>
      <c r="H143" s="35">
        <v>138</v>
      </c>
      <c r="I143" s="36" t="str">
        <f t="shared" si="10"/>
        <v/>
      </c>
      <c r="J143" s="35">
        <f t="shared" si="13"/>
        <v>-6</v>
      </c>
      <c r="K143" s="35">
        <f t="shared" si="11"/>
        <v>-60</v>
      </c>
      <c r="L143" s="35"/>
      <c r="M143" s="37">
        <f t="shared" si="12"/>
        <v>0</v>
      </c>
    </row>
    <row r="144" spans="1:13" x14ac:dyDescent="0.25">
      <c r="A144" s="56"/>
      <c r="G144" s="13"/>
      <c r="H144" s="35">
        <v>139</v>
      </c>
      <c r="I144" s="36" t="str">
        <f t="shared" si="10"/>
        <v/>
      </c>
      <c r="J144" s="35">
        <f t="shared" si="13"/>
        <v>-6</v>
      </c>
      <c r="K144" s="35">
        <f t="shared" si="11"/>
        <v>-60</v>
      </c>
      <c r="L144" s="35"/>
      <c r="M144" s="37">
        <f t="shared" si="12"/>
        <v>0</v>
      </c>
    </row>
    <row r="145" spans="1:13" x14ac:dyDescent="0.25">
      <c r="A145" s="56"/>
      <c r="G145" s="13"/>
      <c r="H145" s="35">
        <v>140</v>
      </c>
      <c r="I145" s="36" t="str">
        <f t="shared" si="10"/>
        <v/>
      </c>
      <c r="J145" s="35">
        <f t="shared" si="13"/>
        <v>-6</v>
      </c>
      <c r="K145" s="35">
        <f t="shared" si="11"/>
        <v>-60</v>
      </c>
      <c r="L145" s="35"/>
      <c r="M145" s="37">
        <f t="shared" si="12"/>
        <v>0</v>
      </c>
    </row>
    <row r="146" spans="1:13" x14ac:dyDescent="0.25">
      <c r="A146" s="56"/>
      <c r="G146" s="13"/>
      <c r="H146" s="35">
        <v>141</v>
      </c>
      <c r="I146" s="36" t="str">
        <f t="shared" si="10"/>
        <v/>
      </c>
      <c r="J146" s="35">
        <f t="shared" si="13"/>
        <v>-6</v>
      </c>
      <c r="K146" s="35">
        <f t="shared" si="11"/>
        <v>-60</v>
      </c>
      <c r="L146" s="35"/>
      <c r="M146" s="37">
        <f t="shared" si="12"/>
        <v>0</v>
      </c>
    </row>
    <row r="147" spans="1:13" x14ac:dyDescent="0.25">
      <c r="A147" s="56"/>
      <c r="G147" s="13"/>
      <c r="H147" s="35">
        <v>142</v>
      </c>
      <c r="I147" s="36" t="str">
        <f t="shared" si="10"/>
        <v/>
      </c>
      <c r="J147" s="35">
        <f t="shared" si="13"/>
        <v>-6</v>
      </c>
      <c r="K147" s="35">
        <f t="shared" si="11"/>
        <v>-60</v>
      </c>
      <c r="L147" s="35"/>
      <c r="M147" s="37">
        <f t="shared" si="12"/>
        <v>0</v>
      </c>
    </row>
    <row r="148" spans="1:13" x14ac:dyDescent="0.25">
      <c r="A148" s="56"/>
      <c r="G148" s="13"/>
      <c r="H148" s="35">
        <v>143</v>
      </c>
      <c r="I148" s="36" t="str">
        <f t="shared" si="10"/>
        <v/>
      </c>
      <c r="J148" s="35">
        <f t="shared" si="13"/>
        <v>-6</v>
      </c>
      <c r="K148" s="35">
        <f t="shared" si="11"/>
        <v>-60</v>
      </c>
      <c r="L148" s="35"/>
      <c r="M148" s="37">
        <f t="shared" si="12"/>
        <v>0</v>
      </c>
    </row>
    <row r="149" spans="1:13" x14ac:dyDescent="0.25">
      <c r="A149" s="56"/>
      <c r="G149" s="13"/>
      <c r="H149" s="35">
        <v>144</v>
      </c>
      <c r="I149" s="36" t="str">
        <f t="shared" si="10"/>
        <v/>
      </c>
      <c r="J149" s="35">
        <f t="shared" si="13"/>
        <v>-6</v>
      </c>
      <c r="K149" s="35">
        <f t="shared" si="11"/>
        <v>-60</v>
      </c>
      <c r="L149" s="35"/>
      <c r="M149" s="37">
        <f t="shared" si="12"/>
        <v>0</v>
      </c>
    </row>
    <row r="150" spans="1:13" x14ac:dyDescent="0.25">
      <c r="A150" s="56"/>
      <c r="G150" s="13"/>
      <c r="H150" s="35">
        <v>145</v>
      </c>
      <c r="I150" s="36" t="str">
        <f t="shared" si="10"/>
        <v/>
      </c>
      <c r="J150" s="35">
        <f t="shared" si="13"/>
        <v>-6</v>
      </c>
      <c r="K150" s="35">
        <f t="shared" si="11"/>
        <v>-60</v>
      </c>
      <c r="L150" s="35"/>
      <c r="M150" s="37">
        <f t="shared" si="12"/>
        <v>0</v>
      </c>
    </row>
    <row r="151" spans="1:13" x14ac:dyDescent="0.25">
      <c r="A151" s="56"/>
      <c r="G151" s="13"/>
      <c r="H151" s="35">
        <v>146</v>
      </c>
      <c r="I151" s="36" t="str">
        <f t="shared" si="10"/>
        <v/>
      </c>
      <c r="J151" s="35">
        <f t="shared" si="13"/>
        <v>-6</v>
      </c>
      <c r="K151" s="35">
        <f t="shared" si="11"/>
        <v>-60</v>
      </c>
      <c r="L151" s="35"/>
      <c r="M151" s="37">
        <f t="shared" si="12"/>
        <v>0</v>
      </c>
    </row>
    <row r="152" spans="1:13" x14ac:dyDescent="0.25">
      <c r="A152" s="56"/>
      <c r="G152" s="13"/>
      <c r="H152" s="35">
        <v>147</v>
      </c>
      <c r="I152" s="36" t="str">
        <f t="shared" si="10"/>
        <v/>
      </c>
      <c r="J152" s="35">
        <f t="shared" si="13"/>
        <v>-6</v>
      </c>
      <c r="K152" s="35">
        <f t="shared" si="11"/>
        <v>-60</v>
      </c>
      <c r="L152" s="35"/>
      <c r="M152" s="37">
        <f t="shared" si="12"/>
        <v>0</v>
      </c>
    </row>
    <row r="153" spans="1:13" x14ac:dyDescent="0.25">
      <c r="A153" s="56"/>
      <c r="G153" s="13"/>
      <c r="H153" s="35">
        <v>148</v>
      </c>
      <c r="I153" s="36" t="str">
        <f t="shared" si="10"/>
        <v/>
      </c>
      <c r="J153" s="35">
        <f t="shared" si="13"/>
        <v>-6</v>
      </c>
      <c r="K153" s="35">
        <f t="shared" si="11"/>
        <v>-60</v>
      </c>
      <c r="L153" s="35"/>
      <c r="M153" s="37">
        <f t="shared" si="12"/>
        <v>0</v>
      </c>
    </row>
    <row r="154" spans="1:13" x14ac:dyDescent="0.25">
      <c r="A154" s="56"/>
      <c r="G154" s="13"/>
      <c r="H154" s="35">
        <v>149</v>
      </c>
      <c r="I154" s="36" t="str">
        <f t="shared" si="10"/>
        <v/>
      </c>
      <c r="J154" s="35">
        <f t="shared" si="13"/>
        <v>-6</v>
      </c>
      <c r="K154" s="35">
        <f t="shared" si="11"/>
        <v>-60</v>
      </c>
      <c r="L154" s="35"/>
      <c r="M154" s="37">
        <f t="shared" si="12"/>
        <v>0</v>
      </c>
    </row>
    <row r="155" spans="1:13" x14ac:dyDescent="0.25">
      <c r="A155" s="56"/>
      <c r="G155" s="13"/>
      <c r="H155" s="35">
        <v>150</v>
      </c>
      <c r="I155" s="36" t="str">
        <f t="shared" si="10"/>
        <v/>
      </c>
      <c r="J155" s="35">
        <f t="shared" si="13"/>
        <v>-6</v>
      </c>
      <c r="K155" s="35">
        <f t="shared" si="11"/>
        <v>-60</v>
      </c>
      <c r="L155" s="35"/>
      <c r="M155" s="37">
        <f t="shared" si="12"/>
        <v>0</v>
      </c>
    </row>
    <row r="156" spans="1:13" x14ac:dyDescent="0.25">
      <c r="A156" s="56"/>
      <c r="G156" s="13"/>
      <c r="H156" s="35">
        <v>151</v>
      </c>
      <c r="I156" s="36" t="str">
        <f t="shared" si="10"/>
        <v/>
      </c>
      <c r="J156" s="35">
        <f t="shared" si="13"/>
        <v>-6</v>
      </c>
      <c r="K156" s="35">
        <f t="shared" si="11"/>
        <v>-60</v>
      </c>
      <c r="L156" s="35"/>
      <c r="M156" s="37">
        <f t="shared" si="12"/>
        <v>0</v>
      </c>
    </row>
    <row r="157" spans="1:13" x14ac:dyDescent="0.25">
      <c r="A157" s="56"/>
      <c r="G157" s="13"/>
      <c r="H157" s="35">
        <v>152</v>
      </c>
      <c r="I157" s="36" t="str">
        <f t="shared" si="10"/>
        <v/>
      </c>
      <c r="J157" s="35">
        <f t="shared" si="13"/>
        <v>-6</v>
      </c>
      <c r="K157" s="35">
        <f t="shared" si="11"/>
        <v>-60</v>
      </c>
      <c r="L157" s="35"/>
      <c r="M157" s="37">
        <f t="shared" si="12"/>
        <v>0</v>
      </c>
    </row>
    <row r="158" spans="1:13" x14ac:dyDescent="0.25">
      <c r="A158" s="56"/>
      <c r="G158" s="13"/>
      <c r="H158" s="35">
        <v>153</v>
      </c>
      <c r="I158" s="36" t="str">
        <f t="shared" si="10"/>
        <v/>
      </c>
      <c r="J158" s="35">
        <f t="shared" si="13"/>
        <v>-6</v>
      </c>
      <c r="K158" s="35">
        <f t="shared" si="11"/>
        <v>-60</v>
      </c>
      <c r="L158" s="35"/>
      <c r="M158" s="37">
        <f t="shared" si="12"/>
        <v>0</v>
      </c>
    </row>
    <row r="159" spans="1:13" x14ac:dyDescent="0.25">
      <c r="A159" s="56"/>
      <c r="G159" s="13"/>
      <c r="H159" s="35">
        <v>154</v>
      </c>
      <c r="I159" s="36" t="str">
        <f t="shared" si="10"/>
        <v/>
      </c>
      <c r="J159" s="35">
        <f t="shared" si="13"/>
        <v>-6</v>
      </c>
      <c r="K159" s="35">
        <f t="shared" si="11"/>
        <v>-60</v>
      </c>
      <c r="L159" s="35"/>
      <c r="M159" s="37">
        <f t="shared" si="12"/>
        <v>0</v>
      </c>
    </row>
    <row r="160" spans="1:13" x14ac:dyDescent="0.25">
      <c r="A160" s="56"/>
      <c r="G160" s="13"/>
      <c r="H160" s="35">
        <v>155</v>
      </c>
      <c r="I160" s="36" t="str">
        <f t="shared" si="10"/>
        <v/>
      </c>
      <c r="J160" s="35">
        <f t="shared" si="13"/>
        <v>-6</v>
      </c>
      <c r="K160" s="35">
        <f t="shared" si="11"/>
        <v>-60</v>
      </c>
      <c r="L160" s="35"/>
      <c r="M160" s="37">
        <f t="shared" si="12"/>
        <v>0</v>
      </c>
    </row>
    <row r="161" spans="1:13" x14ac:dyDescent="0.25">
      <c r="A161" s="56"/>
      <c r="G161" s="13"/>
      <c r="H161" s="35">
        <v>156</v>
      </c>
      <c r="I161" s="36" t="str">
        <f t="shared" si="10"/>
        <v/>
      </c>
      <c r="J161" s="35">
        <f t="shared" si="13"/>
        <v>-6</v>
      </c>
      <c r="K161" s="35">
        <f t="shared" si="11"/>
        <v>-60</v>
      </c>
      <c r="L161" s="35"/>
      <c r="M161" s="37">
        <f t="shared" si="12"/>
        <v>0</v>
      </c>
    </row>
    <row r="162" spans="1:13" x14ac:dyDescent="0.25">
      <c r="A162" s="56"/>
      <c r="G162" s="13"/>
      <c r="H162" s="35">
        <v>157</v>
      </c>
      <c r="I162" s="36" t="str">
        <f t="shared" si="10"/>
        <v/>
      </c>
      <c r="J162" s="35">
        <f t="shared" si="13"/>
        <v>-6</v>
      </c>
      <c r="K162" s="35">
        <f t="shared" si="11"/>
        <v>-60</v>
      </c>
      <c r="L162" s="35"/>
      <c r="M162" s="37">
        <f t="shared" si="12"/>
        <v>0</v>
      </c>
    </row>
    <row r="163" spans="1:13" x14ac:dyDescent="0.25">
      <c r="A163" s="56"/>
      <c r="G163" s="13"/>
      <c r="H163" s="35">
        <v>158</v>
      </c>
      <c r="I163" s="36" t="str">
        <f t="shared" si="10"/>
        <v/>
      </c>
      <c r="J163" s="35">
        <f t="shared" si="13"/>
        <v>-6</v>
      </c>
      <c r="K163" s="35">
        <f t="shared" si="11"/>
        <v>-60</v>
      </c>
      <c r="L163" s="35"/>
      <c r="M163" s="37">
        <f t="shared" si="12"/>
        <v>0</v>
      </c>
    </row>
    <row r="164" spans="1:13" x14ac:dyDescent="0.25">
      <c r="A164" s="56"/>
      <c r="G164" s="13"/>
      <c r="H164" s="35">
        <v>159</v>
      </c>
      <c r="I164" s="36" t="str">
        <f t="shared" si="10"/>
        <v/>
      </c>
      <c r="J164" s="35">
        <f t="shared" si="13"/>
        <v>-6</v>
      </c>
      <c r="K164" s="35">
        <f t="shared" si="11"/>
        <v>-60</v>
      </c>
      <c r="L164" s="35"/>
      <c r="M164" s="37">
        <f t="shared" si="12"/>
        <v>0</v>
      </c>
    </row>
    <row r="165" spans="1:13" x14ac:dyDescent="0.25">
      <c r="A165" s="56"/>
      <c r="G165" s="13"/>
      <c r="H165" s="35">
        <v>160</v>
      </c>
      <c r="I165" s="36" t="str">
        <f t="shared" si="10"/>
        <v/>
      </c>
      <c r="J165" s="35">
        <f t="shared" si="13"/>
        <v>-6</v>
      </c>
      <c r="K165" s="35">
        <f t="shared" si="11"/>
        <v>-60</v>
      </c>
      <c r="L165" s="35"/>
      <c r="M165" s="37">
        <f t="shared" si="12"/>
        <v>0</v>
      </c>
    </row>
    <row r="166" spans="1:13" x14ac:dyDescent="0.25">
      <c r="A166" s="56"/>
      <c r="G166" s="13"/>
      <c r="H166" s="35">
        <v>161</v>
      </c>
      <c r="I166" s="36" t="str">
        <f t="shared" si="10"/>
        <v/>
      </c>
      <c r="J166" s="35">
        <f t="shared" si="13"/>
        <v>-6</v>
      </c>
      <c r="K166" s="35">
        <f t="shared" si="11"/>
        <v>-60</v>
      </c>
      <c r="L166" s="35"/>
      <c r="M166" s="37">
        <f t="shared" si="12"/>
        <v>0</v>
      </c>
    </row>
    <row r="167" spans="1:13" x14ac:dyDescent="0.25">
      <c r="A167" s="56"/>
      <c r="G167" s="13"/>
      <c r="H167" s="35">
        <v>162</v>
      </c>
      <c r="I167" s="36" t="str">
        <f t="shared" si="10"/>
        <v/>
      </c>
      <c r="J167" s="35">
        <f t="shared" si="13"/>
        <v>-6</v>
      </c>
      <c r="K167" s="35">
        <f t="shared" si="11"/>
        <v>-60</v>
      </c>
      <c r="L167" s="35"/>
      <c r="M167" s="37">
        <f t="shared" si="12"/>
        <v>0</v>
      </c>
    </row>
    <row r="168" spans="1:13" x14ac:dyDescent="0.25">
      <c r="A168" s="56"/>
      <c r="G168" s="13"/>
      <c r="H168" s="35">
        <v>163</v>
      </c>
      <c r="I168" s="36" t="str">
        <f t="shared" si="10"/>
        <v/>
      </c>
      <c r="J168" s="35">
        <f t="shared" si="13"/>
        <v>-6</v>
      </c>
      <c r="K168" s="35">
        <f t="shared" si="11"/>
        <v>-60</v>
      </c>
      <c r="L168" s="35"/>
      <c r="M168" s="37">
        <f t="shared" si="12"/>
        <v>0</v>
      </c>
    </row>
    <row r="169" spans="1:13" x14ac:dyDescent="0.25">
      <c r="A169" s="56"/>
      <c r="G169" s="13"/>
      <c r="H169" s="35">
        <v>164</v>
      </c>
      <c r="I169" s="36" t="str">
        <f t="shared" si="10"/>
        <v/>
      </c>
      <c r="J169" s="35">
        <f t="shared" si="13"/>
        <v>-6</v>
      </c>
      <c r="K169" s="35">
        <f t="shared" si="11"/>
        <v>-60</v>
      </c>
      <c r="L169" s="35"/>
      <c r="M169" s="37">
        <f t="shared" si="12"/>
        <v>0</v>
      </c>
    </row>
    <row r="170" spans="1:13" x14ac:dyDescent="0.25">
      <c r="A170" s="56"/>
      <c r="G170" s="13"/>
      <c r="H170" s="35">
        <v>165</v>
      </c>
      <c r="I170" s="36" t="str">
        <f t="shared" si="10"/>
        <v/>
      </c>
      <c r="J170" s="35">
        <f t="shared" si="13"/>
        <v>-6</v>
      </c>
      <c r="K170" s="35">
        <f t="shared" si="11"/>
        <v>-60</v>
      </c>
      <c r="L170" s="35"/>
      <c r="M170" s="37">
        <f t="shared" si="12"/>
        <v>0</v>
      </c>
    </row>
    <row r="171" spans="1:13" x14ac:dyDescent="0.25">
      <c r="A171" s="56"/>
      <c r="G171" s="13"/>
      <c r="H171" s="35">
        <v>166</v>
      </c>
      <c r="I171" s="36" t="str">
        <f t="shared" si="10"/>
        <v/>
      </c>
      <c r="J171" s="35">
        <f t="shared" si="13"/>
        <v>-6</v>
      </c>
      <c r="K171" s="35">
        <f t="shared" si="11"/>
        <v>-60</v>
      </c>
      <c r="L171" s="35"/>
      <c r="M171" s="37">
        <f t="shared" si="12"/>
        <v>0</v>
      </c>
    </row>
    <row r="172" spans="1:13" x14ac:dyDescent="0.25">
      <c r="A172" s="56"/>
      <c r="G172" s="13"/>
      <c r="H172" s="35">
        <v>167</v>
      </c>
      <c r="I172" s="36" t="str">
        <f t="shared" si="10"/>
        <v/>
      </c>
      <c r="J172" s="35">
        <f t="shared" si="13"/>
        <v>-6</v>
      </c>
      <c r="K172" s="35">
        <f t="shared" si="11"/>
        <v>-60</v>
      </c>
      <c r="L172" s="35"/>
      <c r="M172" s="37">
        <f t="shared" si="12"/>
        <v>0</v>
      </c>
    </row>
    <row r="173" spans="1:13" x14ac:dyDescent="0.25">
      <c r="A173" s="56"/>
      <c r="G173" s="13"/>
      <c r="H173" s="35">
        <v>168</v>
      </c>
      <c r="I173" s="36" t="str">
        <f t="shared" si="10"/>
        <v/>
      </c>
      <c r="J173" s="35">
        <f t="shared" si="13"/>
        <v>-6</v>
      </c>
      <c r="K173" s="35">
        <f t="shared" si="11"/>
        <v>-60</v>
      </c>
      <c r="L173" s="35"/>
      <c r="M173" s="37">
        <f t="shared" si="12"/>
        <v>0</v>
      </c>
    </row>
    <row r="174" spans="1:13" x14ac:dyDescent="0.25">
      <c r="A174" s="56"/>
      <c r="G174" s="13"/>
      <c r="H174" s="35">
        <v>169</v>
      </c>
      <c r="I174" s="36" t="str">
        <f t="shared" si="10"/>
        <v/>
      </c>
      <c r="J174" s="35">
        <f t="shared" si="13"/>
        <v>-6</v>
      </c>
      <c r="K174" s="35">
        <f t="shared" si="11"/>
        <v>-60</v>
      </c>
      <c r="L174" s="35"/>
      <c r="M174" s="37">
        <f t="shared" si="12"/>
        <v>0</v>
      </c>
    </row>
    <row r="175" spans="1:13" x14ac:dyDescent="0.25">
      <c r="A175" s="56"/>
      <c r="G175" s="13"/>
      <c r="H175" s="35">
        <v>170</v>
      </c>
      <c r="I175" s="36" t="str">
        <f t="shared" si="10"/>
        <v/>
      </c>
      <c r="J175" s="35">
        <f t="shared" si="13"/>
        <v>-6</v>
      </c>
      <c r="K175" s="35">
        <f t="shared" si="11"/>
        <v>-60</v>
      </c>
      <c r="L175" s="35"/>
      <c r="M175" s="37">
        <f t="shared" si="12"/>
        <v>0</v>
      </c>
    </row>
    <row r="176" spans="1:13" x14ac:dyDescent="0.25">
      <c r="A176" s="56"/>
      <c r="G176" s="13"/>
      <c r="H176" s="35">
        <v>171</v>
      </c>
      <c r="I176" s="36" t="str">
        <f t="shared" si="10"/>
        <v/>
      </c>
      <c r="J176" s="35">
        <f t="shared" si="13"/>
        <v>-6</v>
      </c>
      <c r="K176" s="35">
        <f t="shared" si="11"/>
        <v>-60</v>
      </c>
      <c r="L176" s="35"/>
      <c r="M176" s="37">
        <f t="shared" si="12"/>
        <v>0</v>
      </c>
    </row>
    <row r="177" spans="1:13" x14ac:dyDescent="0.25">
      <c r="A177" s="56"/>
      <c r="G177" s="13"/>
      <c r="H177" s="35">
        <v>172</v>
      </c>
      <c r="I177" s="36" t="str">
        <f t="shared" si="10"/>
        <v/>
      </c>
      <c r="J177" s="35">
        <f t="shared" si="13"/>
        <v>-6</v>
      </c>
      <c r="K177" s="35">
        <f t="shared" si="11"/>
        <v>-60</v>
      </c>
      <c r="L177" s="35"/>
      <c r="M177" s="37">
        <f t="shared" si="12"/>
        <v>0</v>
      </c>
    </row>
    <row r="178" spans="1:13" x14ac:dyDescent="0.25">
      <c r="A178" s="56"/>
      <c r="G178" s="13"/>
      <c r="H178" s="35">
        <v>173</v>
      </c>
      <c r="I178" s="36" t="str">
        <f t="shared" si="10"/>
        <v/>
      </c>
      <c r="J178" s="35">
        <f t="shared" si="13"/>
        <v>-6</v>
      </c>
      <c r="K178" s="35">
        <f t="shared" si="11"/>
        <v>-60</v>
      </c>
      <c r="L178" s="35"/>
      <c r="M178" s="37">
        <f t="shared" si="12"/>
        <v>0</v>
      </c>
    </row>
    <row r="179" spans="1:13" x14ac:dyDescent="0.25">
      <c r="A179" s="56"/>
      <c r="G179" s="13"/>
      <c r="H179" s="35">
        <v>174</v>
      </c>
      <c r="I179" s="36" t="str">
        <f t="shared" si="10"/>
        <v/>
      </c>
      <c r="J179" s="35">
        <f t="shared" si="13"/>
        <v>-6</v>
      </c>
      <c r="K179" s="35">
        <f t="shared" si="11"/>
        <v>-60</v>
      </c>
      <c r="L179" s="35"/>
      <c r="M179" s="37">
        <f t="shared" si="12"/>
        <v>0</v>
      </c>
    </row>
    <row r="180" spans="1:13" x14ac:dyDescent="0.25">
      <c r="A180" s="56"/>
      <c r="G180" s="13"/>
      <c r="H180" s="35">
        <v>175</v>
      </c>
      <c r="I180" s="36" t="str">
        <f t="shared" si="10"/>
        <v/>
      </c>
      <c r="J180" s="35">
        <f t="shared" si="13"/>
        <v>-6</v>
      </c>
      <c r="K180" s="35">
        <f t="shared" si="11"/>
        <v>-60</v>
      </c>
      <c r="L180" s="35"/>
      <c r="M180" s="37">
        <f t="shared" si="12"/>
        <v>0</v>
      </c>
    </row>
    <row r="181" spans="1:13" x14ac:dyDescent="0.25">
      <c r="A181" s="56"/>
      <c r="G181" s="13"/>
      <c r="H181" s="35">
        <v>176</v>
      </c>
      <c r="I181" s="36" t="str">
        <f t="shared" si="10"/>
        <v/>
      </c>
      <c r="J181" s="35">
        <f t="shared" si="13"/>
        <v>-6</v>
      </c>
      <c r="K181" s="35">
        <f t="shared" si="11"/>
        <v>-60</v>
      </c>
      <c r="L181" s="35"/>
      <c r="M181" s="37">
        <f t="shared" si="12"/>
        <v>0</v>
      </c>
    </row>
    <row r="182" spans="1:13" x14ac:dyDescent="0.25">
      <c r="A182" s="56"/>
      <c r="G182" s="13"/>
      <c r="H182" s="35">
        <v>177</v>
      </c>
      <c r="I182" s="36" t="str">
        <f t="shared" si="10"/>
        <v/>
      </c>
      <c r="J182" s="35">
        <f t="shared" si="13"/>
        <v>-6</v>
      </c>
      <c r="K182" s="35">
        <f t="shared" si="11"/>
        <v>-60</v>
      </c>
      <c r="L182" s="35"/>
      <c r="M182" s="37">
        <f t="shared" si="12"/>
        <v>0</v>
      </c>
    </row>
    <row r="183" spans="1:13" x14ac:dyDescent="0.25">
      <c r="A183" s="56"/>
      <c r="G183" s="13"/>
      <c r="H183" s="35">
        <v>178</v>
      </c>
      <c r="I183" s="36" t="str">
        <f t="shared" si="10"/>
        <v/>
      </c>
      <c r="J183" s="35">
        <f t="shared" si="13"/>
        <v>-6</v>
      </c>
      <c r="K183" s="35">
        <f t="shared" si="11"/>
        <v>-60</v>
      </c>
      <c r="L183" s="35"/>
      <c r="M183" s="37">
        <f t="shared" si="12"/>
        <v>0</v>
      </c>
    </row>
    <row r="184" spans="1:13" x14ac:dyDescent="0.25">
      <c r="A184" s="56"/>
      <c r="G184" s="13"/>
      <c r="H184" s="35">
        <v>179</v>
      </c>
      <c r="I184" s="36" t="str">
        <f t="shared" si="10"/>
        <v/>
      </c>
      <c r="J184" s="35">
        <f t="shared" si="13"/>
        <v>-6</v>
      </c>
      <c r="K184" s="35">
        <f t="shared" si="11"/>
        <v>-60</v>
      </c>
      <c r="L184" s="35"/>
      <c r="M184" s="37">
        <f t="shared" si="12"/>
        <v>0</v>
      </c>
    </row>
    <row r="185" spans="1:13" x14ac:dyDescent="0.25">
      <c r="A185" s="56"/>
      <c r="G185" s="13"/>
      <c r="H185" s="35">
        <v>180</v>
      </c>
      <c r="I185" s="36" t="str">
        <f t="shared" si="10"/>
        <v/>
      </c>
      <c r="J185" s="35">
        <f t="shared" si="13"/>
        <v>-6</v>
      </c>
      <c r="K185" s="35">
        <f t="shared" si="11"/>
        <v>-60</v>
      </c>
      <c r="L185" s="35"/>
      <c r="M185" s="37">
        <f t="shared" si="12"/>
        <v>0</v>
      </c>
    </row>
    <row r="186" spans="1:13" x14ac:dyDescent="0.25">
      <c r="A186" s="56"/>
      <c r="G186" s="13"/>
      <c r="H186" s="35">
        <v>181</v>
      </c>
      <c r="I186" s="36" t="str">
        <f t="shared" si="10"/>
        <v/>
      </c>
      <c r="J186" s="35">
        <f t="shared" si="13"/>
        <v>-6</v>
      </c>
      <c r="K186" s="35">
        <f t="shared" si="11"/>
        <v>-60</v>
      </c>
      <c r="L186" s="35"/>
      <c r="M186" s="37">
        <f t="shared" si="12"/>
        <v>0</v>
      </c>
    </row>
    <row r="187" spans="1:13" x14ac:dyDescent="0.25">
      <c r="A187" s="56"/>
      <c r="G187" s="13"/>
      <c r="H187" s="35">
        <v>182</v>
      </c>
      <c r="I187" s="36" t="str">
        <f t="shared" si="10"/>
        <v/>
      </c>
      <c r="J187" s="35">
        <f t="shared" si="13"/>
        <v>-6</v>
      </c>
      <c r="K187" s="35">
        <f t="shared" si="11"/>
        <v>-60</v>
      </c>
      <c r="L187" s="35"/>
      <c r="M187" s="37">
        <f t="shared" si="12"/>
        <v>0</v>
      </c>
    </row>
    <row r="188" spans="1:13" x14ac:dyDescent="0.25">
      <c r="A188" s="56"/>
      <c r="G188" s="13"/>
      <c r="H188" s="35">
        <v>183</v>
      </c>
      <c r="I188" s="36" t="str">
        <f t="shared" si="10"/>
        <v/>
      </c>
      <c r="J188" s="35">
        <f t="shared" si="13"/>
        <v>-6</v>
      </c>
      <c r="K188" s="35">
        <f t="shared" si="11"/>
        <v>-60</v>
      </c>
      <c r="L188" s="35"/>
      <c r="M188" s="37">
        <f t="shared" si="12"/>
        <v>0</v>
      </c>
    </row>
    <row r="189" spans="1:13" x14ac:dyDescent="0.25">
      <c r="A189" s="56"/>
      <c r="G189" s="13"/>
      <c r="H189" s="35">
        <v>184</v>
      </c>
      <c r="I189" s="36" t="str">
        <f t="shared" si="10"/>
        <v/>
      </c>
      <c r="J189" s="35">
        <f t="shared" si="13"/>
        <v>-6</v>
      </c>
      <c r="K189" s="35">
        <f t="shared" si="11"/>
        <v>-60</v>
      </c>
      <c r="L189" s="35"/>
      <c r="M189" s="37">
        <f t="shared" si="12"/>
        <v>0</v>
      </c>
    </row>
    <row r="190" spans="1:13" x14ac:dyDescent="0.25">
      <c r="A190" s="56"/>
      <c r="G190" s="13"/>
      <c r="H190" s="35">
        <v>185</v>
      </c>
      <c r="I190" s="36" t="str">
        <f t="shared" si="10"/>
        <v/>
      </c>
      <c r="J190" s="35">
        <f t="shared" si="13"/>
        <v>-6</v>
      </c>
      <c r="K190" s="35">
        <f t="shared" si="11"/>
        <v>-60</v>
      </c>
      <c r="L190" s="35"/>
      <c r="M190" s="37">
        <f t="shared" si="12"/>
        <v>0</v>
      </c>
    </row>
    <row r="191" spans="1:13" x14ac:dyDescent="0.25">
      <c r="A191" s="56"/>
      <c r="G191" s="13"/>
      <c r="H191" s="35">
        <v>186</v>
      </c>
      <c r="I191" s="36" t="str">
        <f t="shared" si="10"/>
        <v/>
      </c>
      <c r="J191" s="35">
        <f t="shared" si="13"/>
        <v>-6</v>
      </c>
      <c r="K191" s="35">
        <f t="shared" si="11"/>
        <v>-60</v>
      </c>
      <c r="L191" s="35"/>
      <c r="M191" s="37">
        <f t="shared" si="12"/>
        <v>0</v>
      </c>
    </row>
    <row r="192" spans="1:13" x14ac:dyDescent="0.25">
      <c r="A192" s="56"/>
      <c r="G192" s="13"/>
      <c r="H192" s="35">
        <v>187</v>
      </c>
      <c r="I192" s="36" t="str">
        <f t="shared" si="10"/>
        <v/>
      </c>
      <c r="J192" s="35">
        <f t="shared" si="13"/>
        <v>-6</v>
      </c>
      <c r="K192" s="35">
        <f t="shared" si="11"/>
        <v>-60</v>
      </c>
      <c r="L192" s="35"/>
      <c r="M192" s="37">
        <f t="shared" si="12"/>
        <v>0</v>
      </c>
    </row>
    <row r="193" spans="1:13" x14ac:dyDescent="0.25">
      <c r="A193" s="56"/>
      <c r="G193" s="13"/>
      <c r="H193" s="35">
        <v>188</v>
      </c>
      <c r="I193" s="36" t="str">
        <f t="shared" si="10"/>
        <v/>
      </c>
      <c r="J193" s="35">
        <f t="shared" si="13"/>
        <v>-6</v>
      </c>
      <c r="K193" s="35">
        <f t="shared" si="11"/>
        <v>-60</v>
      </c>
      <c r="L193" s="35"/>
      <c r="M193" s="37">
        <f t="shared" si="12"/>
        <v>0</v>
      </c>
    </row>
    <row r="194" spans="1:13" x14ac:dyDescent="0.25">
      <c r="A194" s="56"/>
      <c r="G194" s="13"/>
      <c r="H194" s="35">
        <v>189</v>
      </c>
      <c r="I194" s="36" t="str">
        <f t="shared" si="10"/>
        <v/>
      </c>
      <c r="J194" s="35">
        <f t="shared" si="13"/>
        <v>-6</v>
      </c>
      <c r="K194" s="35">
        <f t="shared" si="11"/>
        <v>-60</v>
      </c>
      <c r="L194" s="35"/>
      <c r="M194" s="37">
        <f t="shared" si="12"/>
        <v>0</v>
      </c>
    </row>
    <row r="195" spans="1:13" x14ac:dyDescent="0.25">
      <c r="A195" s="56"/>
      <c r="G195" s="13"/>
      <c r="H195" s="35">
        <v>190</v>
      </c>
      <c r="I195" s="36" t="str">
        <f t="shared" si="10"/>
        <v/>
      </c>
      <c r="J195" s="35">
        <f t="shared" si="13"/>
        <v>-6</v>
      </c>
      <c r="K195" s="35">
        <f t="shared" si="11"/>
        <v>-60</v>
      </c>
      <c r="L195" s="35"/>
      <c r="M195" s="37">
        <f t="shared" si="12"/>
        <v>0</v>
      </c>
    </row>
    <row r="196" spans="1:13" x14ac:dyDescent="0.25">
      <c r="A196" s="56"/>
      <c r="G196" s="13"/>
      <c r="H196" s="35">
        <v>191</v>
      </c>
      <c r="I196" s="36" t="str">
        <f t="shared" si="10"/>
        <v/>
      </c>
      <c r="J196" s="35">
        <f t="shared" si="13"/>
        <v>-6</v>
      </c>
      <c r="K196" s="35">
        <f t="shared" si="11"/>
        <v>-60</v>
      </c>
      <c r="L196" s="35"/>
      <c r="M196" s="37">
        <f t="shared" si="12"/>
        <v>0</v>
      </c>
    </row>
    <row r="197" spans="1:13" x14ac:dyDescent="0.25">
      <c r="A197" s="56"/>
      <c r="G197" s="13"/>
      <c r="H197" s="35">
        <v>192</v>
      </c>
      <c r="I197" s="36" t="str">
        <f t="shared" si="10"/>
        <v/>
      </c>
      <c r="J197" s="35">
        <f t="shared" si="13"/>
        <v>-6</v>
      </c>
      <c r="K197" s="35">
        <f t="shared" si="11"/>
        <v>-60</v>
      </c>
      <c r="L197" s="35"/>
      <c r="M197" s="37">
        <f t="shared" si="12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4">IF(H198&lt;$H$2+1,($I$2-($I$2-1)*(LOG(H198)/LOG($H$2))),"")</f>
        <v/>
      </c>
      <c r="J198" s="35">
        <f t="shared" si="13"/>
        <v>-6</v>
      </c>
      <c r="K198" s="35">
        <f t="shared" ref="K198:K261" si="15">J198*$J$2</f>
        <v>-60</v>
      </c>
      <c r="L198" s="35"/>
      <c r="M198" s="37">
        <f t="shared" ref="M198:M261" si="16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4"/>
        <v/>
      </c>
      <c r="J199" s="35">
        <f t="shared" ref="J199:J262" si="17">INT(LOG($H$2,2))-ROUNDUP(LOG(H199,2),0)+IF(OR($H$2=1,$H$2=2,$H$2=4,$H$2=8,$H$2=16,$H$2=32,$H$2=64,$H$2=128,$H$2=256),0,1)</f>
        <v>-6</v>
      </c>
      <c r="K199" s="35">
        <f t="shared" si="15"/>
        <v>-60</v>
      </c>
      <c r="L199" s="35"/>
      <c r="M199" s="37">
        <f t="shared" si="16"/>
        <v>0</v>
      </c>
    </row>
    <row r="200" spans="1:13" x14ac:dyDescent="0.25">
      <c r="A200" s="56"/>
      <c r="G200" s="13"/>
      <c r="H200" s="35">
        <v>195</v>
      </c>
      <c r="I200" s="36" t="str">
        <f t="shared" si="14"/>
        <v/>
      </c>
      <c r="J200" s="35">
        <f t="shared" si="17"/>
        <v>-6</v>
      </c>
      <c r="K200" s="35">
        <f t="shared" si="15"/>
        <v>-60</v>
      </c>
      <c r="L200" s="35"/>
      <c r="M200" s="37">
        <f t="shared" si="16"/>
        <v>0</v>
      </c>
    </row>
    <row r="201" spans="1:13" x14ac:dyDescent="0.25">
      <c r="A201" s="56"/>
      <c r="G201" s="13"/>
      <c r="H201" s="35">
        <v>196</v>
      </c>
      <c r="I201" s="36" t="str">
        <f t="shared" si="14"/>
        <v/>
      </c>
      <c r="J201" s="35">
        <f t="shared" si="17"/>
        <v>-6</v>
      </c>
      <c r="K201" s="35">
        <f t="shared" si="15"/>
        <v>-60</v>
      </c>
      <c r="L201" s="35"/>
      <c r="M201" s="37">
        <f t="shared" si="16"/>
        <v>0</v>
      </c>
    </row>
    <row r="202" spans="1:13" x14ac:dyDescent="0.25">
      <c r="A202" s="56"/>
      <c r="G202" s="13"/>
      <c r="H202" s="35">
        <v>197</v>
      </c>
      <c r="I202" s="36" t="str">
        <f t="shared" si="14"/>
        <v/>
      </c>
      <c r="J202" s="35">
        <f t="shared" si="17"/>
        <v>-6</v>
      </c>
      <c r="K202" s="35">
        <f t="shared" si="15"/>
        <v>-60</v>
      </c>
      <c r="L202" s="35"/>
      <c r="M202" s="37">
        <f t="shared" si="16"/>
        <v>0</v>
      </c>
    </row>
    <row r="203" spans="1:13" x14ac:dyDescent="0.25">
      <c r="A203" s="56"/>
      <c r="G203" s="13"/>
      <c r="H203" s="35">
        <v>198</v>
      </c>
      <c r="I203" s="36" t="str">
        <f t="shared" si="14"/>
        <v/>
      </c>
      <c r="J203" s="35">
        <f t="shared" si="17"/>
        <v>-6</v>
      </c>
      <c r="K203" s="35">
        <f t="shared" si="15"/>
        <v>-60</v>
      </c>
      <c r="L203" s="35"/>
      <c r="M203" s="37">
        <f t="shared" si="16"/>
        <v>0</v>
      </c>
    </row>
    <row r="204" spans="1:13" x14ac:dyDescent="0.25">
      <c r="A204" s="56"/>
      <c r="G204" s="13"/>
      <c r="H204" s="35">
        <v>199</v>
      </c>
      <c r="I204" s="36" t="str">
        <f t="shared" si="14"/>
        <v/>
      </c>
      <c r="J204" s="35">
        <f t="shared" si="17"/>
        <v>-6</v>
      </c>
      <c r="K204" s="35">
        <f t="shared" si="15"/>
        <v>-60</v>
      </c>
      <c r="L204" s="35"/>
      <c r="M204" s="37">
        <f t="shared" si="16"/>
        <v>0</v>
      </c>
    </row>
    <row r="205" spans="1:13" x14ac:dyDescent="0.25">
      <c r="A205" s="56"/>
      <c r="G205" s="13"/>
      <c r="H205" s="35">
        <v>200</v>
      </c>
      <c r="I205" s="36" t="str">
        <f t="shared" si="14"/>
        <v/>
      </c>
      <c r="J205" s="35">
        <f t="shared" si="17"/>
        <v>-6</v>
      </c>
      <c r="K205" s="35">
        <f t="shared" si="15"/>
        <v>-60</v>
      </c>
      <c r="L205" s="35"/>
      <c r="M205" s="37">
        <f t="shared" si="16"/>
        <v>0</v>
      </c>
    </row>
    <row r="206" spans="1:13" x14ac:dyDescent="0.25">
      <c r="A206" s="56"/>
      <c r="G206" s="13"/>
      <c r="H206" s="35">
        <v>201</v>
      </c>
      <c r="I206" s="36" t="str">
        <f t="shared" si="14"/>
        <v/>
      </c>
      <c r="J206" s="35">
        <f t="shared" si="17"/>
        <v>-6</v>
      </c>
      <c r="K206" s="35">
        <f t="shared" si="15"/>
        <v>-60</v>
      </c>
      <c r="L206" s="35"/>
      <c r="M206" s="37">
        <f t="shared" si="16"/>
        <v>0</v>
      </c>
    </row>
    <row r="207" spans="1:13" x14ac:dyDescent="0.25">
      <c r="A207" s="56"/>
      <c r="G207" s="13"/>
      <c r="H207" s="35">
        <v>202</v>
      </c>
      <c r="I207" s="36" t="str">
        <f t="shared" si="14"/>
        <v/>
      </c>
      <c r="J207" s="35">
        <f t="shared" si="17"/>
        <v>-6</v>
      </c>
      <c r="K207" s="35">
        <f t="shared" si="15"/>
        <v>-60</v>
      </c>
      <c r="L207" s="35"/>
      <c r="M207" s="37">
        <f t="shared" si="16"/>
        <v>0</v>
      </c>
    </row>
    <row r="208" spans="1:13" x14ac:dyDescent="0.25">
      <c r="A208" s="56"/>
      <c r="G208" s="13"/>
      <c r="H208" s="35">
        <v>203</v>
      </c>
      <c r="I208" s="36" t="str">
        <f t="shared" si="14"/>
        <v/>
      </c>
      <c r="J208" s="35">
        <f t="shared" si="17"/>
        <v>-6</v>
      </c>
      <c r="K208" s="35">
        <f t="shared" si="15"/>
        <v>-60</v>
      </c>
      <c r="L208" s="35"/>
      <c r="M208" s="37">
        <f t="shared" si="16"/>
        <v>0</v>
      </c>
    </row>
    <row r="209" spans="1:13" x14ac:dyDescent="0.25">
      <c r="A209" s="56"/>
      <c r="G209" s="13"/>
      <c r="H209" s="35">
        <v>204</v>
      </c>
      <c r="I209" s="36" t="str">
        <f t="shared" si="14"/>
        <v/>
      </c>
      <c r="J209" s="35">
        <f t="shared" si="17"/>
        <v>-6</v>
      </c>
      <c r="K209" s="35">
        <f t="shared" si="15"/>
        <v>-60</v>
      </c>
      <c r="L209" s="35"/>
      <c r="M209" s="37">
        <f t="shared" si="16"/>
        <v>0</v>
      </c>
    </row>
    <row r="210" spans="1:13" x14ac:dyDescent="0.25">
      <c r="A210" s="56"/>
      <c r="G210" s="13"/>
      <c r="H210" s="35">
        <v>205</v>
      </c>
      <c r="I210" s="36" t="str">
        <f t="shared" si="14"/>
        <v/>
      </c>
      <c r="J210" s="35">
        <f t="shared" si="17"/>
        <v>-6</v>
      </c>
      <c r="K210" s="35">
        <f t="shared" si="15"/>
        <v>-60</v>
      </c>
      <c r="L210" s="35"/>
      <c r="M210" s="37">
        <f t="shared" si="16"/>
        <v>0</v>
      </c>
    </row>
    <row r="211" spans="1:13" x14ac:dyDescent="0.25">
      <c r="A211" s="56"/>
      <c r="G211" s="13"/>
      <c r="H211" s="35">
        <v>206</v>
      </c>
      <c r="I211" s="36" t="str">
        <f t="shared" si="14"/>
        <v/>
      </c>
      <c r="J211" s="35">
        <f t="shared" si="17"/>
        <v>-6</v>
      </c>
      <c r="K211" s="35">
        <f t="shared" si="15"/>
        <v>-60</v>
      </c>
      <c r="L211" s="35"/>
      <c r="M211" s="37">
        <f t="shared" si="16"/>
        <v>0</v>
      </c>
    </row>
    <row r="212" spans="1:13" x14ac:dyDescent="0.25">
      <c r="A212" s="56"/>
      <c r="G212" s="13"/>
      <c r="H212" s="35">
        <v>207</v>
      </c>
      <c r="I212" s="36" t="str">
        <f t="shared" si="14"/>
        <v/>
      </c>
      <c r="J212" s="35">
        <f t="shared" si="17"/>
        <v>-6</v>
      </c>
      <c r="K212" s="35">
        <f t="shared" si="15"/>
        <v>-60</v>
      </c>
      <c r="L212" s="35"/>
      <c r="M212" s="37">
        <f t="shared" si="16"/>
        <v>0</v>
      </c>
    </row>
    <row r="213" spans="1:13" x14ac:dyDescent="0.25">
      <c r="A213" s="56"/>
      <c r="G213" s="13"/>
      <c r="H213" s="35">
        <v>208</v>
      </c>
      <c r="I213" s="36" t="str">
        <f t="shared" si="14"/>
        <v/>
      </c>
      <c r="J213" s="35">
        <f t="shared" si="17"/>
        <v>-6</v>
      </c>
      <c r="K213" s="35">
        <f t="shared" si="15"/>
        <v>-60</v>
      </c>
      <c r="L213" s="35"/>
      <c r="M213" s="37">
        <f t="shared" si="16"/>
        <v>0</v>
      </c>
    </row>
    <row r="214" spans="1:13" x14ac:dyDescent="0.25">
      <c r="A214" s="56"/>
      <c r="G214" s="13"/>
      <c r="H214" s="35">
        <v>209</v>
      </c>
      <c r="I214" s="36" t="str">
        <f t="shared" si="14"/>
        <v/>
      </c>
      <c r="J214" s="35">
        <f t="shared" si="17"/>
        <v>-6</v>
      </c>
      <c r="K214" s="35">
        <f t="shared" si="15"/>
        <v>-60</v>
      </c>
      <c r="L214" s="35"/>
      <c r="M214" s="37">
        <f t="shared" si="16"/>
        <v>0</v>
      </c>
    </row>
    <row r="215" spans="1:13" x14ac:dyDescent="0.25">
      <c r="A215" s="56"/>
      <c r="G215" s="13"/>
      <c r="H215" s="35">
        <v>210</v>
      </c>
      <c r="I215" s="36" t="str">
        <f t="shared" si="14"/>
        <v/>
      </c>
      <c r="J215" s="35">
        <f t="shared" si="17"/>
        <v>-6</v>
      </c>
      <c r="K215" s="35">
        <f t="shared" si="15"/>
        <v>-60</v>
      </c>
      <c r="L215" s="35"/>
      <c r="M215" s="37">
        <f t="shared" si="16"/>
        <v>0</v>
      </c>
    </row>
    <row r="216" spans="1:13" x14ac:dyDescent="0.25">
      <c r="A216" s="56"/>
      <c r="G216" s="13"/>
      <c r="H216" s="35">
        <v>211</v>
      </c>
      <c r="I216" s="36" t="str">
        <f t="shared" si="14"/>
        <v/>
      </c>
      <c r="J216" s="35">
        <f t="shared" si="17"/>
        <v>-6</v>
      </c>
      <c r="K216" s="35">
        <f t="shared" si="15"/>
        <v>-60</v>
      </c>
      <c r="L216" s="35"/>
      <c r="M216" s="37">
        <f t="shared" si="16"/>
        <v>0</v>
      </c>
    </row>
    <row r="217" spans="1:13" x14ac:dyDescent="0.25">
      <c r="A217" s="56"/>
      <c r="G217" s="13"/>
      <c r="H217" s="35">
        <v>212</v>
      </c>
      <c r="I217" s="36" t="str">
        <f t="shared" si="14"/>
        <v/>
      </c>
      <c r="J217" s="35">
        <f t="shared" si="17"/>
        <v>-6</v>
      </c>
      <c r="K217" s="35">
        <f t="shared" si="15"/>
        <v>-60</v>
      </c>
      <c r="L217" s="35"/>
      <c r="M217" s="37">
        <f t="shared" si="16"/>
        <v>0</v>
      </c>
    </row>
    <row r="218" spans="1:13" x14ac:dyDescent="0.25">
      <c r="A218" s="56"/>
      <c r="G218" s="13"/>
      <c r="H218" s="35">
        <v>213</v>
      </c>
      <c r="I218" s="36" t="str">
        <f t="shared" si="14"/>
        <v/>
      </c>
      <c r="J218" s="35">
        <f t="shared" si="17"/>
        <v>-6</v>
      </c>
      <c r="K218" s="35">
        <f t="shared" si="15"/>
        <v>-60</v>
      </c>
      <c r="L218" s="35"/>
      <c r="M218" s="37">
        <f t="shared" si="16"/>
        <v>0</v>
      </c>
    </row>
    <row r="219" spans="1:13" x14ac:dyDescent="0.25">
      <c r="A219" s="56"/>
      <c r="G219" s="13"/>
      <c r="H219" s="35">
        <v>214</v>
      </c>
      <c r="I219" s="36" t="str">
        <f t="shared" si="14"/>
        <v/>
      </c>
      <c r="J219" s="35">
        <f t="shared" si="17"/>
        <v>-6</v>
      </c>
      <c r="K219" s="35">
        <f t="shared" si="15"/>
        <v>-60</v>
      </c>
      <c r="L219" s="35"/>
      <c r="M219" s="37">
        <f t="shared" si="16"/>
        <v>0</v>
      </c>
    </row>
    <row r="220" spans="1:13" x14ac:dyDescent="0.25">
      <c r="A220" s="56"/>
      <c r="G220" s="13"/>
      <c r="H220" s="35">
        <v>215</v>
      </c>
      <c r="I220" s="36" t="str">
        <f t="shared" si="14"/>
        <v/>
      </c>
      <c r="J220" s="35">
        <f t="shared" si="17"/>
        <v>-6</v>
      </c>
      <c r="K220" s="35">
        <f t="shared" si="15"/>
        <v>-60</v>
      </c>
      <c r="L220" s="35"/>
      <c r="M220" s="37">
        <f t="shared" si="16"/>
        <v>0</v>
      </c>
    </row>
    <row r="221" spans="1:13" x14ac:dyDescent="0.25">
      <c r="A221" s="56"/>
      <c r="G221" s="13"/>
      <c r="H221" s="35">
        <v>216</v>
      </c>
      <c r="I221" s="36" t="str">
        <f t="shared" si="14"/>
        <v/>
      </c>
      <c r="J221" s="35">
        <f t="shared" si="17"/>
        <v>-6</v>
      </c>
      <c r="K221" s="35">
        <f t="shared" si="15"/>
        <v>-60</v>
      </c>
      <c r="L221" s="35"/>
      <c r="M221" s="37">
        <f t="shared" si="16"/>
        <v>0</v>
      </c>
    </row>
    <row r="222" spans="1:13" x14ac:dyDescent="0.25">
      <c r="A222" s="56"/>
      <c r="G222" s="13"/>
      <c r="H222" s="35">
        <v>217</v>
      </c>
      <c r="I222" s="36" t="str">
        <f t="shared" si="14"/>
        <v/>
      </c>
      <c r="J222" s="35">
        <f t="shared" si="17"/>
        <v>-6</v>
      </c>
      <c r="K222" s="35">
        <f t="shared" si="15"/>
        <v>-60</v>
      </c>
      <c r="L222" s="35"/>
      <c r="M222" s="37">
        <f t="shared" si="16"/>
        <v>0</v>
      </c>
    </row>
    <row r="223" spans="1:13" x14ac:dyDescent="0.25">
      <c r="A223" s="56"/>
      <c r="G223" s="13"/>
      <c r="H223" s="35">
        <v>218</v>
      </c>
      <c r="I223" s="36" t="str">
        <f t="shared" si="14"/>
        <v/>
      </c>
      <c r="J223" s="35">
        <f t="shared" si="17"/>
        <v>-6</v>
      </c>
      <c r="K223" s="35">
        <f t="shared" si="15"/>
        <v>-60</v>
      </c>
      <c r="L223" s="35"/>
      <c r="M223" s="37">
        <f t="shared" si="16"/>
        <v>0</v>
      </c>
    </row>
    <row r="224" spans="1:13" x14ac:dyDescent="0.25">
      <c r="A224" s="56"/>
      <c r="G224" s="13"/>
      <c r="H224" s="35">
        <v>219</v>
      </c>
      <c r="I224" s="36" t="str">
        <f t="shared" si="14"/>
        <v/>
      </c>
      <c r="J224" s="35">
        <f t="shared" si="17"/>
        <v>-6</v>
      </c>
      <c r="K224" s="35">
        <f t="shared" si="15"/>
        <v>-60</v>
      </c>
      <c r="L224" s="35"/>
      <c r="M224" s="37">
        <f t="shared" si="16"/>
        <v>0</v>
      </c>
    </row>
    <row r="225" spans="1:13" x14ac:dyDescent="0.25">
      <c r="A225" s="56"/>
      <c r="G225" s="13"/>
      <c r="H225" s="35">
        <v>220</v>
      </c>
      <c r="I225" s="36" t="str">
        <f t="shared" si="14"/>
        <v/>
      </c>
      <c r="J225" s="35">
        <f t="shared" si="17"/>
        <v>-6</v>
      </c>
      <c r="K225" s="35">
        <f t="shared" si="15"/>
        <v>-60</v>
      </c>
      <c r="L225" s="35"/>
      <c r="M225" s="37">
        <f t="shared" si="16"/>
        <v>0</v>
      </c>
    </row>
    <row r="226" spans="1:13" x14ac:dyDescent="0.25">
      <c r="A226" s="56"/>
      <c r="G226" s="13"/>
      <c r="H226" s="35">
        <v>221</v>
      </c>
      <c r="I226" s="36" t="str">
        <f t="shared" si="14"/>
        <v/>
      </c>
      <c r="J226" s="35">
        <f t="shared" si="17"/>
        <v>-6</v>
      </c>
      <c r="K226" s="35">
        <f t="shared" si="15"/>
        <v>-60</v>
      </c>
      <c r="L226" s="35"/>
      <c r="M226" s="37">
        <f t="shared" si="16"/>
        <v>0</v>
      </c>
    </row>
    <row r="227" spans="1:13" x14ac:dyDescent="0.25">
      <c r="A227" s="56"/>
      <c r="G227" s="13"/>
      <c r="H227" s="35">
        <v>222</v>
      </c>
      <c r="I227" s="36" t="str">
        <f t="shared" si="14"/>
        <v/>
      </c>
      <c r="J227" s="35">
        <f t="shared" si="17"/>
        <v>-6</v>
      </c>
      <c r="K227" s="35">
        <f t="shared" si="15"/>
        <v>-60</v>
      </c>
      <c r="L227" s="35"/>
      <c r="M227" s="37">
        <f t="shared" si="16"/>
        <v>0</v>
      </c>
    </row>
    <row r="228" spans="1:13" x14ac:dyDescent="0.25">
      <c r="A228" s="56"/>
      <c r="G228" s="13"/>
      <c r="H228" s="35">
        <v>223</v>
      </c>
      <c r="I228" s="36" t="str">
        <f t="shared" si="14"/>
        <v/>
      </c>
      <c r="J228" s="35">
        <f t="shared" si="17"/>
        <v>-6</v>
      </c>
      <c r="K228" s="35">
        <f t="shared" si="15"/>
        <v>-60</v>
      </c>
      <c r="L228" s="35"/>
      <c r="M228" s="37">
        <f t="shared" si="16"/>
        <v>0</v>
      </c>
    </row>
    <row r="229" spans="1:13" x14ac:dyDescent="0.25">
      <c r="A229" s="56"/>
      <c r="G229" s="13"/>
      <c r="H229" s="35">
        <v>224</v>
      </c>
      <c r="I229" s="36" t="str">
        <f t="shared" si="14"/>
        <v/>
      </c>
      <c r="J229" s="35">
        <f t="shared" si="17"/>
        <v>-6</v>
      </c>
      <c r="K229" s="35">
        <f t="shared" si="15"/>
        <v>-60</v>
      </c>
      <c r="L229" s="35"/>
      <c r="M229" s="37">
        <f t="shared" si="16"/>
        <v>0</v>
      </c>
    </row>
    <row r="230" spans="1:13" x14ac:dyDescent="0.25">
      <c r="A230" s="56"/>
      <c r="G230" s="13"/>
      <c r="H230" s="35">
        <v>225</v>
      </c>
      <c r="I230" s="36" t="str">
        <f t="shared" si="14"/>
        <v/>
      </c>
      <c r="J230" s="35">
        <f t="shared" si="17"/>
        <v>-6</v>
      </c>
      <c r="K230" s="35">
        <f t="shared" si="15"/>
        <v>-60</v>
      </c>
      <c r="L230" s="35"/>
      <c r="M230" s="37">
        <f t="shared" si="16"/>
        <v>0</v>
      </c>
    </row>
    <row r="231" spans="1:13" x14ac:dyDescent="0.25">
      <c r="A231" s="56"/>
      <c r="G231" s="13"/>
      <c r="H231" s="35">
        <v>226</v>
      </c>
      <c r="I231" s="36" t="str">
        <f t="shared" si="14"/>
        <v/>
      </c>
      <c r="J231" s="35">
        <f t="shared" si="17"/>
        <v>-6</v>
      </c>
      <c r="K231" s="35">
        <f t="shared" si="15"/>
        <v>-60</v>
      </c>
      <c r="L231" s="35"/>
      <c r="M231" s="37">
        <f t="shared" si="16"/>
        <v>0</v>
      </c>
    </row>
    <row r="232" spans="1:13" x14ac:dyDescent="0.25">
      <c r="A232" s="56"/>
      <c r="G232" s="13"/>
      <c r="H232" s="35">
        <v>227</v>
      </c>
      <c r="I232" s="36" t="str">
        <f t="shared" si="14"/>
        <v/>
      </c>
      <c r="J232" s="35">
        <f t="shared" si="17"/>
        <v>-6</v>
      </c>
      <c r="K232" s="35">
        <f t="shared" si="15"/>
        <v>-60</v>
      </c>
      <c r="L232" s="35"/>
      <c r="M232" s="37">
        <f t="shared" si="16"/>
        <v>0</v>
      </c>
    </row>
    <row r="233" spans="1:13" x14ac:dyDescent="0.25">
      <c r="A233" s="56"/>
      <c r="G233" s="13"/>
      <c r="H233" s="35">
        <v>228</v>
      </c>
      <c r="I233" s="36" t="str">
        <f t="shared" si="14"/>
        <v/>
      </c>
      <c r="J233" s="35">
        <f t="shared" si="17"/>
        <v>-6</v>
      </c>
      <c r="K233" s="35">
        <f t="shared" si="15"/>
        <v>-60</v>
      </c>
      <c r="L233" s="35"/>
      <c r="M233" s="37">
        <f t="shared" si="16"/>
        <v>0</v>
      </c>
    </row>
    <row r="234" spans="1:13" x14ac:dyDescent="0.25">
      <c r="A234" s="56"/>
      <c r="G234" s="13"/>
      <c r="H234" s="35">
        <v>229</v>
      </c>
      <c r="I234" s="36" t="str">
        <f t="shared" si="14"/>
        <v/>
      </c>
      <c r="J234" s="35">
        <f t="shared" si="17"/>
        <v>-6</v>
      </c>
      <c r="K234" s="35">
        <f t="shared" si="15"/>
        <v>-60</v>
      </c>
      <c r="L234" s="35"/>
      <c r="M234" s="37">
        <f t="shared" si="16"/>
        <v>0</v>
      </c>
    </row>
    <row r="235" spans="1:13" x14ac:dyDescent="0.25">
      <c r="A235" s="56"/>
      <c r="G235" s="13"/>
      <c r="H235" s="35">
        <v>230</v>
      </c>
      <c r="I235" s="36" t="str">
        <f t="shared" si="14"/>
        <v/>
      </c>
      <c r="J235" s="35">
        <f t="shared" si="17"/>
        <v>-6</v>
      </c>
      <c r="K235" s="35">
        <f t="shared" si="15"/>
        <v>-60</v>
      </c>
      <c r="L235" s="35"/>
      <c r="M235" s="37">
        <f t="shared" si="16"/>
        <v>0</v>
      </c>
    </row>
    <row r="236" spans="1:13" x14ac:dyDescent="0.25">
      <c r="A236" s="56"/>
      <c r="G236" s="13"/>
      <c r="H236" s="35">
        <v>231</v>
      </c>
      <c r="I236" s="36" t="str">
        <f t="shared" si="14"/>
        <v/>
      </c>
      <c r="J236" s="35">
        <f t="shared" si="17"/>
        <v>-6</v>
      </c>
      <c r="K236" s="35">
        <f t="shared" si="15"/>
        <v>-60</v>
      </c>
      <c r="L236" s="35"/>
      <c r="M236" s="37">
        <f t="shared" si="16"/>
        <v>0</v>
      </c>
    </row>
    <row r="237" spans="1:13" x14ac:dyDescent="0.25">
      <c r="A237" s="56"/>
      <c r="G237" s="13"/>
      <c r="H237" s="35">
        <v>232</v>
      </c>
      <c r="I237" s="36" t="str">
        <f t="shared" si="14"/>
        <v/>
      </c>
      <c r="J237" s="35">
        <f t="shared" si="17"/>
        <v>-6</v>
      </c>
      <c r="K237" s="35">
        <f t="shared" si="15"/>
        <v>-60</v>
      </c>
      <c r="L237" s="35"/>
      <c r="M237" s="37">
        <f t="shared" si="16"/>
        <v>0</v>
      </c>
    </row>
    <row r="238" spans="1:13" x14ac:dyDescent="0.25">
      <c r="A238" s="56"/>
      <c r="G238" s="13"/>
      <c r="H238" s="35">
        <v>233</v>
      </c>
      <c r="I238" s="36" t="str">
        <f t="shared" si="14"/>
        <v/>
      </c>
      <c r="J238" s="35">
        <f t="shared" si="17"/>
        <v>-6</v>
      </c>
      <c r="K238" s="35">
        <f t="shared" si="15"/>
        <v>-60</v>
      </c>
      <c r="L238" s="35"/>
      <c r="M238" s="37">
        <f t="shared" si="16"/>
        <v>0</v>
      </c>
    </row>
    <row r="239" spans="1:13" x14ac:dyDescent="0.25">
      <c r="A239" s="56"/>
      <c r="G239" s="13"/>
      <c r="H239" s="35">
        <v>234</v>
      </c>
      <c r="I239" s="36" t="str">
        <f t="shared" si="14"/>
        <v/>
      </c>
      <c r="J239" s="35">
        <f t="shared" si="17"/>
        <v>-6</v>
      </c>
      <c r="K239" s="35">
        <f t="shared" si="15"/>
        <v>-60</v>
      </c>
      <c r="L239" s="35"/>
      <c r="M239" s="37">
        <f t="shared" si="16"/>
        <v>0</v>
      </c>
    </row>
    <row r="240" spans="1:13" x14ac:dyDescent="0.25">
      <c r="A240" s="56"/>
      <c r="G240" s="13"/>
      <c r="H240" s="35">
        <v>235</v>
      </c>
      <c r="I240" s="36" t="str">
        <f t="shared" si="14"/>
        <v/>
      </c>
      <c r="J240" s="35">
        <f t="shared" si="17"/>
        <v>-6</v>
      </c>
      <c r="K240" s="35">
        <f t="shared" si="15"/>
        <v>-60</v>
      </c>
      <c r="L240" s="35"/>
      <c r="M240" s="37">
        <f t="shared" si="16"/>
        <v>0</v>
      </c>
    </row>
    <row r="241" spans="1:13" x14ac:dyDescent="0.25">
      <c r="A241" s="56"/>
      <c r="G241" s="13"/>
      <c r="H241" s="35">
        <v>236</v>
      </c>
      <c r="I241" s="36" t="str">
        <f t="shared" si="14"/>
        <v/>
      </c>
      <c r="J241" s="35">
        <f t="shared" si="17"/>
        <v>-6</v>
      </c>
      <c r="K241" s="35">
        <f t="shared" si="15"/>
        <v>-60</v>
      </c>
      <c r="L241" s="35"/>
      <c r="M241" s="37">
        <f t="shared" si="16"/>
        <v>0</v>
      </c>
    </row>
    <row r="242" spans="1:13" x14ac:dyDescent="0.25">
      <c r="A242" s="56"/>
      <c r="G242" s="13"/>
      <c r="H242" s="35">
        <v>237</v>
      </c>
      <c r="I242" s="36" t="str">
        <f t="shared" si="14"/>
        <v/>
      </c>
      <c r="J242" s="35">
        <f t="shared" si="17"/>
        <v>-6</v>
      </c>
      <c r="K242" s="35">
        <f t="shared" si="15"/>
        <v>-60</v>
      </c>
      <c r="L242" s="35"/>
      <c r="M242" s="37">
        <f t="shared" si="16"/>
        <v>0</v>
      </c>
    </row>
    <row r="243" spans="1:13" x14ac:dyDescent="0.25">
      <c r="A243" s="56"/>
      <c r="G243" s="13"/>
      <c r="H243" s="35">
        <v>238</v>
      </c>
      <c r="I243" s="36" t="str">
        <f t="shared" si="14"/>
        <v/>
      </c>
      <c r="J243" s="35">
        <f t="shared" si="17"/>
        <v>-6</v>
      </c>
      <c r="K243" s="35">
        <f t="shared" si="15"/>
        <v>-60</v>
      </c>
      <c r="L243" s="35"/>
      <c r="M243" s="37">
        <f t="shared" si="16"/>
        <v>0</v>
      </c>
    </row>
    <row r="244" spans="1:13" x14ac:dyDescent="0.25">
      <c r="A244" s="56"/>
      <c r="G244" s="13"/>
      <c r="H244" s="35">
        <v>239</v>
      </c>
      <c r="I244" s="36" t="str">
        <f t="shared" si="14"/>
        <v/>
      </c>
      <c r="J244" s="35">
        <f t="shared" si="17"/>
        <v>-6</v>
      </c>
      <c r="K244" s="35">
        <f t="shared" si="15"/>
        <v>-60</v>
      </c>
      <c r="L244" s="35"/>
      <c r="M244" s="37">
        <f t="shared" si="16"/>
        <v>0</v>
      </c>
    </row>
    <row r="245" spans="1:13" x14ac:dyDescent="0.25">
      <c r="A245" s="56"/>
      <c r="G245" s="13"/>
      <c r="H245" s="35">
        <v>240</v>
      </c>
      <c r="I245" s="36" t="str">
        <f t="shared" si="14"/>
        <v/>
      </c>
      <c r="J245" s="35">
        <f t="shared" si="17"/>
        <v>-6</v>
      </c>
      <c r="K245" s="35">
        <f t="shared" si="15"/>
        <v>-60</v>
      </c>
      <c r="L245" s="35"/>
      <c r="M245" s="37">
        <f t="shared" si="16"/>
        <v>0</v>
      </c>
    </row>
    <row r="246" spans="1:13" x14ac:dyDescent="0.25">
      <c r="A246" s="56"/>
      <c r="G246" s="13"/>
      <c r="H246" s="35">
        <v>241</v>
      </c>
      <c r="I246" s="36" t="str">
        <f t="shared" si="14"/>
        <v/>
      </c>
      <c r="J246" s="35">
        <f t="shared" si="17"/>
        <v>-6</v>
      </c>
      <c r="K246" s="35">
        <f t="shared" si="15"/>
        <v>-60</v>
      </c>
      <c r="L246" s="35"/>
      <c r="M246" s="37">
        <f t="shared" si="16"/>
        <v>0</v>
      </c>
    </row>
    <row r="247" spans="1:13" x14ac:dyDescent="0.25">
      <c r="A247" s="56"/>
      <c r="G247" s="13"/>
      <c r="H247" s="35">
        <v>242</v>
      </c>
      <c r="I247" s="36" t="str">
        <f t="shared" si="14"/>
        <v/>
      </c>
      <c r="J247" s="35">
        <f t="shared" si="17"/>
        <v>-6</v>
      </c>
      <c r="K247" s="35">
        <f t="shared" si="15"/>
        <v>-60</v>
      </c>
      <c r="L247" s="35"/>
      <c r="M247" s="37">
        <f t="shared" si="16"/>
        <v>0</v>
      </c>
    </row>
    <row r="248" spans="1:13" x14ac:dyDescent="0.25">
      <c r="A248" s="56"/>
      <c r="G248" s="13"/>
      <c r="H248" s="35">
        <v>243</v>
      </c>
      <c r="I248" s="36" t="str">
        <f t="shared" si="14"/>
        <v/>
      </c>
      <c r="J248" s="35">
        <f t="shared" si="17"/>
        <v>-6</v>
      </c>
      <c r="K248" s="35">
        <f t="shared" si="15"/>
        <v>-60</v>
      </c>
      <c r="L248" s="35"/>
      <c r="M248" s="37">
        <f t="shared" si="16"/>
        <v>0</v>
      </c>
    </row>
    <row r="249" spans="1:13" x14ac:dyDescent="0.25">
      <c r="A249" s="56"/>
      <c r="G249" s="13"/>
      <c r="H249" s="35">
        <v>244</v>
      </c>
      <c r="I249" s="36" t="str">
        <f t="shared" si="14"/>
        <v/>
      </c>
      <c r="J249" s="35">
        <f t="shared" si="17"/>
        <v>-6</v>
      </c>
      <c r="K249" s="35">
        <f t="shared" si="15"/>
        <v>-60</v>
      </c>
      <c r="L249" s="35"/>
      <c r="M249" s="37">
        <f t="shared" si="16"/>
        <v>0</v>
      </c>
    </row>
    <row r="250" spans="1:13" x14ac:dyDescent="0.25">
      <c r="A250" s="56"/>
      <c r="G250" s="13"/>
      <c r="H250" s="35">
        <v>245</v>
      </c>
      <c r="I250" s="36" t="str">
        <f t="shared" si="14"/>
        <v/>
      </c>
      <c r="J250" s="35">
        <f t="shared" si="17"/>
        <v>-6</v>
      </c>
      <c r="K250" s="35">
        <f t="shared" si="15"/>
        <v>-60</v>
      </c>
      <c r="L250" s="35"/>
      <c r="M250" s="37">
        <f t="shared" si="16"/>
        <v>0</v>
      </c>
    </row>
    <row r="251" spans="1:13" x14ac:dyDescent="0.25">
      <c r="A251" s="56"/>
      <c r="G251" s="13"/>
      <c r="H251" s="35">
        <v>246</v>
      </c>
      <c r="I251" s="36" t="str">
        <f t="shared" si="14"/>
        <v/>
      </c>
      <c r="J251" s="35">
        <f t="shared" si="17"/>
        <v>-6</v>
      </c>
      <c r="K251" s="35">
        <f t="shared" si="15"/>
        <v>-60</v>
      </c>
      <c r="L251" s="35"/>
      <c r="M251" s="37">
        <f t="shared" si="16"/>
        <v>0</v>
      </c>
    </row>
    <row r="252" spans="1:13" x14ac:dyDescent="0.25">
      <c r="A252" s="56"/>
      <c r="G252" s="13"/>
      <c r="H252" s="35">
        <v>247</v>
      </c>
      <c r="I252" s="36" t="str">
        <f t="shared" si="14"/>
        <v/>
      </c>
      <c r="J252" s="35">
        <f t="shared" si="17"/>
        <v>-6</v>
      </c>
      <c r="K252" s="35">
        <f t="shared" si="15"/>
        <v>-60</v>
      </c>
      <c r="L252" s="35"/>
      <c r="M252" s="37">
        <f t="shared" si="16"/>
        <v>0</v>
      </c>
    </row>
    <row r="253" spans="1:13" x14ac:dyDescent="0.25">
      <c r="A253" s="56"/>
      <c r="G253" s="13"/>
      <c r="H253" s="35">
        <v>248</v>
      </c>
      <c r="I253" s="36" t="str">
        <f t="shared" si="14"/>
        <v/>
      </c>
      <c r="J253" s="35">
        <f t="shared" si="17"/>
        <v>-6</v>
      </c>
      <c r="K253" s="35">
        <f t="shared" si="15"/>
        <v>-60</v>
      </c>
      <c r="L253" s="35"/>
      <c r="M253" s="37">
        <f t="shared" si="16"/>
        <v>0</v>
      </c>
    </row>
    <row r="254" spans="1:13" x14ac:dyDescent="0.25">
      <c r="A254" s="56"/>
      <c r="G254" s="13"/>
      <c r="H254" s="35">
        <v>249</v>
      </c>
      <c r="I254" s="36" t="str">
        <f t="shared" si="14"/>
        <v/>
      </c>
      <c r="J254" s="35">
        <f t="shared" si="17"/>
        <v>-6</v>
      </c>
      <c r="K254" s="35">
        <f t="shared" si="15"/>
        <v>-60</v>
      </c>
      <c r="L254" s="35"/>
      <c r="M254" s="37">
        <f t="shared" si="16"/>
        <v>0</v>
      </c>
    </row>
    <row r="255" spans="1:13" x14ac:dyDescent="0.25">
      <c r="A255" s="56"/>
      <c r="G255" s="13"/>
      <c r="H255" s="35">
        <v>250</v>
      </c>
      <c r="I255" s="36" t="str">
        <f t="shared" si="14"/>
        <v/>
      </c>
      <c r="J255" s="35">
        <f t="shared" si="17"/>
        <v>-6</v>
      </c>
      <c r="K255" s="35">
        <f t="shared" si="15"/>
        <v>-60</v>
      </c>
      <c r="L255" s="35"/>
      <c r="M255" s="37">
        <f t="shared" si="16"/>
        <v>0</v>
      </c>
    </row>
    <row r="256" spans="1:13" x14ac:dyDescent="0.25">
      <c r="A256" s="56"/>
      <c r="G256" s="13"/>
      <c r="H256" s="35">
        <v>251</v>
      </c>
      <c r="I256" s="36" t="str">
        <f t="shared" si="14"/>
        <v/>
      </c>
      <c r="J256" s="35">
        <f t="shared" si="17"/>
        <v>-6</v>
      </c>
      <c r="K256" s="35">
        <f t="shared" si="15"/>
        <v>-60</v>
      </c>
      <c r="L256" s="35"/>
      <c r="M256" s="37">
        <f t="shared" si="16"/>
        <v>0</v>
      </c>
    </row>
    <row r="257" spans="1:13" x14ac:dyDescent="0.25">
      <c r="A257" s="56"/>
      <c r="G257" s="13"/>
      <c r="H257" s="35">
        <v>252</v>
      </c>
      <c r="I257" s="36" t="str">
        <f t="shared" si="14"/>
        <v/>
      </c>
      <c r="J257" s="35">
        <f t="shared" si="17"/>
        <v>-6</v>
      </c>
      <c r="K257" s="35">
        <f t="shared" si="15"/>
        <v>-60</v>
      </c>
      <c r="L257" s="35"/>
      <c r="M257" s="37">
        <f t="shared" si="16"/>
        <v>0</v>
      </c>
    </row>
    <row r="258" spans="1:13" x14ac:dyDescent="0.25">
      <c r="A258" s="56"/>
      <c r="G258" s="13"/>
      <c r="H258" s="35">
        <v>253</v>
      </c>
      <c r="I258" s="36" t="str">
        <f t="shared" si="14"/>
        <v/>
      </c>
      <c r="J258" s="35">
        <f t="shared" si="17"/>
        <v>-6</v>
      </c>
      <c r="K258" s="35">
        <f t="shared" si="15"/>
        <v>-60</v>
      </c>
      <c r="L258" s="35"/>
      <c r="M258" s="37">
        <f t="shared" si="16"/>
        <v>0</v>
      </c>
    </row>
    <row r="259" spans="1:13" x14ac:dyDescent="0.25">
      <c r="A259" s="56"/>
      <c r="G259" s="13"/>
      <c r="H259" s="35">
        <v>254</v>
      </c>
      <c r="I259" s="36" t="str">
        <f t="shared" si="14"/>
        <v/>
      </c>
      <c r="J259" s="35">
        <f t="shared" si="17"/>
        <v>-6</v>
      </c>
      <c r="K259" s="35">
        <f t="shared" si="15"/>
        <v>-60</v>
      </c>
      <c r="L259" s="35"/>
      <c r="M259" s="37">
        <f t="shared" si="16"/>
        <v>0</v>
      </c>
    </row>
    <row r="260" spans="1:13" x14ac:dyDescent="0.25">
      <c r="A260" s="56"/>
      <c r="G260" s="13"/>
      <c r="H260" s="35">
        <v>255</v>
      </c>
      <c r="I260" s="36" t="str">
        <f t="shared" si="14"/>
        <v/>
      </c>
      <c r="J260" s="35">
        <f t="shared" si="17"/>
        <v>-6</v>
      </c>
      <c r="K260" s="35">
        <f t="shared" si="15"/>
        <v>-60</v>
      </c>
      <c r="L260" s="35"/>
      <c r="M260" s="37">
        <f t="shared" si="16"/>
        <v>0</v>
      </c>
    </row>
    <row r="261" spans="1:13" x14ac:dyDescent="0.25">
      <c r="A261" s="56"/>
      <c r="G261" s="13"/>
      <c r="H261" s="35">
        <v>256</v>
      </c>
      <c r="I261" s="36" t="str">
        <f t="shared" si="14"/>
        <v/>
      </c>
      <c r="J261" s="35">
        <f t="shared" si="17"/>
        <v>-6</v>
      </c>
      <c r="K261" s="35">
        <f t="shared" si="15"/>
        <v>-60</v>
      </c>
      <c r="L261" s="35"/>
      <c r="M261" s="37">
        <f t="shared" si="16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8">IF(H262&lt;$H$2+1,($I$2-($I$2-1)*(LOG(H262)/LOG($H$2))),"")</f>
        <v/>
      </c>
      <c r="J262" s="35">
        <f t="shared" si="17"/>
        <v>-7</v>
      </c>
      <c r="K262" s="35">
        <f t="shared" ref="K262:K305" si="19">J262*$J$2</f>
        <v>-70</v>
      </c>
      <c r="L262" s="35"/>
      <c r="M262" s="37">
        <f t="shared" ref="M262:M305" si="20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8"/>
        <v/>
      </c>
      <c r="J263" s="35">
        <f t="shared" ref="J263:J326" si="21">INT(LOG($H$2,2))-ROUNDUP(LOG(H263,2),0)+IF(OR($H$2=1,$H$2=2,$H$2=4,$H$2=8,$H$2=16,$H$2=32,$H$2=64,$H$2=128,$H$2=256),0,1)</f>
        <v>-7</v>
      </c>
      <c r="K263" s="35">
        <f t="shared" si="19"/>
        <v>-70</v>
      </c>
      <c r="L263" s="35"/>
      <c r="M263" s="37">
        <f t="shared" si="20"/>
        <v>0</v>
      </c>
    </row>
    <row r="264" spans="1:13" x14ac:dyDescent="0.25">
      <c r="A264" s="56"/>
      <c r="G264" s="13"/>
      <c r="H264" s="35">
        <v>259</v>
      </c>
      <c r="I264" s="36" t="str">
        <f t="shared" si="18"/>
        <v/>
      </c>
      <c r="J264" s="35">
        <f t="shared" si="21"/>
        <v>-7</v>
      </c>
      <c r="K264" s="35">
        <f t="shared" si="19"/>
        <v>-70</v>
      </c>
      <c r="L264" s="35"/>
      <c r="M264" s="37">
        <f t="shared" si="20"/>
        <v>0</v>
      </c>
    </row>
    <row r="265" spans="1:13" x14ac:dyDescent="0.25">
      <c r="A265" s="56"/>
      <c r="G265" s="13"/>
      <c r="H265" s="35">
        <v>260</v>
      </c>
      <c r="I265" s="36" t="str">
        <f t="shared" si="18"/>
        <v/>
      </c>
      <c r="J265" s="35">
        <f t="shared" si="21"/>
        <v>-7</v>
      </c>
      <c r="K265" s="35">
        <f t="shared" si="19"/>
        <v>-70</v>
      </c>
      <c r="L265" s="35"/>
      <c r="M265" s="37">
        <f t="shared" si="20"/>
        <v>0</v>
      </c>
    </row>
    <row r="266" spans="1:13" x14ac:dyDescent="0.25">
      <c r="A266" s="56"/>
      <c r="G266" s="13"/>
      <c r="H266" s="35">
        <v>261</v>
      </c>
      <c r="I266" s="36" t="str">
        <f t="shared" si="18"/>
        <v/>
      </c>
      <c r="J266" s="35">
        <f t="shared" si="21"/>
        <v>-7</v>
      </c>
      <c r="K266" s="35">
        <f t="shared" si="19"/>
        <v>-70</v>
      </c>
      <c r="L266" s="35"/>
      <c r="M266" s="37">
        <f t="shared" si="20"/>
        <v>0</v>
      </c>
    </row>
    <row r="267" spans="1:13" x14ac:dyDescent="0.25">
      <c r="A267" s="56"/>
      <c r="G267" s="13"/>
      <c r="H267" s="35">
        <v>262</v>
      </c>
      <c r="I267" s="36" t="str">
        <f t="shared" si="18"/>
        <v/>
      </c>
      <c r="J267" s="35">
        <f t="shared" si="21"/>
        <v>-7</v>
      </c>
      <c r="K267" s="35">
        <f t="shared" si="19"/>
        <v>-70</v>
      </c>
      <c r="L267" s="35"/>
      <c r="M267" s="37">
        <f t="shared" si="20"/>
        <v>0</v>
      </c>
    </row>
    <row r="268" spans="1:13" x14ac:dyDescent="0.25">
      <c r="A268" s="56"/>
      <c r="G268" s="13"/>
      <c r="H268" s="35">
        <v>263</v>
      </c>
      <c r="I268" s="36" t="str">
        <f t="shared" si="18"/>
        <v/>
      </c>
      <c r="J268" s="35">
        <f t="shared" si="21"/>
        <v>-7</v>
      </c>
      <c r="K268" s="35">
        <f t="shared" si="19"/>
        <v>-70</v>
      </c>
      <c r="L268" s="35"/>
      <c r="M268" s="37">
        <f t="shared" si="20"/>
        <v>0</v>
      </c>
    </row>
    <row r="269" spans="1:13" x14ac:dyDescent="0.25">
      <c r="A269" s="56"/>
      <c r="G269" s="13"/>
      <c r="H269" s="35">
        <v>264</v>
      </c>
      <c r="I269" s="36" t="str">
        <f t="shared" si="18"/>
        <v/>
      </c>
      <c r="J269" s="35">
        <f t="shared" si="21"/>
        <v>-7</v>
      </c>
      <c r="K269" s="35">
        <f t="shared" si="19"/>
        <v>-70</v>
      </c>
      <c r="L269" s="35"/>
      <c r="M269" s="37">
        <f t="shared" si="20"/>
        <v>0</v>
      </c>
    </row>
    <row r="270" spans="1:13" x14ac:dyDescent="0.25">
      <c r="A270" s="56"/>
      <c r="G270" s="13"/>
      <c r="H270" s="35">
        <v>265</v>
      </c>
      <c r="I270" s="36" t="str">
        <f t="shared" si="18"/>
        <v/>
      </c>
      <c r="J270" s="35">
        <f t="shared" si="21"/>
        <v>-7</v>
      </c>
      <c r="K270" s="35">
        <f t="shared" si="19"/>
        <v>-70</v>
      </c>
      <c r="L270" s="35"/>
      <c r="M270" s="37">
        <f t="shared" si="20"/>
        <v>0</v>
      </c>
    </row>
    <row r="271" spans="1:13" x14ac:dyDescent="0.25">
      <c r="A271" s="56"/>
      <c r="G271" s="13"/>
      <c r="H271" s="35">
        <v>266</v>
      </c>
      <c r="I271" s="36" t="str">
        <f t="shared" si="18"/>
        <v/>
      </c>
      <c r="J271" s="35">
        <f t="shared" si="21"/>
        <v>-7</v>
      </c>
      <c r="K271" s="35">
        <f t="shared" si="19"/>
        <v>-70</v>
      </c>
      <c r="L271" s="35"/>
      <c r="M271" s="37">
        <f t="shared" si="20"/>
        <v>0</v>
      </c>
    </row>
    <row r="272" spans="1:13" x14ac:dyDescent="0.25">
      <c r="A272" s="56"/>
      <c r="G272" s="13"/>
      <c r="H272" s="35">
        <v>267</v>
      </c>
      <c r="I272" s="36" t="str">
        <f t="shared" si="18"/>
        <v/>
      </c>
      <c r="J272" s="35">
        <f t="shared" si="21"/>
        <v>-7</v>
      </c>
      <c r="K272" s="35">
        <f t="shared" si="19"/>
        <v>-70</v>
      </c>
      <c r="L272" s="35"/>
      <c r="M272" s="37">
        <f t="shared" si="20"/>
        <v>0</v>
      </c>
    </row>
    <row r="273" spans="1:13" x14ac:dyDescent="0.25">
      <c r="A273" s="56"/>
      <c r="G273" s="13"/>
      <c r="H273" s="35">
        <v>268</v>
      </c>
      <c r="I273" s="36" t="str">
        <f t="shared" si="18"/>
        <v/>
      </c>
      <c r="J273" s="35">
        <f t="shared" si="21"/>
        <v>-7</v>
      </c>
      <c r="K273" s="35">
        <f t="shared" si="19"/>
        <v>-70</v>
      </c>
      <c r="L273" s="35"/>
      <c r="M273" s="37">
        <f t="shared" si="20"/>
        <v>0</v>
      </c>
    </row>
    <row r="274" spans="1:13" x14ac:dyDescent="0.25">
      <c r="A274" s="56"/>
      <c r="G274" s="13"/>
      <c r="H274" s="35">
        <v>269</v>
      </c>
      <c r="I274" s="36" t="str">
        <f t="shared" si="18"/>
        <v/>
      </c>
      <c r="J274" s="35">
        <f t="shared" si="21"/>
        <v>-7</v>
      </c>
      <c r="K274" s="35">
        <f t="shared" si="19"/>
        <v>-70</v>
      </c>
      <c r="L274" s="35"/>
      <c r="M274" s="37">
        <f t="shared" si="20"/>
        <v>0</v>
      </c>
    </row>
    <row r="275" spans="1:13" x14ac:dyDescent="0.25">
      <c r="A275" s="56"/>
      <c r="G275" s="13"/>
      <c r="H275" s="35">
        <v>270</v>
      </c>
      <c r="I275" s="36" t="str">
        <f t="shared" si="18"/>
        <v/>
      </c>
      <c r="J275" s="35">
        <f t="shared" si="21"/>
        <v>-7</v>
      </c>
      <c r="K275" s="35">
        <f t="shared" si="19"/>
        <v>-70</v>
      </c>
      <c r="L275" s="35"/>
      <c r="M275" s="37">
        <f t="shared" si="20"/>
        <v>0</v>
      </c>
    </row>
    <row r="276" spans="1:13" x14ac:dyDescent="0.25">
      <c r="A276" s="56"/>
      <c r="G276" s="13"/>
      <c r="H276" s="35">
        <v>271</v>
      </c>
      <c r="I276" s="36" t="str">
        <f t="shared" si="18"/>
        <v/>
      </c>
      <c r="J276" s="35">
        <f t="shared" si="21"/>
        <v>-7</v>
      </c>
      <c r="K276" s="35">
        <f t="shared" si="19"/>
        <v>-70</v>
      </c>
      <c r="L276" s="35"/>
      <c r="M276" s="37">
        <f t="shared" si="20"/>
        <v>0</v>
      </c>
    </row>
    <row r="277" spans="1:13" x14ac:dyDescent="0.25">
      <c r="A277" s="56"/>
      <c r="G277" s="13"/>
      <c r="H277" s="35">
        <v>272</v>
      </c>
      <c r="I277" s="36" t="str">
        <f t="shared" si="18"/>
        <v/>
      </c>
      <c r="J277" s="35">
        <f t="shared" si="21"/>
        <v>-7</v>
      </c>
      <c r="K277" s="35">
        <f t="shared" si="19"/>
        <v>-70</v>
      </c>
      <c r="L277" s="35"/>
      <c r="M277" s="37">
        <f t="shared" si="20"/>
        <v>0</v>
      </c>
    </row>
    <row r="278" spans="1:13" x14ac:dyDescent="0.25">
      <c r="A278" s="56"/>
      <c r="G278" s="13"/>
      <c r="H278" s="35">
        <v>273</v>
      </c>
      <c r="I278" s="36" t="str">
        <f t="shared" si="18"/>
        <v/>
      </c>
      <c r="J278" s="35">
        <f t="shared" si="21"/>
        <v>-7</v>
      </c>
      <c r="K278" s="35">
        <f t="shared" si="19"/>
        <v>-70</v>
      </c>
      <c r="L278" s="35"/>
      <c r="M278" s="37">
        <f t="shared" si="20"/>
        <v>0</v>
      </c>
    </row>
    <row r="279" spans="1:13" x14ac:dyDescent="0.25">
      <c r="A279" s="56"/>
      <c r="G279" s="13"/>
      <c r="H279" s="35">
        <v>274</v>
      </c>
      <c r="I279" s="36" t="str">
        <f t="shared" si="18"/>
        <v/>
      </c>
      <c r="J279" s="35">
        <f t="shared" si="21"/>
        <v>-7</v>
      </c>
      <c r="K279" s="35">
        <f t="shared" si="19"/>
        <v>-70</v>
      </c>
      <c r="L279" s="35"/>
      <c r="M279" s="37">
        <f t="shared" si="20"/>
        <v>0</v>
      </c>
    </row>
    <row r="280" spans="1:13" x14ac:dyDescent="0.25">
      <c r="A280" s="56"/>
      <c r="G280" s="13"/>
      <c r="H280" s="35">
        <v>275</v>
      </c>
      <c r="I280" s="36" t="str">
        <f t="shared" si="18"/>
        <v/>
      </c>
      <c r="J280" s="35">
        <f t="shared" si="21"/>
        <v>-7</v>
      </c>
      <c r="K280" s="35">
        <f t="shared" si="19"/>
        <v>-70</v>
      </c>
      <c r="L280" s="35"/>
      <c r="M280" s="37">
        <f t="shared" si="20"/>
        <v>0</v>
      </c>
    </row>
    <row r="281" spans="1:13" x14ac:dyDescent="0.25">
      <c r="A281" s="56"/>
      <c r="G281" s="13"/>
      <c r="H281" s="35">
        <v>276</v>
      </c>
      <c r="I281" s="36" t="str">
        <f t="shared" si="18"/>
        <v/>
      </c>
      <c r="J281" s="35">
        <f t="shared" si="21"/>
        <v>-7</v>
      </c>
      <c r="K281" s="35">
        <f t="shared" si="19"/>
        <v>-70</v>
      </c>
      <c r="L281" s="35"/>
      <c r="M281" s="37">
        <f t="shared" si="20"/>
        <v>0</v>
      </c>
    </row>
    <row r="282" spans="1:13" x14ac:dyDescent="0.25">
      <c r="A282" s="56"/>
      <c r="G282" s="13"/>
      <c r="H282" s="35">
        <v>277</v>
      </c>
      <c r="I282" s="36" t="str">
        <f t="shared" si="18"/>
        <v/>
      </c>
      <c r="J282" s="35">
        <f t="shared" si="21"/>
        <v>-7</v>
      </c>
      <c r="K282" s="35">
        <f t="shared" si="19"/>
        <v>-70</v>
      </c>
      <c r="L282" s="35"/>
      <c r="M282" s="37">
        <f t="shared" si="20"/>
        <v>0</v>
      </c>
    </row>
    <row r="283" spans="1:13" x14ac:dyDescent="0.25">
      <c r="A283" s="56"/>
      <c r="G283" s="13"/>
      <c r="H283" s="35">
        <v>278</v>
      </c>
      <c r="I283" s="36" t="str">
        <f t="shared" si="18"/>
        <v/>
      </c>
      <c r="J283" s="35">
        <f t="shared" si="21"/>
        <v>-7</v>
      </c>
      <c r="K283" s="35">
        <f t="shared" si="19"/>
        <v>-70</v>
      </c>
      <c r="L283" s="35"/>
      <c r="M283" s="37">
        <f t="shared" si="20"/>
        <v>0</v>
      </c>
    </row>
    <row r="284" spans="1:13" x14ac:dyDescent="0.25">
      <c r="A284" s="56"/>
      <c r="G284" s="13"/>
      <c r="H284" s="35">
        <v>279</v>
      </c>
      <c r="I284" s="36" t="str">
        <f t="shared" si="18"/>
        <v/>
      </c>
      <c r="J284" s="35">
        <f t="shared" si="21"/>
        <v>-7</v>
      </c>
      <c r="K284" s="35">
        <f t="shared" si="19"/>
        <v>-70</v>
      </c>
      <c r="L284" s="35"/>
      <c r="M284" s="37">
        <f t="shared" si="20"/>
        <v>0</v>
      </c>
    </row>
    <row r="285" spans="1:13" x14ac:dyDescent="0.25">
      <c r="A285" s="56"/>
      <c r="G285" s="13"/>
      <c r="H285" s="35">
        <v>280</v>
      </c>
      <c r="I285" s="36" t="str">
        <f t="shared" si="18"/>
        <v/>
      </c>
      <c r="J285" s="35">
        <f t="shared" si="21"/>
        <v>-7</v>
      </c>
      <c r="K285" s="35">
        <f t="shared" si="19"/>
        <v>-70</v>
      </c>
      <c r="L285" s="35"/>
      <c r="M285" s="37">
        <f t="shared" si="20"/>
        <v>0</v>
      </c>
    </row>
    <row r="286" spans="1:13" x14ac:dyDescent="0.25">
      <c r="A286" s="56"/>
      <c r="G286" s="13"/>
      <c r="H286" s="35">
        <v>281</v>
      </c>
      <c r="I286" s="36" t="str">
        <f t="shared" si="18"/>
        <v/>
      </c>
      <c r="J286" s="35">
        <f t="shared" si="21"/>
        <v>-7</v>
      </c>
      <c r="K286" s="35">
        <f t="shared" si="19"/>
        <v>-70</v>
      </c>
      <c r="L286" s="35"/>
      <c r="M286" s="37">
        <f t="shared" si="20"/>
        <v>0</v>
      </c>
    </row>
    <row r="287" spans="1:13" x14ac:dyDescent="0.25">
      <c r="A287" s="56"/>
      <c r="G287" s="13"/>
      <c r="H287" s="35">
        <v>282</v>
      </c>
      <c r="I287" s="36" t="str">
        <f t="shared" si="18"/>
        <v/>
      </c>
      <c r="J287" s="35">
        <f t="shared" si="21"/>
        <v>-7</v>
      </c>
      <c r="K287" s="35">
        <f t="shared" si="19"/>
        <v>-70</v>
      </c>
      <c r="L287" s="35"/>
      <c r="M287" s="37">
        <f t="shared" si="20"/>
        <v>0</v>
      </c>
    </row>
    <row r="288" spans="1:13" x14ac:dyDescent="0.25">
      <c r="A288" s="56"/>
      <c r="G288" s="13"/>
      <c r="H288" s="35">
        <v>283</v>
      </c>
      <c r="I288" s="36" t="str">
        <f t="shared" si="18"/>
        <v/>
      </c>
      <c r="J288" s="35">
        <f t="shared" si="21"/>
        <v>-7</v>
      </c>
      <c r="K288" s="35">
        <f t="shared" si="19"/>
        <v>-70</v>
      </c>
      <c r="L288" s="35"/>
      <c r="M288" s="37">
        <f t="shared" si="20"/>
        <v>0</v>
      </c>
    </row>
    <row r="289" spans="1:13" x14ac:dyDescent="0.25">
      <c r="A289" s="56"/>
      <c r="G289" s="13"/>
      <c r="H289" s="35">
        <v>284</v>
      </c>
      <c r="I289" s="36" t="str">
        <f t="shared" si="18"/>
        <v/>
      </c>
      <c r="J289" s="35">
        <f t="shared" si="21"/>
        <v>-7</v>
      </c>
      <c r="K289" s="35">
        <f t="shared" si="19"/>
        <v>-70</v>
      </c>
      <c r="L289" s="35"/>
      <c r="M289" s="37">
        <f t="shared" si="20"/>
        <v>0</v>
      </c>
    </row>
    <row r="290" spans="1:13" x14ac:dyDescent="0.25">
      <c r="A290" s="56"/>
      <c r="G290" s="13"/>
      <c r="H290" s="35">
        <v>285</v>
      </c>
      <c r="I290" s="36" t="str">
        <f t="shared" si="18"/>
        <v/>
      </c>
      <c r="J290" s="35">
        <f t="shared" si="21"/>
        <v>-7</v>
      </c>
      <c r="K290" s="35">
        <f t="shared" si="19"/>
        <v>-70</v>
      </c>
      <c r="L290" s="35"/>
      <c r="M290" s="37">
        <f t="shared" si="20"/>
        <v>0</v>
      </c>
    </row>
    <row r="291" spans="1:13" x14ac:dyDescent="0.25">
      <c r="A291" s="56"/>
      <c r="G291" s="13"/>
      <c r="H291" s="35">
        <v>286</v>
      </c>
      <c r="I291" s="36" t="str">
        <f t="shared" si="18"/>
        <v/>
      </c>
      <c r="J291" s="35">
        <f t="shared" si="21"/>
        <v>-7</v>
      </c>
      <c r="K291" s="35">
        <f t="shared" si="19"/>
        <v>-70</v>
      </c>
      <c r="L291" s="35"/>
      <c r="M291" s="37">
        <f t="shared" si="20"/>
        <v>0</v>
      </c>
    </row>
    <row r="292" spans="1:13" x14ac:dyDescent="0.25">
      <c r="A292" s="56"/>
      <c r="G292" s="13"/>
      <c r="H292" s="35">
        <v>287</v>
      </c>
      <c r="I292" s="36" t="str">
        <f t="shared" si="18"/>
        <v/>
      </c>
      <c r="J292" s="35">
        <f t="shared" si="21"/>
        <v>-7</v>
      </c>
      <c r="K292" s="35">
        <f t="shared" si="19"/>
        <v>-70</v>
      </c>
      <c r="L292" s="35"/>
      <c r="M292" s="37">
        <f t="shared" si="20"/>
        <v>0</v>
      </c>
    </row>
    <row r="293" spans="1:13" x14ac:dyDescent="0.25">
      <c r="A293" s="56"/>
      <c r="G293" s="13"/>
      <c r="H293" s="35">
        <v>288</v>
      </c>
      <c r="I293" s="36" t="str">
        <f t="shared" si="18"/>
        <v/>
      </c>
      <c r="J293" s="35">
        <f t="shared" si="21"/>
        <v>-7</v>
      </c>
      <c r="K293" s="35">
        <f t="shared" si="19"/>
        <v>-70</v>
      </c>
      <c r="L293" s="35"/>
      <c r="M293" s="37">
        <f t="shared" si="20"/>
        <v>0</v>
      </c>
    </row>
    <row r="294" spans="1:13" x14ac:dyDescent="0.25">
      <c r="A294" s="56"/>
      <c r="G294" s="13"/>
      <c r="H294" s="35">
        <v>289</v>
      </c>
      <c r="I294" s="36" t="str">
        <f t="shared" si="18"/>
        <v/>
      </c>
      <c r="J294" s="35">
        <f t="shared" si="21"/>
        <v>-7</v>
      </c>
      <c r="K294" s="35">
        <f t="shared" si="19"/>
        <v>-70</v>
      </c>
      <c r="L294" s="35"/>
      <c r="M294" s="37">
        <f t="shared" si="20"/>
        <v>0</v>
      </c>
    </row>
    <row r="295" spans="1:13" x14ac:dyDescent="0.25">
      <c r="A295" s="56"/>
      <c r="G295" s="13"/>
      <c r="H295" s="35">
        <v>290</v>
      </c>
      <c r="I295" s="36" t="str">
        <f t="shared" si="18"/>
        <v/>
      </c>
      <c r="J295" s="35">
        <f t="shared" si="21"/>
        <v>-7</v>
      </c>
      <c r="K295" s="35">
        <f t="shared" si="19"/>
        <v>-70</v>
      </c>
      <c r="L295" s="35"/>
      <c r="M295" s="37">
        <f t="shared" si="20"/>
        <v>0</v>
      </c>
    </row>
    <row r="296" spans="1:13" x14ac:dyDescent="0.25">
      <c r="A296" s="56"/>
      <c r="G296" s="13"/>
      <c r="H296" s="35">
        <v>291</v>
      </c>
      <c r="I296" s="36" t="str">
        <f t="shared" si="18"/>
        <v/>
      </c>
      <c r="J296" s="35">
        <f t="shared" si="21"/>
        <v>-7</v>
      </c>
      <c r="K296" s="35">
        <f t="shared" si="19"/>
        <v>-70</v>
      </c>
      <c r="L296" s="35"/>
      <c r="M296" s="37">
        <f t="shared" si="20"/>
        <v>0</v>
      </c>
    </row>
    <row r="297" spans="1:13" x14ac:dyDescent="0.25">
      <c r="A297" s="56"/>
      <c r="G297" s="13"/>
      <c r="H297" s="35">
        <v>292</v>
      </c>
      <c r="I297" s="36" t="str">
        <f t="shared" si="18"/>
        <v/>
      </c>
      <c r="J297" s="35">
        <f t="shared" si="21"/>
        <v>-7</v>
      </c>
      <c r="K297" s="35">
        <f t="shared" si="19"/>
        <v>-70</v>
      </c>
      <c r="L297" s="35"/>
      <c r="M297" s="37">
        <f t="shared" si="20"/>
        <v>0</v>
      </c>
    </row>
    <row r="298" spans="1:13" x14ac:dyDescent="0.25">
      <c r="A298" s="56"/>
      <c r="G298" s="13"/>
      <c r="H298" s="35">
        <v>293</v>
      </c>
      <c r="I298" s="36" t="str">
        <f t="shared" si="18"/>
        <v/>
      </c>
      <c r="J298" s="35">
        <f t="shared" si="21"/>
        <v>-7</v>
      </c>
      <c r="K298" s="35">
        <f t="shared" si="19"/>
        <v>-70</v>
      </c>
      <c r="L298" s="35"/>
      <c r="M298" s="37">
        <f t="shared" si="20"/>
        <v>0</v>
      </c>
    </row>
    <row r="299" spans="1:13" x14ac:dyDescent="0.25">
      <c r="A299" s="56"/>
      <c r="G299" s="13"/>
      <c r="H299" s="35">
        <v>294</v>
      </c>
      <c r="I299" s="36" t="str">
        <f t="shared" si="18"/>
        <v/>
      </c>
      <c r="J299" s="35">
        <f t="shared" si="21"/>
        <v>-7</v>
      </c>
      <c r="K299" s="35">
        <f t="shared" si="19"/>
        <v>-70</v>
      </c>
      <c r="L299" s="35"/>
      <c r="M299" s="37">
        <f t="shared" si="20"/>
        <v>0</v>
      </c>
    </row>
    <row r="300" spans="1:13" x14ac:dyDescent="0.25">
      <c r="A300" s="56"/>
      <c r="G300" s="13"/>
      <c r="H300" s="35">
        <v>295</v>
      </c>
      <c r="I300" s="36" t="str">
        <f t="shared" si="18"/>
        <v/>
      </c>
      <c r="J300" s="35">
        <f t="shared" si="21"/>
        <v>-7</v>
      </c>
      <c r="K300" s="35">
        <f t="shared" si="19"/>
        <v>-70</v>
      </c>
      <c r="L300" s="35"/>
      <c r="M300" s="37">
        <f t="shared" si="20"/>
        <v>0</v>
      </c>
    </row>
    <row r="301" spans="1:13" x14ac:dyDescent="0.25">
      <c r="A301" s="56"/>
      <c r="G301" s="13"/>
      <c r="H301" s="35">
        <v>296</v>
      </c>
      <c r="I301" s="36" t="str">
        <f t="shared" si="18"/>
        <v/>
      </c>
      <c r="J301" s="35">
        <f t="shared" si="21"/>
        <v>-7</v>
      </c>
      <c r="K301" s="35">
        <f t="shared" si="19"/>
        <v>-70</v>
      </c>
      <c r="L301" s="35"/>
      <c r="M301" s="37">
        <f t="shared" si="20"/>
        <v>0</v>
      </c>
    </row>
    <row r="302" spans="1:13" x14ac:dyDescent="0.25">
      <c r="A302" s="56"/>
      <c r="G302" s="13"/>
      <c r="H302" s="35">
        <v>297</v>
      </c>
      <c r="I302" s="36" t="str">
        <f t="shared" si="18"/>
        <v/>
      </c>
      <c r="J302" s="35">
        <f t="shared" si="21"/>
        <v>-7</v>
      </c>
      <c r="K302" s="35">
        <f t="shared" si="19"/>
        <v>-70</v>
      </c>
      <c r="L302" s="35"/>
      <c r="M302" s="37">
        <f t="shared" si="20"/>
        <v>0</v>
      </c>
    </row>
    <row r="303" spans="1:13" x14ac:dyDescent="0.25">
      <c r="A303" s="56"/>
      <c r="G303" s="13"/>
      <c r="H303" s="35">
        <v>298</v>
      </c>
      <c r="I303" s="36" t="str">
        <f t="shared" si="18"/>
        <v/>
      </c>
      <c r="J303" s="35">
        <f t="shared" si="21"/>
        <v>-7</v>
      </c>
      <c r="K303" s="35">
        <f t="shared" si="19"/>
        <v>-70</v>
      </c>
      <c r="L303" s="35"/>
      <c r="M303" s="37">
        <f t="shared" si="20"/>
        <v>0</v>
      </c>
    </row>
    <row r="304" spans="1:13" x14ac:dyDescent="0.25">
      <c r="A304" s="56"/>
      <c r="G304" s="13"/>
      <c r="H304" s="35">
        <v>299</v>
      </c>
      <c r="I304" s="36" t="str">
        <f t="shared" si="18"/>
        <v/>
      </c>
      <c r="J304" s="35">
        <f t="shared" si="21"/>
        <v>-7</v>
      </c>
      <c r="K304" s="35">
        <f t="shared" si="19"/>
        <v>-70</v>
      </c>
      <c r="L304" s="35"/>
      <c r="M304" s="37">
        <f t="shared" si="20"/>
        <v>0</v>
      </c>
    </row>
    <row r="305" spans="1:16" x14ac:dyDescent="0.25">
      <c r="A305" s="56"/>
      <c r="G305" s="13"/>
      <c r="H305" s="35">
        <v>300</v>
      </c>
      <c r="I305" s="36" t="str">
        <f t="shared" si="18"/>
        <v/>
      </c>
      <c r="J305" s="35">
        <f t="shared" si="21"/>
        <v>-7</v>
      </c>
      <c r="K305" s="35">
        <f t="shared" si="19"/>
        <v>-70</v>
      </c>
      <c r="L305" s="35"/>
      <c r="M305" s="37">
        <f t="shared" si="20"/>
        <v>0</v>
      </c>
    </row>
    <row r="306" spans="1:16" x14ac:dyDescent="0.25">
      <c r="A306" s="58"/>
      <c r="J306" s="59" t="e">
        <f t="shared" si="21"/>
        <v>#NUM!</v>
      </c>
    </row>
    <row r="307" spans="1:16" x14ac:dyDescent="0.25">
      <c r="J307" s="59" t="e">
        <f t="shared" si="21"/>
        <v>#NUM!</v>
      </c>
    </row>
    <row r="308" spans="1:16" x14ac:dyDescent="0.25">
      <c r="J308" s="59" t="e">
        <f t="shared" si="21"/>
        <v>#NUM!</v>
      </c>
    </row>
    <row r="309" spans="1:16" x14ac:dyDescent="0.25">
      <c r="J309" s="59" t="e">
        <f t="shared" si="21"/>
        <v>#NUM!</v>
      </c>
    </row>
    <row r="310" spans="1:16" x14ac:dyDescent="0.25">
      <c r="J310" s="59" t="e">
        <f t="shared" si="21"/>
        <v>#NUM!</v>
      </c>
    </row>
    <row r="311" spans="1:16" x14ac:dyDescent="0.25">
      <c r="J311" s="59" t="e">
        <f t="shared" si="21"/>
        <v>#NUM!</v>
      </c>
    </row>
    <row r="312" spans="1:16" x14ac:dyDescent="0.25">
      <c r="J312" s="59" t="e">
        <f t="shared" si="21"/>
        <v>#NUM!</v>
      </c>
    </row>
    <row r="313" spans="1:16" x14ac:dyDescent="0.25">
      <c r="J313" s="59" t="e">
        <f t="shared" si="21"/>
        <v>#NUM!</v>
      </c>
    </row>
    <row r="314" spans="1:16" x14ac:dyDescent="0.25">
      <c r="J314" s="59" t="e">
        <f t="shared" si="21"/>
        <v>#NUM!</v>
      </c>
      <c r="L314" s="61"/>
      <c r="P314" s="51"/>
    </row>
    <row r="315" spans="1:16" x14ac:dyDescent="0.25">
      <c r="J315" s="59" t="e">
        <f t="shared" si="21"/>
        <v>#NUM!</v>
      </c>
      <c r="L315" s="61"/>
      <c r="P315" s="51"/>
    </row>
    <row r="316" spans="1:16" x14ac:dyDescent="0.25">
      <c r="J316" s="59" t="e">
        <f t="shared" si="21"/>
        <v>#NUM!</v>
      </c>
      <c r="L316" s="61"/>
      <c r="P316" s="51"/>
    </row>
    <row r="317" spans="1:16" x14ac:dyDescent="0.25">
      <c r="J317" s="59" t="e">
        <f t="shared" si="21"/>
        <v>#NUM!</v>
      </c>
      <c r="L317" s="61"/>
      <c r="P317" s="51"/>
    </row>
    <row r="318" spans="1:16" x14ac:dyDescent="0.25">
      <c r="J318" s="59" t="e">
        <f t="shared" si="21"/>
        <v>#NUM!</v>
      </c>
    </row>
    <row r="319" spans="1:16" x14ac:dyDescent="0.25">
      <c r="J319" s="59" t="e">
        <f t="shared" si="21"/>
        <v>#NUM!</v>
      </c>
    </row>
    <row r="320" spans="1:16" x14ac:dyDescent="0.25">
      <c r="J320" s="59" t="e">
        <f t="shared" si="21"/>
        <v>#NUM!</v>
      </c>
    </row>
    <row r="321" spans="10:10" x14ac:dyDescent="0.25">
      <c r="J321" s="59" t="e">
        <f t="shared" si="21"/>
        <v>#NUM!</v>
      </c>
    </row>
    <row r="322" spans="10:10" x14ac:dyDescent="0.25">
      <c r="J322" s="59" t="e">
        <f t="shared" si="21"/>
        <v>#NUM!</v>
      </c>
    </row>
    <row r="323" spans="10:10" x14ac:dyDescent="0.25">
      <c r="J323" s="59" t="e">
        <f t="shared" si="21"/>
        <v>#NUM!</v>
      </c>
    </row>
    <row r="324" spans="10:10" x14ac:dyDescent="0.25">
      <c r="J324" s="59" t="e">
        <f t="shared" si="21"/>
        <v>#NUM!</v>
      </c>
    </row>
    <row r="325" spans="10:10" x14ac:dyDescent="0.25">
      <c r="J325" s="59" t="e">
        <f t="shared" si="21"/>
        <v>#NUM!</v>
      </c>
    </row>
    <row r="326" spans="10:10" x14ac:dyDescent="0.25">
      <c r="J326" s="59" t="e">
        <f t="shared" si="21"/>
        <v>#NUM!</v>
      </c>
    </row>
    <row r="327" spans="10:10" x14ac:dyDescent="0.25">
      <c r="J327" s="59" t="e">
        <f t="shared" ref="J327:J390" si="22">INT(LOG($H$2,2))-ROUNDUP(LOG(H327,2),0)+IF(OR($H$2=1,$H$2=2,$H$2=4,$H$2=8,$H$2=16,$H$2=32,$H$2=64,$H$2=128,$H$2=256),0,1)</f>
        <v>#NUM!</v>
      </c>
    </row>
    <row r="328" spans="10:10" x14ac:dyDescent="0.25">
      <c r="J328" s="59" t="e">
        <f t="shared" si="22"/>
        <v>#NUM!</v>
      </c>
    </row>
    <row r="329" spans="10:10" x14ac:dyDescent="0.25">
      <c r="J329" s="59" t="e">
        <f t="shared" si="22"/>
        <v>#NUM!</v>
      </c>
    </row>
    <row r="330" spans="10:10" x14ac:dyDescent="0.25">
      <c r="J330" s="59" t="e">
        <f t="shared" si="22"/>
        <v>#NUM!</v>
      </c>
    </row>
    <row r="331" spans="10:10" x14ac:dyDescent="0.25">
      <c r="J331" s="59" t="e">
        <f t="shared" si="22"/>
        <v>#NUM!</v>
      </c>
    </row>
    <row r="332" spans="10:10" x14ac:dyDescent="0.25">
      <c r="J332" s="59" t="e">
        <f t="shared" si="22"/>
        <v>#NUM!</v>
      </c>
    </row>
    <row r="333" spans="10:10" x14ac:dyDescent="0.25">
      <c r="J333" s="59" t="e">
        <f t="shared" si="22"/>
        <v>#NUM!</v>
      </c>
    </row>
    <row r="334" spans="10:10" x14ac:dyDescent="0.25">
      <c r="J334" s="59" t="e">
        <f t="shared" si="22"/>
        <v>#NUM!</v>
      </c>
    </row>
    <row r="335" spans="10:10" x14ac:dyDescent="0.25">
      <c r="J335" s="59" t="e">
        <f t="shared" si="22"/>
        <v>#NUM!</v>
      </c>
    </row>
    <row r="336" spans="10:10" x14ac:dyDescent="0.25">
      <c r="J336" s="59" t="e">
        <f t="shared" si="22"/>
        <v>#NUM!</v>
      </c>
    </row>
    <row r="337" spans="10:10" x14ac:dyDescent="0.25">
      <c r="J337" s="59" t="e">
        <f t="shared" si="22"/>
        <v>#NUM!</v>
      </c>
    </row>
    <row r="338" spans="10:10" x14ac:dyDescent="0.25">
      <c r="J338" s="59" t="e">
        <f t="shared" si="22"/>
        <v>#NUM!</v>
      </c>
    </row>
    <row r="339" spans="10:10" x14ac:dyDescent="0.25">
      <c r="J339" s="59" t="e">
        <f t="shared" si="22"/>
        <v>#NUM!</v>
      </c>
    </row>
    <row r="340" spans="10:10" x14ac:dyDescent="0.25">
      <c r="J340" s="59" t="e">
        <f t="shared" si="22"/>
        <v>#NUM!</v>
      </c>
    </row>
    <row r="341" spans="10:10" x14ac:dyDescent="0.25">
      <c r="J341" s="59" t="e">
        <f t="shared" si="22"/>
        <v>#NUM!</v>
      </c>
    </row>
    <row r="342" spans="10:10" x14ac:dyDescent="0.25">
      <c r="J342" s="59" t="e">
        <f t="shared" si="22"/>
        <v>#NUM!</v>
      </c>
    </row>
    <row r="343" spans="10:10" x14ac:dyDescent="0.25">
      <c r="J343" s="59" t="e">
        <f t="shared" si="22"/>
        <v>#NUM!</v>
      </c>
    </row>
    <row r="344" spans="10:10" x14ac:dyDescent="0.25">
      <c r="J344" s="59" t="e">
        <f t="shared" si="22"/>
        <v>#NUM!</v>
      </c>
    </row>
    <row r="345" spans="10:10" x14ac:dyDescent="0.25">
      <c r="J345" s="59" t="e">
        <f t="shared" si="22"/>
        <v>#NUM!</v>
      </c>
    </row>
    <row r="346" spans="10:10" x14ac:dyDescent="0.25">
      <c r="J346" s="59" t="e">
        <f t="shared" si="22"/>
        <v>#NUM!</v>
      </c>
    </row>
    <row r="347" spans="10:10" x14ac:dyDescent="0.25">
      <c r="J347" s="59" t="e">
        <f t="shared" si="22"/>
        <v>#NUM!</v>
      </c>
    </row>
    <row r="348" spans="10:10" x14ac:dyDescent="0.25">
      <c r="J348" s="59" t="e">
        <f t="shared" si="22"/>
        <v>#NUM!</v>
      </c>
    </row>
    <row r="349" spans="10:10" x14ac:dyDescent="0.25">
      <c r="J349" s="59" t="e">
        <f t="shared" si="22"/>
        <v>#NUM!</v>
      </c>
    </row>
    <row r="350" spans="10:10" x14ac:dyDescent="0.25">
      <c r="J350" s="59" t="e">
        <f t="shared" si="22"/>
        <v>#NUM!</v>
      </c>
    </row>
    <row r="351" spans="10:10" x14ac:dyDescent="0.25">
      <c r="J351" s="59" t="e">
        <f t="shared" si="22"/>
        <v>#NUM!</v>
      </c>
    </row>
    <row r="352" spans="10:10" x14ac:dyDescent="0.25">
      <c r="J352" s="59" t="e">
        <f t="shared" si="22"/>
        <v>#NUM!</v>
      </c>
    </row>
    <row r="353" spans="10:10" x14ac:dyDescent="0.25">
      <c r="J353" s="59" t="e">
        <f t="shared" si="22"/>
        <v>#NUM!</v>
      </c>
    </row>
    <row r="354" spans="10:10" x14ac:dyDescent="0.25">
      <c r="J354" s="59" t="e">
        <f t="shared" si="22"/>
        <v>#NUM!</v>
      </c>
    </row>
    <row r="355" spans="10:10" x14ac:dyDescent="0.25">
      <c r="J355" s="59" t="e">
        <f t="shared" si="22"/>
        <v>#NUM!</v>
      </c>
    </row>
    <row r="356" spans="10:10" x14ac:dyDescent="0.25">
      <c r="J356" s="59" t="e">
        <f t="shared" si="22"/>
        <v>#NUM!</v>
      </c>
    </row>
    <row r="357" spans="10:10" x14ac:dyDescent="0.25">
      <c r="J357" s="59" t="e">
        <f t="shared" si="22"/>
        <v>#NUM!</v>
      </c>
    </row>
    <row r="358" spans="10:10" x14ac:dyDescent="0.25">
      <c r="J358" s="59" t="e">
        <f t="shared" si="22"/>
        <v>#NUM!</v>
      </c>
    </row>
    <row r="359" spans="10:10" x14ac:dyDescent="0.25">
      <c r="J359" s="59" t="e">
        <f t="shared" si="22"/>
        <v>#NUM!</v>
      </c>
    </row>
    <row r="360" spans="10:10" x14ac:dyDescent="0.25">
      <c r="J360" s="59" t="e">
        <f t="shared" si="22"/>
        <v>#NUM!</v>
      </c>
    </row>
    <row r="361" spans="10:10" x14ac:dyDescent="0.25">
      <c r="J361" s="59" t="e">
        <f t="shared" si="22"/>
        <v>#NUM!</v>
      </c>
    </row>
    <row r="362" spans="10:10" x14ac:dyDescent="0.25">
      <c r="J362" s="59" t="e">
        <f t="shared" si="22"/>
        <v>#NUM!</v>
      </c>
    </row>
    <row r="363" spans="10:10" x14ac:dyDescent="0.25">
      <c r="J363" s="59" t="e">
        <f t="shared" si="22"/>
        <v>#NUM!</v>
      </c>
    </row>
    <row r="364" spans="10:10" x14ac:dyDescent="0.25">
      <c r="J364" s="59" t="e">
        <f t="shared" si="22"/>
        <v>#NUM!</v>
      </c>
    </row>
    <row r="365" spans="10:10" x14ac:dyDescent="0.25">
      <c r="J365" s="59" t="e">
        <f t="shared" si="22"/>
        <v>#NUM!</v>
      </c>
    </row>
    <row r="366" spans="10:10" x14ac:dyDescent="0.25">
      <c r="J366" s="59" t="e">
        <f t="shared" si="22"/>
        <v>#NUM!</v>
      </c>
    </row>
    <row r="367" spans="10:10" x14ac:dyDescent="0.25">
      <c r="J367" s="59" t="e">
        <f t="shared" si="22"/>
        <v>#NUM!</v>
      </c>
    </row>
    <row r="368" spans="10:10" x14ac:dyDescent="0.25">
      <c r="J368" s="59" t="e">
        <f t="shared" si="22"/>
        <v>#NUM!</v>
      </c>
    </row>
    <row r="369" spans="10:10" x14ac:dyDescent="0.25">
      <c r="J369" s="59" t="e">
        <f t="shared" si="22"/>
        <v>#NUM!</v>
      </c>
    </row>
    <row r="370" spans="10:10" x14ac:dyDescent="0.25">
      <c r="J370" s="59" t="e">
        <f t="shared" si="22"/>
        <v>#NUM!</v>
      </c>
    </row>
    <row r="371" spans="10:10" x14ac:dyDescent="0.25">
      <c r="J371" s="59" t="e">
        <f t="shared" si="22"/>
        <v>#NUM!</v>
      </c>
    </row>
    <row r="372" spans="10:10" x14ac:dyDescent="0.25">
      <c r="J372" s="59" t="e">
        <f t="shared" si="22"/>
        <v>#NUM!</v>
      </c>
    </row>
    <row r="373" spans="10:10" x14ac:dyDescent="0.25">
      <c r="J373" s="59" t="e">
        <f t="shared" si="22"/>
        <v>#NUM!</v>
      </c>
    </row>
    <row r="374" spans="10:10" x14ac:dyDescent="0.25">
      <c r="J374" s="59" t="e">
        <f t="shared" si="22"/>
        <v>#NUM!</v>
      </c>
    </row>
    <row r="375" spans="10:10" x14ac:dyDescent="0.25">
      <c r="J375" s="59" t="e">
        <f t="shared" si="22"/>
        <v>#NUM!</v>
      </c>
    </row>
    <row r="376" spans="10:10" x14ac:dyDescent="0.25">
      <c r="J376" s="59" t="e">
        <f t="shared" si="22"/>
        <v>#NUM!</v>
      </c>
    </row>
    <row r="377" spans="10:10" x14ac:dyDescent="0.25">
      <c r="J377" s="59" t="e">
        <f t="shared" si="22"/>
        <v>#NUM!</v>
      </c>
    </row>
    <row r="378" spans="10:10" x14ac:dyDescent="0.25">
      <c r="J378" s="59" t="e">
        <f t="shared" si="22"/>
        <v>#NUM!</v>
      </c>
    </row>
    <row r="379" spans="10:10" x14ac:dyDescent="0.25">
      <c r="J379" s="59" t="e">
        <f t="shared" si="22"/>
        <v>#NUM!</v>
      </c>
    </row>
    <row r="380" spans="10:10" x14ac:dyDescent="0.25">
      <c r="J380" s="59" t="e">
        <f t="shared" si="22"/>
        <v>#NUM!</v>
      </c>
    </row>
    <row r="381" spans="10:10" x14ac:dyDescent="0.25">
      <c r="J381" s="59" t="e">
        <f t="shared" si="22"/>
        <v>#NUM!</v>
      </c>
    </row>
    <row r="382" spans="10:10" x14ac:dyDescent="0.25">
      <c r="J382" s="59" t="e">
        <f t="shared" si="22"/>
        <v>#NUM!</v>
      </c>
    </row>
    <row r="383" spans="10:10" x14ac:dyDescent="0.25">
      <c r="J383" s="59" t="e">
        <f t="shared" si="22"/>
        <v>#NUM!</v>
      </c>
    </row>
    <row r="384" spans="10:10" x14ac:dyDescent="0.25">
      <c r="J384" s="59" t="e">
        <f t="shared" si="22"/>
        <v>#NUM!</v>
      </c>
    </row>
    <row r="385" spans="10:10" x14ac:dyDescent="0.25">
      <c r="J385" s="59" t="e">
        <f t="shared" si="22"/>
        <v>#NUM!</v>
      </c>
    </row>
    <row r="386" spans="10:10" x14ac:dyDescent="0.25">
      <c r="J386" s="59" t="e">
        <f t="shared" si="22"/>
        <v>#NUM!</v>
      </c>
    </row>
    <row r="387" spans="10:10" x14ac:dyDescent="0.25">
      <c r="J387" s="59" t="e">
        <f t="shared" si="22"/>
        <v>#NUM!</v>
      </c>
    </row>
    <row r="388" spans="10:10" x14ac:dyDescent="0.25">
      <c r="J388" s="59" t="e">
        <f t="shared" si="22"/>
        <v>#NUM!</v>
      </c>
    </row>
    <row r="389" spans="10:10" x14ac:dyDescent="0.25">
      <c r="J389" s="59" t="e">
        <f t="shared" si="22"/>
        <v>#NUM!</v>
      </c>
    </row>
    <row r="390" spans="10:10" x14ac:dyDescent="0.25">
      <c r="J390" s="59" t="e">
        <f t="shared" si="22"/>
        <v>#NUM!</v>
      </c>
    </row>
    <row r="391" spans="10:10" x14ac:dyDescent="0.25">
      <c r="J391" s="59" t="e">
        <f t="shared" ref="J391:J454" si="23">INT(LOG($H$2,2))-ROUNDUP(LOG(H391,2),0)+IF(OR($H$2=1,$H$2=2,$H$2=4,$H$2=8,$H$2=16,$H$2=32,$H$2=64,$H$2=128,$H$2=256),0,1)</f>
        <v>#NUM!</v>
      </c>
    </row>
    <row r="392" spans="10:10" x14ac:dyDescent="0.25">
      <c r="J392" s="59" t="e">
        <f t="shared" si="23"/>
        <v>#NUM!</v>
      </c>
    </row>
    <row r="393" spans="10:10" x14ac:dyDescent="0.25">
      <c r="J393" s="59" t="e">
        <f t="shared" si="23"/>
        <v>#NUM!</v>
      </c>
    </row>
    <row r="394" spans="10:10" x14ac:dyDescent="0.25">
      <c r="J394" s="59" t="e">
        <f t="shared" si="23"/>
        <v>#NUM!</v>
      </c>
    </row>
    <row r="395" spans="10:10" x14ac:dyDescent="0.25">
      <c r="J395" s="59" t="e">
        <f t="shared" si="23"/>
        <v>#NUM!</v>
      </c>
    </row>
    <row r="396" spans="10:10" x14ac:dyDescent="0.25">
      <c r="J396" s="59" t="e">
        <f t="shared" si="23"/>
        <v>#NUM!</v>
      </c>
    </row>
    <row r="397" spans="10:10" x14ac:dyDescent="0.25">
      <c r="J397" s="59" t="e">
        <f t="shared" si="23"/>
        <v>#NUM!</v>
      </c>
    </row>
    <row r="398" spans="10:10" x14ac:dyDescent="0.25">
      <c r="J398" s="59" t="e">
        <f t="shared" si="23"/>
        <v>#NUM!</v>
      </c>
    </row>
    <row r="399" spans="10:10" x14ac:dyDescent="0.25">
      <c r="J399" s="59" t="e">
        <f t="shared" si="23"/>
        <v>#NUM!</v>
      </c>
    </row>
    <row r="400" spans="10:10" x14ac:dyDescent="0.25">
      <c r="J400" s="59" t="e">
        <f t="shared" si="23"/>
        <v>#NUM!</v>
      </c>
    </row>
    <row r="401" spans="10:10" x14ac:dyDescent="0.25">
      <c r="J401" s="59" t="e">
        <f t="shared" si="23"/>
        <v>#NUM!</v>
      </c>
    </row>
    <row r="402" spans="10:10" x14ac:dyDescent="0.25">
      <c r="J402" s="59" t="e">
        <f t="shared" si="23"/>
        <v>#NUM!</v>
      </c>
    </row>
    <row r="403" spans="10:10" x14ac:dyDescent="0.25">
      <c r="J403" s="59" t="e">
        <f t="shared" si="23"/>
        <v>#NUM!</v>
      </c>
    </row>
    <row r="404" spans="10:10" x14ac:dyDescent="0.25">
      <c r="J404" s="59" t="e">
        <f t="shared" si="23"/>
        <v>#NUM!</v>
      </c>
    </row>
    <row r="405" spans="10:10" x14ac:dyDescent="0.25">
      <c r="J405" s="59" t="e">
        <f t="shared" si="23"/>
        <v>#NUM!</v>
      </c>
    </row>
    <row r="406" spans="10:10" x14ac:dyDescent="0.25">
      <c r="J406" s="59" t="e">
        <f t="shared" si="23"/>
        <v>#NUM!</v>
      </c>
    </row>
    <row r="407" spans="10:10" x14ac:dyDescent="0.25">
      <c r="J407" s="59" t="e">
        <f t="shared" si="23"/>
        <v>#NUM!</v>
      </c>
    </row>
    <row r="408" spans="10:10" x14ac:dyDescent="0.25">
      <c r="J408" s="59" t="e">
        <f t="shared" si="23"/>
        <v>#NUM!</v>
      </c>
    </row>
    <row r="409" spans="10:10" x14ac:dyDescent="0.25">
      <c r="J409" s="59" t="e">
        <f t="shared" si="23"/>
        <v>#NUM!</v>
      </c>
    </row>
    <row r="410" spans="10:10" x14ac:dyDescent="0.25">
      <c r="J410" s="59" t="e">
        <f t="shared" si="23"/>
        <v>#NUM!</v>
      </c>
    </row>
    <row r="411" spans="10:10" x14ac:dyDescent="0.25">
      <c r="J411" s="59" t="e">
        <f t="shared" si="23"/>
        <v>#NUM!</v>
      </c>
    </row>
    <row r="412" spans="10:10" x14ac:dyDescent="0.25">
      <c r="J412" s="59" t="e">
        <f t="shared" si="23"/>
        <v>#NUM!</v>
      </c>
    </row>
    <row r="413" spans="10:10" x14ac:dyDescent="0.25">
      <c r="J413" s="59" t="e">
        <f t="shared" si="23"/>
        <v>#NUM!</v>
      </c>
    </row>
    <row r="414" spans="10:10" x14ac:dyDescent="0.25">
      <c r="J414" s="59" t="e">
        <f t="shared" si="23"/>
        <v>#NUM!</v>
      </c>
    </row>
    <row r="415" spans="10:10" x14ac:dyDescent="0.25">
      <c r="J415" s="59" t="e">
        <f t="shared" si="23"/>
        <v>#NUM!</v>
      </c>
    </row>
    <row r="416" spans="10:10" x14ac:dyDescent="0.25">
      <c r="J416" s="59" t="e">
        <f t="shared" si="23"/>
        <v>#NUM!</v>
      </c>
    </row>
    <row r="417" spans="10:10" x14ac:dyDescent="0.25">
      <c r="J417" s="59" t="e">
        <f t="shared" si="23"/>
        <v>#NUM!</v>
      </c>
    </row>
    <row r="418" spans="10:10" x14ac:dyDescent="0.25">
      <c r="J418" s="59" t="e">
        <f t="shared" si="23"/>
        <v>#NUM!</v>
      </c>
    </row>
    <row r="419" spans="10:10" x14ac:dyDescent="0.25">
      <c r="J419" s="59" t="e">
        <f t="shared" si="23"/>
        <v>#NUM!</v>
      </c>
    </row>
    <row r="420" spans="10:10" x14ac:dyDescent="0.25">
      <c r="J420" s="59" t="e">
        <f t="shared" si="23"/>
        <v>#NUM!</v>
      </c>
    </row>
    <row r="421" spans="10:10" x14ac:dyDescent="0.25">
      <c r="J421" s="59" t="e">
        <f t="shared" si="23"/>
        <v>#NUM!</v>
      </c>
    </row>
    <row r="422" spans="10:10" x14ac:dyDescent="0.25">
      <c r="J422" s="59" t="e">
        <f t="shared" si="23"/>
        <v>#NUM!</v>
      </c>
    </row>
    <row r="423" spans="10:10" x14ac:dyDescent="0.25">
      <c r="J423" s="59" t="e">
        <f t="shared" si="23"/>
        <v>#NUM!</v>
      </c>
    </row>
    <row r="424" spans="10:10" x14ac:dyDescent="0.25">
      <c r="J424" s="59" t="e">
        <f t="shared" si="23"/>
        <v>#NUM!</v>
      </c>
    </row>
    <row r="425" spans="10:10" x14ac:dyDescent="0.25">
      <c r="J425" s="59" t="e">
        <f t="shared" si="23"/>
        <v>#NUM!</v>
      </c>
    </row>
    <row r="426" spans="10:10" x14ac:dyDescent="0.25">
      <c r="J426" s="59" t="e">
        <f t="shared" si="23"/>
        <v>#NUM!</v>
      </c>
    </row>
    <row r="427" spans="10:10" x14ac:dyDescent="0.25">
      <c r="J427" s="59" t="e">
        <f t="shared" si="23"/>
        <v>#NUM!</v>
      </c>
    </row>
    <row r="428" spans="10:10" x14ac:dyDescent="0.25">
      <c r="J428" s="59" t="e">
        <f t="shared" si="23"/>
        <v>#NUM!</v>
      </c>
    </row>
    <row r="429" spans="10:10" x14ac:dyDescent="0.25">
      <c r="J429" s="59" t="e">
        <f t="shared" si="23"/>
        <v>#NUM!</v>
      </c>
    </row>
    <row r="430" spans="10:10" x14ac:dyDescent="0.25">
      <c r="J430" s="59" t="e">
        <f t="shared" si="23"/>
        <v>#NUM!</v>
      </c>
    </row>
    <row r="431" spans="10:10" x14ac:dyDescent="0.25">
      <c r="J431" s="59" t="e">
        <f t="shared" si="23"/>
        <v>#NUM!</v>
      </c>
    </row>
    <row r="432" spans="10:10" x14ac:dyDescent="0.25">
      <c r="J432" s="59" t="e">
        <f t="shared" si="23"/>
        <v>#NUM!</v>
      </c>
    </row>
    <row r="433" spans="10:10" x14ac:dyDescent="0.25">
      <c r="J433" s="59" t="e">
        <f t="shared" si="23"/>
        <v>#NUM!</v>
      </c>
    </row>
    <row r="434" spans="10:10" x14ac:dyDescent="0.25">
      <c r="J434" s="59" t="e">
        <f t="shared" si="23"/>
        <v>#NUM!</v>
      </c>
    </row>
    <row r="435" spans="10:10" x14ac:dyDescent="0.25">
      <c r="J435" s="59" t="e">
        <f t="shared" si="23"/>
        <v>#NUM!</v>
      </c>
    </row>
    <row r="436" spans="10:10" x14ac:dyDescent="0.25">
      <c r="J436" s="59" t="e">
        <f t="shared" si="23"/>
        <v>#NUM!</v>
      </c>
    </row>
    <row r="437" spans="10:10" x14ac:dyDescent="0.25">
      <c r="J437" s="59" t="e">
        <f t="shared" si="23"/>
        <v>#NUM!</v>
      </c>
    </row>
    <row r="438" spans="10:10" x14ac:dyDescent="0.25">
      <c r="J438" s="59" t="e">
        <f t="shared" si="23"/>
        <v>#NUM!</v>
      </c>
    </row>
    <row r="439" spans="10:10" x14ac:dyDescent="0.25">
      <c r="J439" s="59" t="e">
        <f t="shared" si="23"/>
        <v>#NUM!</v>
      </c>
    </row>
    <row r="440" spans="10:10" x14ac:dyDescent="0.25">
      <c r="J440" s="59" t="e">
        <f t="shared" si="23"/>
        <v>#NUM!</v>
      </c>
    </row>
    <row r="441" spans="10:10" x14ac:dyDescent="0.25">
      <c r="J441" s="59" t="e">
        <f t="shared" si="23"/>
        <v>#NUM!</v>
      </c>
    </row>
    <row r="442" spans="10:10" x14ac:dyDescent="0.25">
      <c r="J442" s="59" t="e">
        <f t="shared" si="23"/>
        <v>#NUM!</v>
      </c>
    </row>
    <row r="443" spans="10:10" x14ac:dyDescent="0.25">
      <c r="J443" s="59" t="e">
        <f t="shared" si="23"/>
        <v>#NUM!</v>
      </c>
    </row>
    <row r="444" spans="10:10" x14ac:dyDescent="0.25">
      <c r="J444" s="59" t="e">
        <f t="shared" si="23"/>
        <v>#NUM!</v>
      </c>
    </row>
    <row r="445" spans="10:10" x14ac:dyDescent="0.25">
      <c r="J445" s="59" t="e">
        <f t="shared" si="23"/>
        <v>#NUM!</v>
      </c>
    </row>
    <row r="446" spans="10:10" x14ac:dyDescent="0.25">
      <c r="J446" s="59" t="e">
        <f t="shared" si="23"/>
        <v>#NUM!</v>
      </c>
    </row>
    <row r="447" spans="10:10" x14ac:dyDescent="0.25">
      <c r="J447" s="59" t="e">
        <f t="shared" si="23"/>
        <v>#NUM!</v>
      </c>
    </row>
    <row r="448" spans="10:10" x14ac:dyDescent="0.25">
      <c r="J448" s="59" t="e">
        <f t="shared" si="23"/>
        <v>#NUM!</v>
      </c>
    </row>
    <row r="449" spans="10:10" x14ac:dyDescent="0.25">
      <c r="J449" s="59" t="e">
        <f t="shared" si="23"/>
        <v>#NUM!</v>
      </c>
    </row>
    <row r="450" spans="10:10" x14ac:dyDescent="0.25">
      <c r="J450" s="59" t="e">
        <f t="shared" si="23"/>
        <v>#NUM!</v>
      </c>
    </row>
    <row r="451" spans="10:10" x14ac:dyDescent="0.25">
      <c r="J451" s="59" t="e">
        <f t="shared" si="23"/>
        <v>#NUM!</v>
      </c>
    </row>
    <row r="452" spans="10:10" x14ac:dyDescent="0.25">
      <c r="J452" s="59" t="e">
        <f t="shared" si="23"/>
        <v>#NUM!</v>
      </c>
    </row>
    <row r="453" spans="10:10" x14ac:dyDescent="0.25">
      <c r="J453" s="59" t="e">
        <f t="shared" si="23"/>
        <v>#NUM!</v>
      </c>
    </row>
    <row r="454" spans="10:10" x14ac:dyDescent="0.25">
      <c r="J454" s="59" t="e">
        <f t="shared" si="23"/>
        <v>#NUM!</v>
      </c>
    </row>
    <row r="455" spans="10:10" x14ac:dyDescent="0.25">
      <c r="J455" s="59" t="e">
        <f t="shared" ref="J455:J518" si="24">INT(LOG($H$2,2))-ROUNDUP(LOG(H455,2),0)+IF(OR($H$2=1,$H$2=2,$H$2=4,$H$2=8,$H$2=16,$H$2=32,$H$2=64,$H$2=128,$H$2=256),0,1)</f>
        <v>#NUM!</v>
      </c>
    </row>
    <row r="456" spans="10:10" x14ac:dyDescent="0.25">
      <c r="J456" s="59" t="e">
        <f t="shared" si="24"/>
        <v>#NUM!</v>
      </c>
    </row>
    <row r="457" spans="10:10" x14ac:dyDescent="0.25">
      <c r="J457" s="59" t="e">
        <f t="shared" si="24"/>
        <v>#NUM!</v>
      </c>
    </row>
    <row r="458" spans="10:10" x14ac:dyDescent="0.25">
      <c r="J458" s="59" t="e">
        <f t="shared" si="24"/>
        <v>#NUM!</v>
      </c>
    </row>
    <row r="459" spans="10:10" x14ac:dyDescent="0.25">
      <c r="J459" s="59" t="e">
        <f t="shared" si="24"/>
        <v>#NUM!</v>
      </c>
    </row>
    <row r="460" spans="10:10" x14ac:dyDescent="0.25">
      <c r="J460" s="59" t="e">
        <f t="shared" si="24"/>
        <v>#NUM!</v>
      </c>
    </row>
    <row r="461" spans="10:10" x14ac:dyDescent="0.25">
      <c r="J461" s="59" t="e">
        <f t="shared" si="24"/>
        <v>#NUM!</v>
      </c>
    </row>
    <row r="462" spans="10:10" x14ac:dyDescent="0.25">
      <c r="J462" s="59" t="e">
        <f t="shared" si="24"/>
        <v>#NUM!</v>
      </c>
    </row>
    <row r="463" spans="10:10" x14ac:dyDescent="0.25">
      <c r="J463" s="59" t="e">
        <f t="shared" si="24"/>
        <v>#NUM!</v>
      </c>
    </row>
    <row r="464" spans="10:10" x14ac:dyDescent="0.25">
      <c r="J464" s="59" t="e">
        <f t="shared" si="24"/>
        <v>#NUM!</v>
      </c>
    </row>
    <row r="465" spans="10:10" x14ac:dyDescent="0.25">
      <c r="J465" s="59" t="e">
        <f t="shared" si="24"/>
        <v>#NUM!</v>
      </c>
    </row>
    <row r="466" spans="10:10" x14ac:dyDescent="0.25">
      <c r="J466" s="59" t="e">
        <f t="shared" si="24"/>
        <v>#NUM!</v>
      </c>
    </row>
    <row r="467" spans="10:10" x14ac:dyDescent="0.25">
      <c r="J467" s="59" t="e">
        <f t="shared" si="24"/>
        <v>#NUM!</v>
      </c>
    </row>
    <row r="468" spans="10:10" x14ac:dyDescent="0.25">
      <c r="J468" s="59" t="e">
        <f t="shared" si="24"/>
        <v>#NUM!</v>
      </c>
    </row>
    <row r="469" spans="10:10" x14ac:dyDescent="0.25">
      <c r="J469" s="59" t="e">
        <f t="shared" si="24"/>
        <v>#NUM!</v>
      </c>
    </row>
    <row r="470" spans="10:10" x14ac:dyDescent="0.25">
      <c r="J470" s="59" t="e">
        <f t="shared" si="24"/>
        <v>#NUM!</v>
      </c>
    </row>
    <row r="471" spans="10:10" x14ac:dyDescent="0.25">
      <c r="J471" s="59" t="e">
        <f t="shared" si="24"/>
        <v>#NUM!</v>
      </c>
    </row>
    <row r="472" spans="10:10" x14ac:dyDescent="0.25">
      <c r="J472" s="59" t="e">
        <f t="shared" si="24"/>
        <v>#NUM!</v>
      </c>
    </row>
    <row r="473" spans="10:10" x14ac:dyDescent="0.25">
      <c r="J473" s="59" t="e">
        <f t="shared" si="24"/>
        <v>#NUM!</v>
      </c>
    </row>
    <row r="474" spans="10:10" x14ac:dyDescent="0.25">
      <c r="J474" s="59" t="e">
        <f t="shared" si="24"/>
        <v>#NUM!</v>
      </c>
    </row>
    <row r="475" spans="10:10" x14ac:dyDescent="0.25">
      <c r="J475" s="59" t="e">
        <f t="shared" si="24"/>
        <v>#NUM!</v>
      </c>
    </row>
    <row r="476" spans="10:10" x14ac:dyDescent="0.25">
      <c r="J476" s="59" t="e">
        <f t="shared" si="24"/>
        <v>#NUM!</v>
      </c>
    </row>
    <row r="477" spans="10:10" x14ac:dyDescent="0.25">
      <c r="J477" s="59" t="e">
        <f t="shared" si="24"/>
        <v>#NUM!</v>
      </c>
    </row>
    <row r="478" spans="10:10" x14ac:dyDescent="0.25">
      <c r="J478" s="59" t="e">
        <f t="shared" si="24"/>
        <v>#NUM!</v>
      </c>
    </row>
    <row r="479" spans="10:10" x14ac:dyDescent="0.25">
      <c r="J479" s="59" t="e">
        <f t="shared" si="24"/>
        <v>#NUM!</v>
      </c>
    </row>
    <row r="480" spans="10:10" x14ac:dyDescent="0.25">
      <c r="J480" s="59" t="e">
        <f t="shared" si="24"/>
        <v>#NUM!</v>
      </c>
    </row>
    <row r="481" spans="10:10" x14ac:dyDescent="0.25">
      <c r="J481" s="59" t="e">
        <f t="shared" si="24"/>
        <v>#NUM!</v>
      </c>
    </row>
    <row r="482" spans="10:10" x14ac:dyDescent="0.25">
      <c r="J482" s="59" t="e">
        <f t="shared" si="24"/>
        <v>#NUM!</v>
      </c>
    </row>
    <row r="483" spans="10:10" x14ac:dyDescent="0.25">
      <c r="J483" s="59" t="e">
        <f t="shared" si="24"/>
        <v>#NUM!</v>
      </c>
    </row>
    <row r="484" spans="10:10" x14ac:dyDescent="0.25">
      <c r="J484" s="59" t="e">
        <f t="shared" si="24"/>
        <v>#NUM!</v>
      </c>
    </row>
    <row r="485" spans="10:10" x14ac:dyDescent="0.25">
      <c r="J485" s="59" t="e">
        <f t="shared" si="24"/>
        <v>#NUM!</v>
      </c>
    </row>
    <row r="486" spans="10:10" x14ac:dyDescent="0.25">
      <c r="J486" s="59" t="e">
        <f t="shared" si="24"/>
        <v>#NUM!</v>
      </c>
    </row>
    <row r="487" spans="10:10" x14ac:dyDescent="0.25">
      <c r="J487" s="59" t="e">
        <f t="shared" si="24"/>
        <v>#NUM!</v>
      </c>
    </row>
    <row r="488" spans="10:10" x14ac:dyDescent="0.25">
      <c r="J488" s="59" t="e">
        <f t="shared" si="24"/>
        <v>#NUM!</v>
      </c>
    </row>
    <row r="489" spans="10:10" x14ac:dyDescent="0.25">
      <c r="J489" s="59" t="e">
        <f t="shared" si="24"/>
        <v>#NUM!</v>
      </c>
    </row>
    <row r="490" spans="10:10" x14ac:dyDescent="0.25">
      <c r="J490" s="59" t="e">
        <f t="shared" si="24"/>
        <v>#NUM!</v>
      </c>
    </row>
    <row r="491" spans="10:10" x14ac:dyDescent="0.25">
      <c r="J491" s="59" t="e">
        <f t="shared" si="24"/>
        <v>#NUM!</v>
      </c>
    </row>
    <row r="492" spans="10:10" x14ac:dyDescent="0.25">
      <c r="J492" s="59" t="e">
        <f t="shared" si="24"/>
        <v>#NUM!</v>
      </c>
    </row>
    <row r="493" spans="10:10" x14ac:dyDescent="0.25">
      <c r="J493" s="59" t="e">
        <f t="shared" si="24"/>
        <v>#NUM!</v>
      </c>
    </row>
    <row r="494" spans="10:10" x14ac:dyDescent="0.25">
      <c r="J494" s="59" t="e">
        <f t="shared" si="24"/>
        <v>#NUM!</v>
      </c>
    </row>
    <row r="495" spans="10:10" x14ac:dyDescent="0.25">
      <c r="J495" s="59" t="e">
        <f t="shared" si="24"/>
        <v>#NUM!</v>
      </c>
    </row>
    <row r="496" spans="10:10" x14ac:dyDescent="0.25">
      <c r="J496" s="59" t="e">
        <f t="shared" si="24"/>
        <v>#NUM!</v>
      </c>
    </row>
    <row r="497" spans="10:10" x14ac:dyDescent="0.25">
      <c r="J497" s="59" t="e">
        <f t="shared" si="24"/>
        <v>#NUM!</v>
      </c>
    </row>
    <row r="498" spans="10:10" x14ac:dyDescent="0.25">
      <c r="J498" s="59" t="e">
        <f t="shared" si="24"/>
        <v>#NUM!</v>
      </c>
    </row>
    <row r="499" spans="10:10" x14ac:dyDescent="0.25">
      <c r="J499" s="59" t="e">
        <f t="shared" si="24"/>
        <v>#NUM!</v>
      </c>
    </row>
    <row r="500" spans="10:10" x14ac:dyDescent="0.25">
      <c r="J500" s="59" t="e">
        <f t="shared" si="24"/>
        <v>#NUM!</v>
      </c>
    </row>
    <row r="501" spans="10:10" x14ac:dyDescent="0.25">
      <c r="J501" s="59" t="e">
        <f t="shared" si="24"/>
        <v>#NUM!</v>
      </c>
    </row>
    <row r="502" spans="10:10" x14ac:dyDescent="0.25">
      <c r="J502" s="59" t="e">
        <f t="shared" si="24"/>
        <v>#NUM!</v>
      </c>
    </row>
    <row r="503" spans="10:10" x14ac:dyDescent="0.25">
      <c r="J503" s="59" t="e">
        <f t="shared" si="24"/>
        <v>#NUM!</v>
      </c>
    </row>
    <row r="504" spans="10:10" x14ac:dyDescent="0.25">
      <c r="J504" s="59" t="e">
        <f t="shared" si="24"/>
        <v>#NUM!</v>
      </c>
    </row>
    <row r="505" spans="10:10" x14ac:dyDescent="0.25">
      <c r="J505" s="59" t="e">
        <f t="shared" si="24"/>
        <v>#NUM!</v>
      </c>
    </row>
    <row r="506" spans="10:10" x14ac:dyDescent="0.25">
      <c r="J506" s="59" t="e">
        <f t="shared" si="24"/>
        <v>#NUM!</v>
      </c>
    </row>
    <row r="507" spans="10:10" x14ac:dyDescent="0.25">
      <c r="J507" s="59" t="e">
        <f t="shared" si="24"/>
        <v>#NUM!</v>
      </c>
    </row>
    <row r="508" spans="10:10" x14ac:dyDescent="0.25">
      <c r="J508" s="59" t="e">
        <f t="shared" si="24"/>
        <v>#NUM!</v>
      </c>
    </row>
    <row r="509" spans="10:10" x14ac:dyDescent="0.25">
      <c r="J509" s="59" t="e">
        <f t="shared" si="24"/>
        <v>#NUM!</v>
      </c>
    </row>
    <row r="510" spans="10:10" x14ac:dyDescent="0.25">
      <c r="J510" s="59" t="e">
        <f t="shared" si="24"/>
        <v>#NUM!</v>
      </c>
    </row>
    <row r="511" spans="10:10" x14ac:dyDescent="0.25">
      <c r="J511" s="59" t="e">
        <f t="shared" si="24"/>
        <v>#NUM!</v>
      </c>
    </row>
    <row r="512" spans="10:10" x14ac:dyDescent="0.25">
      <c r="J512" s="59" t="e">
        <f t="shared" si="24"/>
        <v>#NUM!</v>
      </c>
    </row>
    <row r="513" spans="10:10" x14ac:dyDescent="0.25">
      <c r="J513" s="59" t="e">
        <f t="shared" si="24"/>
        <v>#NUM!</v>
      </c>
    </row>
    <row r="514" spans="10:10" x14ac:dyDescent="0.25">
      <c r="J514" s="59" t="e">
        <f t="shared" si="24"/>
        <v>#NUM!</v>
      </c>
    </row>
    <row r="515" spans="10:10" x14ac:dyDescent="0.25">
      <c r="J515" s="59" t="e">
        <f t="shared" si="24"/>
        <v>#NUM!</v>
      </c>
    </row>
    <row r="516" spans="10:10" x14ac:dyDescent="0.25">
      <c r="J516" s="59" t="e">
        <f t="shared" si="24"/>
        <v>#NUM!</v>
      </c>
    </row>
    <row r="517" spans="10:10" x14ac:dyDescent="0.25">
      <c r="J517" s="59" t="e">
        <f t="shared" si="24"/>
        <v>#NUM!</v>
      </c>
    </row>
    <row r="518" spans="10:10" x14ac:dyDescent="0.25">
      <c r="J518" s="59" t="e">
        <f t="shared" si="24"/>
        <v>#NUM!</v>
      </c>
    </row>
    <row r="519" spans="10:10" x14ac:dyDescent="0.25">
      <c r="J519" s="59" t="e">
        <f t="shared" ref="J519:J529" si="25">INT(LOG($H$2,2))-ROUNDUP(LOG(H519,2),0)+IF(OR($H$2=1,$H$2=2,$H$2=4,$H$2=8,$H$2=16,$H$2=32,$H$2=64,$H$2=128,$H$2=256),0,1)</f>
        <v>#NUM!</v>
      </c>
    </row>
    <row r="520" spans="10:10" x14ac:dyDescent="0.25">
      <c r="J520" s="59" t="e">
        <f t="shared" si="25"/>
        <v>#NUM!</v>
      </c>
    </row>
    <row r="521" spans="10:10" x14ac:dyDescent="0.25">
      <c r="J521" s="59" t="e">
        <f t="shared" si="25"/>
        <v>#NUM!</v>
      </c>
    </row>
    <row r="522" spans="10:10" x14ac:dyDescent="0.25">
      <c r="J522" s="59" t="e">
        <f t="shared" si="25"/>
        <v>#NUM!</v>
      </c>
    </row>
    <row r="523" spans="10:10" x14ac:dyDescent="0.25">
      <c r="J523" s="59" t="e">
        <f t="shared" si="25"/>
        <v>#NUM!</v>
      </c>
    </row>
    <row r="524" spans="10:10" x14ac:dyDescent="0.25">
      <c r="J524" s="59" t="e">
        <f t="shared" si="25"/>
        <v>#NUM!</v>
      </c>
    </row>
    <row r="525" spans="10:10" x14ac:dyDescent="0.25">
      <c r="J525" s="59" t="e">
        <f t="shared" si="25"/>
        <v>#NUM!</v>
      </c>
    </row>
    <row r="526" spans="10:10" x14ac:dyDescent="0.25">
      <c r="J526" s="59" t="e">
        <f t="shared" si="25"/>
        <v>#NUM!</v>
      </c>
    </row>
    <row r="527" spans="10:10" x14ac:dyDescent="0.25">
      <c r="J527" s="59" t="e">
        <f t="shared" si="25"/>
        <v>#NUM!</v>
      </c>
    </row>
    <row r="528" spans="10:10" x14ac:dyDescent="0.25">
      <c r="J528" s="59" t="e">
        <f t="shared" si="25"/>
        <v>#NUM!</v>
      </c>
    </row>
    <row r="529" spans="10:10" x14ac:dyDescent="0.25">
      <c r="J529" s="59" t="e">
        <f t="shared" si="25"/>
        <v>#NUM!</v>
      </c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display="PABIANICE" xr:uid="{EBFFBBC5-83F6-41AF-8126-FE899CD0D16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113F-592F-4F71-95A0-A04B38A3551E}">
  <sheetPr>
    <tabColor rgb="FF92D050"/>
  </sheetPr>
  <dimension ref="A1:AL317"/>
  <sheetViews>
    <sheetView workbookViewId="0">
      <selection activeCell="B11" sqref="B11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32</v>
      </c>
      <c r="L1" s="17"/>
      <c r="M1" s="17"/>
    </row>
    <row r="2" spans="1:36" x14ac:dyDescent="0.25">
      <c r="A2" s="13"/>
      <c r="B2" s="19" t="s">
        <v>33</v>
      </c>
      <c r="C2" s="283" t="s">
        <v>62</v>
      </c>
      <c r="D2" s="283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17"/>
      <c r="M2" s="17"/>
    </row>
    <row r="3" spans="1:36" x14ac:dyDescent="0.25">
      <c r="A3" s="13"/>
      <c r="B3" s="24" t="s">
        <v>35</v>
      </c>
      <c r="C3" s="284" t="s">
        <v>63</v>
      </c>
      <c r="D3" s="28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</row>
    <row r="6" spans="1:36" ht="14.45" customHeight="1" x14ac:dyDescent="0.25">
      <c r="A6" s="32">
        <f>M6</f>
        <v>82.980246132766666</v>
      </c>
      <c r="B6" s="33">
        <v>1</v>
      </c>
      <c r="C6" s="34" t="s">
        <v>19</v>
      </c>
      <c r="D6" s="34" t="s">
        <v>49</v>
      </c>
      <c r="E6" s="34" t="s">
        <v>50</v>
      </c>
      <c r="F6" s="34"/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0">J6*$J$2</f>
        <v>20</v>
      </c>
      <c r="L6" s="37">
        <f>3*K2</f>
        <v>12.980246132766673</v>
      </c>
      <c r="M6" s="37">
        <f t="shared" ref="M6:M69" si="1">IF(I6&lt;&gt;"",K6+I6+L6,0)</f>
        <v>82.980246132766666</v>
      </c>
    </row>
    <row r="7" spans="1:36" ht="14.45" customHeight="1" x14ac:dyDescent="0.25">
      <c r="A7" s="38">
        <f t="shared" ref="A7:A37" si="2">M7</f>
        <v>37.73793949684304</v>
      </c>
      <c r="B7" s="39">
        <v>2</v>
      </c>
      <c r="C7" s="40" t="s">
        <v>52</v>
      </c>
      <c r="D7" s="40" t="s">
        <v>53</v>
      </c>
      <c r="E7" s="40" t="s">
        <v>50</v>
      </c>
      <c r="F7" s="40"/>
      <c r="G7" s="27"/>
      <c r="H7" s="41">
        <v>2</v>
      </c>
      <c r="I7" s="42">
        <f t="shared" ref="I7:I69" si="3">IF(H7&lt;$H$2+1,($I$2-($I$2-1)*(LOG(H7)/LOG($H$2))),"")</f>
        <v>19.084442074998588</v>
      </c>
      <c r="J7" s="41">
        <f t="shared" ref="J7:J70" si="4">INT(LOG($H$2,2))-ROUNDUP(LOG(H7,2),0)+IF(OR($H$2=1,$H$2=2,$H$2=4,$H$2=8,$H$2=16,$H$2=32,$H$2=64,$H$2=128,$H$2=256),0,1)</f>
        <v>1</v>
      </c>
      <c r="K7" s="41">
        <f t="shared" si="0"/>
        <v>10</v>
      </c>
      <c r="L7" s="43">
        <f>2*K2</f>
        <v>8.6534974218444489</v>
      </c>
      <c r="M7" s="43">
        <f t="shared" si="1"/>
        <v>37.73793949684304</v>
      </c>
    </row>
    <row r="8" spans="1:36" ht="14.45" customHeight="1" x14ac:dyDescent="0.25">
      <c r="A8" s="32">
        <f t="shared" si="2"/>
        <v>5.3267487109222245</v>
      </c>
      <c r="B8" s="33">
        <v>3</v>
      </c>
      <c r="C8" s="34" t="s">
        <v>25</v>
      </c>
      <c r="D8" s="34" t="s">
        <v>51</v>
      </c>
      <c r="E8" s="34" t="s">
        <v>50</v>
      </c>
      <c r="F8" s="34"/>
      <c r="G8" s="27"/>
      <c r="H8" s="35">
        <v>3</v>
      </c>
      <c r="I8" s="36">
        <f t="shared" si="3"/>
        <v>1</v>
      </c>
      <c r="J8" s="35">
        <f t="shared" si="4"/>
        <v>0</v>
      </c>
      <c r="K8" s="35">
        <f t="shared" si="0"/>
        <v>0</v>
      </c>
      <c r="L8" s="37">
        <f>K2</f>
        <v>4.3267487109222245</v>
      </c>
      <c r="M8" s="37">
        <f t="shared" si="1"/>
        <v>5.3267487109222245</v>
      </c>
    </row>
    <row r="9" spans="1:36" ht="14.45" customHeight="1" x14ac:dyDescent="0.25">
      <c r="A9" s="38">
        <f t="shared" si="2"/>
        <v>0</v>
      </c>
      <c r="B9" s="39"/>
      <c r="C9" s="40"/>
      <c r="D9" s="40"/>
      <c r="E9" s="40"/>
      <c r="F9" s="40"/>
      <c r="G9" s="27"/>
      <c r="H9" s="41">
        <v>4</v>
      </c>
      <c r="I9" s="42" t="str">
        <f t="shared" si="3"/>
        <v/>
      </c>
      <c r="J9" s="41">
        <f t="shared" si="4"/>
        <v>0</v>
      </c>
      <c r="K9" s="41">
        <f t="shared" si="0"/>
        <v>0</v>
      </c>
      <c r="L9" s="43"/>
      <c r="M9" s="43">
        <f t="shared" si="1"/>
        <v>0</v>
      </c>
      <c r="V9" s="44"/>
      <c r="Z9" s="45"/>
      <c r="AA9" s="45"/>
      <c r="AG9" s="46"/>
      <c r="AH9" s="18" t="s">
        <v>54</v>
      </c>
      <c r="AI9" s="18">
        <v>23</v>
      </c>
    </row>
    <row r="10" spans="1:36" ht="14.45" customHeight="1" x14ac:dyDescent="0.25">
      <c r="A10" s="208">
        <v>3</v>
      </c>
      <c r="B10" s="264" t="s">
        <v>64</v>
      </c>
      <c r="C10" s="210" t="s">
        <v>24</v>
      </c>
      <c r="D10" s="210" t="s">
        <v>65</v>
      </c>
      <c r="E10" s="210" t="s">
        <v>50</v>
      </c>
      <c r="F10" s="34"/>
      <c r="G10" s="27"/>
      <c r="H10" s="35">
        <v>5</v>
      </c>
      <c r="I10" s="36" t="str">
        <f t="shared" si="3"/>
        <v/>
      </c>
      <c r="J10" s="35">
        <f t="shared" si="4"/>
        <v>-1</v>
      </c>
      <c r="K10" s="35">
        <f t="shared" si="0"/>
        <v>-10</v>
      </c>
      <c r="L10" s="35"/>
      <c r="M10" s="37">
        <f t="shared" si="1"/>
        <v>0</v>
      </c>
      <c r="V10" s="44"/>
      <c r="Z10" s="45"/>
      <c r="AA10" s="45"/>
      <c r="AG10" s="46"/>
      <c r="AH10" s="18" t="s">
        <v>55</v>
      </c>
      <c r="AI10" s="18">
        <v>45</v>
      </c>
    </row>
    <row r="11" spans="1:36" ht="14.45" customHeight="1" x14ac:dyDescent="0.25">
      <c r="A11" s="38">
        <f t="shared" si="2"/>
        <v>0</v>
      </c>
      <c r="B11" s="39"/>
      <c r="C11" s="40"/>
      <c r="D11" s="40"/>
      <c r="E11" s="40"/>
      <c r="F11" s="40"/>
      <c r="G11" s="27"/>
      <c r="H11" s="41">
        <v>6</v>
      </c>
      <c r="I11" s="42" t="str">
        <f t="shared" si="3"/>
        <v/>
      </c>
      <c r="J11" s="41">
        <f t="shared" si="4"/>
        <v>-1</v>
      </c>
      <c r="K11" s="41">
        <f t="shared" si="0"/>
        <v>-10</v>
      </c>
      <c r="L11" s="41"/>
      <c r="M11" s="43">
        <f t="shared" si="1"/>
        <v>0</v>
      </c>
      <c r="V11" s="47"/>
      <c r="Z11" s="45"/>
      <c r="AA11" s="45"/>
      <c r="AG11" s="46"/>
      <c r="AH11" s="18" t="s">
        <v>56</v>
      </c>
      <c r="AI11" s="18">
        <v>50</v>
      </c>
    </row>
    <row r="12" spans="1:36" ht="14.45" customHeight="1" x14ac:dyDescent="0.25">
      <c r="A12" s="32">
        <f t="shared" si="2"/>
        <v>0</v>
      </c>
      <c r="B12" s="33" t="str">
        <f t="shared" ref="B12:B13" si="5">IF(H12&gt;$H$2,"",(ROW()-5))</f>
        <v/>
      </c>
      <c r="C12" s="34"/>
      <c r="D12" s="34"/>
      <c r="E12" s="34"/>
      <c r="F12" s="34"/>
      <c r="G12" s="27"/>
      <c r="H12" s="35">
        <v>7</v>
      </c>
      <c r="I12" s="36" t="str">
        <f t="shared" si="3"/>
        <v/>
      </c>
      <c r="J12" s="35">
        <f t="shared" si="4"/>
        <v>-1</v>
      </c>
      <c r="K12" s="35">
        <f t="shared" si="0"/>
        <v>-10</v>
      </c>
      <c r="L12" s="35"/>
      <c r="M12" s="37">
        <f t="shared" si="1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2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3"/>
        <v/>
      </c>
      <c r="J13" s="41">
        <f t="shared" si="4"/>
        <v>-1</v>
      </c>
      <c r="K13" s="41">
        <f t="shared" si="0"/>
        <v>-10</v>
      </c>
      <c r="L13" s="41"/>
      <c r="M13" s="43">
        <f t="shared" si="1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2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3"/>
        <v/>
      </c>
      <c r="J14" s="35">
        <f t="shared" si="4"/>
        <v>-2</v>
      </c>
      <c r="K14" s="35">
        <f t="shared" si="0"/>
        <v>-20</v>
      </c>
      <c r="L14" s="35"/>
      <c r="M14" s="37">
        <f t="shared" si="1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2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3"/>
        <v/>
      </c>
      <c r="J15" s="41">
        <f t="shared" si="4"/>
        <v>-2</v>
      </c>
      <c r="K15" s="41">
        <f t="shared" si="0"/>
        <v>-20</v>
      </c>
      <c r="L15" s="41"/>
      <c r="M15" s="43">
        <f t="shared" si="1"/>
        <v>0</v>
      </c>
      <c r="X15" s="44"/>
      <c r="Z15" s="45"/>
      <c r="AA15" s="45"/>
    </row>
    <row r="16" spans="1:36" x14ac:dyDescent="0.25">
      <c r="A16" s="49">
        <f t="shared" si="2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3"/>
        <v/>
      </c>
      <c r="J16" s="35">
        <f t="shared" si="4"/>
        <v>-2</v>
      </c>
      <c r="K16" s="35">
        <f t="shared" si="0"/>
        <v>-20</v>
      </c>
      <c r="L16" s="35"/>
      <c r="M16" s="37">
        <f t="shared" si="1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2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3"/>
        <v/>
      </c>
      <c r="J17" s="41">
        <f t="shared" si="4"/>
        <v>-2</v>
      </c>
      <c r="K17" s="41">
        <f t="shared" si="0"/>
        <v>-20</v>
      </c>
      <c r="L17" s="41"/>
      <c r="M17" s="43">
        <f t="shared" si="1"/>
        <v>0</v>
      </c>
    </row>
    <row r="18" spans="1:19" x14ac:dyDescent="0.25">
      <c r="A18" s="49">
        <f t="shared" si="2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3"/>
        <v/>
      </c>
      <c r="J18" s="35">
        <f t="shared" si="4"/>
        <v>-2</v>
      </c>
      <c r="K18" s="35">
        <f t="shared" si="0"/>
        <v>-20</v>
      </c>
      <c r="L18" s="35"/>
      <c r="M18" s="37">
        <f t="shared" si="1"/>
        <v>0</v>
      </c>
    </row>
    <row r="19" spans="1:19" x14ac:dyDescent="0.25">
      <c r="A19" s="48">
        <f t="shared" si="2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3"/>
        <v/>
      </c>
      <c r="J19" s="41">
        <f t="shared" si="4"/>
        <v>-2</v>
      </c>
      <c r="K19" s="41">
        <f t="shared" si="0"/>
        <v>-20</v>
      </c>
      <c r="L19" s="41"/>
      <c r="M19" s="43">
        <f t="shared" si="1"/>
        <v>0</v>
      </c>
    </row>
    <row r="20" spans="1:19" x14ac:dyDescent="0.25">
      <c r="A20" s="49">
        <f t="shared" si="2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3"/>
        <v/>
      </c>
      <c r="J20" s="35">
        <f t="shared" si="4"/>
        <v>-2</v>
      </c>
      <c r="K20" s="35">
        <f t="shared" si="0"/>
        <v>-20</v>
      </c>
      <c r="L20" s="35"/>
      <c r="M20" s="37">
        <f t="shared" si="1"/>
        <v>0</v>
      </c>
      <c r="R20" s="53"/>
      <c r="S20" s="54"/>
    </row>
    <row r="21" spans="1:19" x14ac:dyDescent="0.25">
      <c r="A21" s="48">
        <f t="shared" si="2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3"/>
        <v/>
      </c>
      <c r="J21" s="41">
        <f t="shared" si="4"/>
        <v>-2</v>
      </c>
      <c r="K21" s="41">
        <f t="shared" si="0"/>
        <v>-20</v>
      </c>
      <c r="L21" s="41"/>
      <c r="M21" s="43">
        <f t="shared" si="1"/>
        <v>0</v>
      </c>
    </row>
    <row r="22" spans="1:19" x14ac:dyDescent="0.25">
      <c r="A22" s="49">
        <f t="shared" si="2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3"/>
        <v/>
      </c>
      <c r="J22" s="35">
        <f t="shared" si="4"/>
        <v>-3</v>
      </c>
      <c r="K22" s="35">
        <f t="shared" si="0"/>
        <v>-30</v>
      </c>
      <c r="L22" s="35"/>
      <c r="M22" s="37">
        <f t="shared" si="1"/>
        <v>0</v>
      </c>
    </row>
    <row r="23" spans="1:19" x14ac:dyDescent="0.25">
      <c r="A23" s="48">
        <f t="shared" si="2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3"/>
        <v/>
      </c>
      <c r="J23" s="41">
        <f t="shared" si="4"/>
        <v>-3</v>
      </c>
      <c r="K23" s="41">
        <f t="shared" si="0"/>
        <v>-30</v>
      </c>
      <c r="L23" s="41"/>
      <c r="M23" s="43">
        <f t="shared" si="1"/>
        <v>0</v>
      </c>
    </row>
    <row r="24" spans="1:19" x14ac:dyDescent="0.25">
      <c r="A24" s="49">
        <f t="shared" si="2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3"/>
        <v/>
      </c>
      <c r="J24" s="35">
        <f t="shared" si="4"/>
        <v>-3</v>
      </c>
      <c r="K24" s="35">
        <f t="shared" si="0"/>
        <v>-30</v>
      </c>
      <c r="L24" s="35"/>
      <c r="M24" s="37">
        <f t="shared" si="1"/>
        <v>0</v>
      </c>
      <c r="R24" s="53"/>
      <c r="S24" s="54"/>
    </row>
    <row r="25" spans="1:19" x14ac:dyDescent="0.25">
      <c r="A25" s="48">
        <f t="shared" si="2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3"/>
        <v/>
      </c>
      <c r="J25" s="41">
        <f t="shared" si="4"/>
        <v>-3</v>
      </c>
      <c r="K25" s="41">
        <f t="shared" si="0"/>
        <v>-30</v>
      </c>
      <c r="L25" s="41"/>
      <c r="M25" s="43">
        <f t="shared" si="1"/>
        <v>0</v>
      </c>
    </row>
    <row r="26" spans="1:19" x14ac:dyDescent="0.25">
      <c r="A26" s="49">
        <f t="shared" si="2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3"/>
        <v/>
      </c>
      <c r="J26" s="35">
        <f t="shared" si="4"/>
        <v>-3</v>
      </c>
      <c r="K26" s="35">
        <f t="shared" si="0"/>
        <v>-30</v>
      </c>
      <c r="L26" s="35"/>
      <c r="M26" s="37">
        <f t="shared" si="1"/>
        <v>0</v>
      </c>
    </row>
    <row r="27" spans="1:19" x14ac:dyDescent="0.25">
      <c r="A27" s="48">
        <f t="shared" si="2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3"/>
        <v/>
      </c>
      <c r="J27" s="41">
        <f t="shared" si="4"/>
        <v>-3</v>
      </c>
      <c r="K27" s="41">
        <f t="shared" si="0"/>
        <v>-30</v>
      </c>
      <c r="L27" s="41"/>
      <c r="M27" s="43">
        <f t="shared" si="1"/>
        <v>0</v>
      </c>
    </row>
    <row r="28" spans="1:19" x14ac:dyDescent="0.25">
      <c r="A28" s="49">
        <f t="shared" si="2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3"/>
        <v/>
      </c>
      <c r="J28" s="35">
        <f t="shared" si="4"/>
        <v>-3</v>
      </c>
      <c r="K28" s="35">
        <f t="shared" si="0"/>
        <v>-30</v>
      </c>
      <c r="L28" s="35"/>
      <c r="M28" s="37">
        <f t="shared" si="1"/>
        <v>0</v>
      </c>
      <c r="R28" s="53"/>
      <c r="S28" s="54"/>
    </row>
    <row r="29" spans="1:19" x14ac:dyDescent="0.25">
      <c r="A29" s="48">
        <f t="shared" si="2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3"/>
        <v/>
      </c>
      <c r="J29" s="41">
        <f t="shared" si="4"/>
        <v>-3</v>
      </c>
      <c r="K29" s="41">
        <f t="shared" si="0"/>
        <v>-30</v>
      </c>
      <c r="L29" s="41"/>
      <c r="M29" s="43">
        <f t="shared" si="1"/>
        <v>0</v>
      </c>
    </row>
    <row r="30" spans="1:19" x14ac:dyDescent="0.25">
      <c r="A30" s="49">
        <f t="shared" si="2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3"/>
        <v/>
      </c>
      <c r="J30" s="35">
        <f t="shared" si="4"/>
        <v>-3</v>
      </c>
      <c r="K30" s="35">
        <f t="shared" si="0"/>
        <v>-30</v>
      </c>
      <c r="L30" s="35"/>
      <c r="M30" s="37">
        <f t="shared" si="1"/>
        <v>0</v>
      </c>
    </row>
    <row r="31" spans="1:19" x14ac:dyDescent="0.25">
      <c r="A31" s="48">
        <f t="shared" si="2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3"/>
        <v/>
      </c>
      <c r="J31" s="41">
        <f t="shared" si="4"/>
        <v>-3</v>
      </c>
      <c r="K31" s="41">
        <f t="shared" si="0"/>
        <v>-30</v>
      </c>
      <c r="L31" s="41"/>
      <c r="M31" s="43">
        <f t="shared" si="1"/>
        <v>0</v>
      </c>
    </row>
    <row r="32" spans="1:19" x14ac:dyDescent="0.25">
      <c r="A32" s="49">
        <f t="shared" si="2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3"/>
        <v/>
      </c>
      <c r="J32" s="35">
        <f t="shared" si="4"/>
        <v>-3</v>
      </c>
      <c r="K32" s="35">
        <f t="shared" si="0"/>
        <v>-30</v>
      </c>
      <c r="L32" s="35"/>
      <c r="M32" s="37">
        <f t="shared" si="1"/>
        <v>0</v>
      </c>
      <c r="R32" s="53"/>
      <c r="S32" s="54"/>
    </row>
    <row r="33" spans="1:21" x14ac:dyDescent="0.25">
      <c r="A33" s="48">
        <f t="shared" si="2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3"/>
        <v/>
      </c>
      <c r="J33" s="41">
        <f t="shared" si="4"/>
        <v>-3</v>
      </c>
      <c r="K33" s="41">
        <f t="shared" si="0"/>
        <v>-30</v>
      </c>
      <c r="L33" s="41"/>
      <c r="M33" s="43">
        <f t="shared" si="1"/>
        <v>0</v>
      </c>
    </row>
    <row r="34" spans="1:21" x14ac:dyDescent="0.25">
      <c r="A34" s="49">
        <f t="shared" si="2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3"/>
        <v/>
      </c>
      <c r="J34" s="35">
        <f t="shared" si="4"/>
        <v>-3</v>
      </c>
      <c r="K34" s="35">
        <f t="shared" si="0"/>
        <v>-30</v>
      </c>
      <c r="L34" s="35"/>
      <c r="M34" s="37">
        <f t="shared" si="1"/>
        <v>0</v>
      </c>
    </row>
    <row r="35" spans="1:21" x14ac:dyDescent="0.25">
      <c r="A35" s="48">
        <f t="shared" si="2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3"/>
        <v/>
      </c>
      <c r="J35" s="41">
        <f t="shared" si="4"/>
        <v>-3</v>
      </c>
      <c r="K35" s="41">
        <f t="shared" si="0"/>
        <v>-30</v>
      </c>
      <c r="L35" s="41"/>
      <c r="M35" s="43">
        <f t="shared" si="1"/>
        <v>0</v>
      </c>
    </row>
    <row r="36" spans="1:21" x14ac:dyDescent="0.25">
      <c r="A36" s="49">
        <f t="shared" si="2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3"/>
        <v/>
      </c>
      <c r="J36" s="35">
        <f t="shared" si="4"/>
        <v>-3</v>
      </c>
      <c r="K36" s="35">
        <f t="shared" si="0"/>
        <v>-30</v>
      </c>
      <c r="L36" s="35"/>
      <c r="M36" s="37">
        <f t="shared" si="1"/>
        <v>0</v>
      </c>
      <c r="R36" s="53"/>
      <c r="S36" s="54"/>
    </row>
    <row r="37" spans="1:21" x14ac:dyDescent="0.25">
      <c r="A37" s="48">
        <f t="shared" si="2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3"/>
        <v/>
      </c>
      <c r="J37" s="41">
        <f t="shared" si="4"/>
        <v>-3</v>
      </c>
      <c r="K37" s="41">
        <f t="shared" si="0"/>
        <v>-30</v>
      </c>
      <c r="L37" s="41"/>
      <c r="M37" s="43">
        <f t="shared" si="1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3"/>
        <v/>
      </c>
      <c r="J38" s="35">
        <f t="shared" si="4"/>
        <v>-4</v>
      </c>
      <c r="K38" s="35">
        <f t="shared" si="0"/>
        <v>-40</v>
      </c>
      <c r="L38" s="35"/>
      <c r="M38" s="37">
        <f t="shared" si="1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3"/>
        <v/>
      </c>
      <c r="J39" s="41">
        <f t="shared" si="4"/>
        <v>-4</v>
      </c>
      <c r="K39" s="41">
        <f t="shared" si="0"/>
        <v>-40</v>
      </c>
      <c r="L39" s="41"/>
      <c r="M39" s="43">
        <f t="shared" si="1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3"/>
        <v/>
      </c>
      <c r="J40" s="35">
        <f t="shared" si="4"/>
        <v>-4</v>
      </c>
      <c r="K40" s="35">
        <f t="shared" si="0"/>
        <v>-40</v>
      </c>
      <c r="L40" s="35"/>
      <c r="M40" s="37">
        <f t="shared" si="1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3"/>
        <v/>
      </c>
      <c r="J41" s="41">
        <f t="shared" si="4"/>
        <v>-4</v>
      </c>
      <c r="K41" s="41">
        <f t="shared" si="0"/>
        <v>-40</v>
      </c>
      <c r="L41" s="41"/>
      <c r="M41" s="43">
        <f t="shared" si="1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3"/>
        <v/>
      </c>
      <c r="J42" s="35">
        <f t="shared" si="4"/>
        <v>-4</v>
      </c>
      <c r="K42" s="35">
        <f t="shared" si="0"/>
        <v>-40</v>
      </c>
      <c r="L42" s="35"/>
      <c r="M42" s="37">
        <f t="shared" si="1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3"/>
        <v/>
      </c>
      <c r="J43" s="41">
        <f t="shared" si="4"/>
        <v>-4</v>
      </c>
      <c r="K43" s="41">
        <f t="shared" si="0"/>
        <v>-40</v>
      </c>
      <c r="L43" s="41"/>
      <c r="M43" s="43">
        <f t="shared" si="1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3"/>
        <v/>
      </c>
      <c r="J44" s="35">
        <f t="shared" si="4"/>
        <v>-4</v>
      </c>
      <c r="K44" s="35">
        <f t="shared" si="0"/>
        <v>-40</v>
      </c>
      <c r="L44" s="35"/>
      <c r="M44" s="37">
        <f t="shared" si="1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3"/>
        <v/>
      </c>
      <c r="J45" s="41">
        <f t="shared" si="4"/>
        <v>-4</v>
      </c>
      <c r="K45" s="41">
        <f t="shared" si="0"/>
        <v>-40</v>
      </c>
      <c r="L45" s="41"/>
      <c r="M45" s="43">
        <f t="shared" si="1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3"/>
        <v/>
      </c>
      <c r="J46" s="35">
        <f t="shared" si="4"/>
        <v>-4</v>
      </c>
      <c r="K46" s="35">
        <f t="shared" si="0"/>
        <v>-40</v>
      </c>
      <c r="L46" s="35"/>
      <c r="M46" s="37">
        <f t="shared" si="1"/>
        <v>0</v>
      </c>
      <c r="R46" s="13">
        <f>LOG($H$2,2)</f>
        <v>1.5849625007211563</v>
      </c>
      <c r="T46" s="18">
        <f>LOG(H38,2)</f>
        <v>5.0443941193584534</v>
      </c>
      <c r="U46" s="18">
        <f>R46-T46</f>
        <v>-3.4594316186372973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3"/>
        <v/>
      </c>
      <c r="J47" s="41">
        <f t="shared" si="4"/>
        <v>-4</v>
      </c>
      <c r="K47" s="41">
        <f t="shared" si="0"/>
        <v>-40</v>
      </c>
      <c r="L47" s="41"/>
      <c r="M47" s="43">
        <f t="shared" si="1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3"/>
        <v/>
      </c>
      <c r="J48" s="35">
        <f t="shared" si="4"/>
        <v>-4</v>
      </c>
      <c r="K48" s="35">
        <f t="shared" si="0"/>
        <v>-40</v>
      </c>
      <c r="L48" s="35"/>
      <c r="M48" s="37">
        <f t="shared" si="1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3"/>
        <v/>
      </c>
      <c r="J49" s="41">
        <f t="shared" si="4"/>
        <v>-4</v>
      </c>
      <c r="K49" s="41">
        <f t="shared" si="0"/>
        <v>-40</v>
      </c>
      <c r="L49" s="41"/>
      <c r="M49" s="43">
        <f t="shared" si="1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3"/>
        <v/>
      </c>
      <c r="J50" s="35">
        <f t="shared" si="4"/>
        <v>-4</v>
      </c>
      <c r="K50" s="35">
        <f t="shared" si="0"/>
        <v>-40</v>
      </c>
      <c r="L50" s="35"/>
      <c r="M50" s="37">
        <f t="shared" si="1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3"/>
        <v/>
      </c>
      <c r="J51" s="41">
        <f t="shared" si="4"/>
        <v>-4</v>
      </c>
      <c r="K51" s="41">
        <f t="shared" si="0"/>
        <v>-40</v>
      </c>
      <c r="L51" s="41"/>
      <c r="M51" s="43">
        <f t="shared" si="1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3"/>
        <v/>
      </c>
      <c r="J52" s="35">
        <f t="shared" si="4"/>
        <v>-4</v>
      </c>
      <c r="K52" s="35">
        <f t="shared" si="0"/>
        <v>-40</v>
      </c>
      <c r="L52" s="35"/>
      <c r="M52" s="37">
        <f t="shared" si="1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3"/>
        <v/>
      </c>
      <c r="J53" s="41">
        <f t="shared" si="4"/>
        <v>-4</v>
      </c>
      <c r="K53" s="41">
        <f t="shared" si="0"/>
        <v>-40</v>
      </c>
      <c r="L53" s="41"/>
      <c r="M53" s="43">
        <f t="shared" si="1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3"/>
        <v/>
      </c>
      <c r="J54" s="35">
        <f t="shared" si="4"/>
        <v>-4</v>
      </c>
      <c r="K54" s="35">
        <f t="shared" si="0"/>
        <v>-40</v>
      </c>
      <c r="L54" s="35"/>
      <c r="M54" s="37">
        <f t="shared" si="1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3"/>
        <v/>
      </c>
      <c r="J55" s="41">
        <f t="shared" si="4"/>
        <v>-4</v>
      </c>
      <c r="K55" s="41">
        <f t="shared" si="0"/>
        <v>-40</v>
      </c>
      <c r="L55" s="41"/>
      <c r="M55" s="43">
        <f t="shared" si="1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3"/>
        <v/>
      </c>
      <c r="J56" s="35">
        <f t="shared" si="4"/>
        <v>-4</v>
      </c>
      <c r="K56" s="35">
        <f t="shared" si="0"/>
        <v>-40</v>
      </c>
      <c r="L56" s="35"/>
      <c r="M56" s="37">
        <f t="shared" si="1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3"/>
        <v/>
      </c>
      <c r="J57" s="41">
        <f t="shared" si="4"/>
        <v>-4</v>
      </c>
      <c r="K57" s="41">
        <f t="shared" si="0"/>
        <v>-40</v>
      </c>
      <c r="L57" s="41"/>
      <c r="M57" s="43">
        <f t="shared" si="1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3"/>
        <v/>
      </c>
      <c r="J58" s="35">
        <f t="shared" si="4"/>
        <v>-4</v>
      </c>
      <c r="K58" s="35">
        <f t="shared" si="0"/>
        <v>-40</v>
      </c>
      <c r="L58" s="35"/>
      <c r="M58" s="37">
        <f t="shared" si="1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3"/>
        <v/>
      </c>
      <c r="J59" s="41">
        <f t="shared" si="4"/>
        <v>-4</v>
      </c>
      <c r="K59" s="41">
        <f t="shared" si="0"/>
        <v>-40</v>
      </c>
      <c r="L59" s="41"/>
      <c r="M59" s="43">
        <f t="shared" si="1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3"/>
        <v/>
      </c>
      <c r="J60" s="35">
        <f t="shared" si="4"/>
        <v>-4</v>
      </c>
      <c r="K60" s="35">
        <f t="shared" si="0"/>
        <v>-40</v>
      </c>
      <c r="L60" s="35"/>
      <c r="M60" s="37">
        <f t="shared" si="1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3"/>
        <v/>
      </c>
      <c r="J61" s="41">
        <f t="shared" si="4"/>
        <v>-4</v>
      </c>
      <c r="K61" s="41">
        <f t="shared" si="0"/>
        <v>-40</v>
      </c>
      <c r="L61" s="41"/>
      <c r="M61" s="43">
        <f t="shared" si="1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3"/>
        <v/>
      </c>
      <c r="J62" s="35">
        <f t="shared" si="4"/>
        <v>-4</v>
      </c>
      <c r="K62" s="35">
        <f t="shared" si="0"/>
        <v>-40</v>
      </c>
      <c r="L62" s="35"/>
      <c r="M62" s="37">
        <f t="shared" si="1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3"/>
        <v/>
      </c>
      <c r="J63" s="41">
        <f t="shared" si="4"/>
        <v>-4</v>
      </c>
      <c r="K63" s="41">
        <f t="shared" si="0"/>
        <v>-40</v>
      </c>
      <c r="L63" s="41"/>
      <c r="M63" s="43">
        <f t="shared" si="1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3"/>
        <v/>
      </c>
      <c r="J64" s="35">
        <f t="shared" si="4"/>
        <v>-4</v>
      </c>
      <c r="K64" s="35">
        <f t="shared" si="0"/>
        <v>-40</v>
      </c>
      <c r="L64" s="35"/>
      <c r="M64" s="37">
        <f t="shared" si="1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3"/>
        <v/>
      </c>
      <c r="J65" s="41">
        <f t="shared" si="4"/>
        <v>-4</v>
      </c>
      <c r="K65" s="41">
        <f t="shared" si="0"/>
        <v>-40</v>
      </c>
      <c r="L65" s="41"/>
      <c r="M65" s="43">
        <f t="shared" si="1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3"/>
        <v/>
      </c>
      <c r="J66" s="35">
        <f t="shared" si="4"/>
        <v>-4</v>
      </c>
      <c r="K66" s="35">
        <f t="shared" si="0"/>
        <v>-40</v>
      </c>
      <c r="L66" s="35"/>
      <c r="M66" s="37">
        <f t="shared" si="1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3"/>
        <v/>
      </c>
      <c r="J67" s="35">
        <f t="shared" si="4"/>
        <v>-4</v>
      </c>
      <c r="K67" s="35">
        <f t="shared" si="0"/>
        <v>-40</v>
      </c>
      <c r="L67" s="35"/>
      <c r="M67" s="37">
        <f t="shared" si="1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3"/>
        <v/>
      </c>
      <c r="J68" s="35">
        <f t="shared" si="4"/>
        <v>-4</v>
      </c>
      <c r="K68" s="35">
        <f t="shared" si="0"/>
        <v>-40</v>
      </c>
      <c r="L68" s="35"/>
      <c r="M68" s="37">
        <f t="shared" si="1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3"/>
        <v/>
      </c>
      <c r="J69" s="35">
        <f t="shared" si="4"/>
        <v>-4</v>
      </c>
      <c r="K69" s="35">
        <f t="shared" si="0"/>
        <v>-40</v>
      </c>
      <c r="L69" s="35"/>
      <c r="M69" s="37">
        <f t="shared" si="1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4"/>
        <v>-5</v>
      </c>
      <c r="K70" s="35">
        <f t="shared" ref="K70:K133" si="8">J70*$J$2</f>
        <v>-50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-5</v>
      </c>
      <c r="K71" s="35">
        <f t="shared" si="8"/>
        <v>-50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-5</v>
      </c>
      <c r="K72" s="35">
        <f t="shared" si="8"/>
        <v>-50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-5</v>
      </c>
      <c r="K73" s="35">
        <f t="shared" si="8"/>
        <v>-50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-5</v>
      </c>
      <c r="K74" s="35">
        <f t="shared" si="8"/>
        <v>-50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-5</v>
      </c>
      <c r="K75" s="35">
        <f t="shared" si="8"/>
        <v>-50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-5</v>
      </c>
      <c r="K76" s="35">
        <f t="shared" si="8"/>
        <v>-50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-5</v>
      </c>
      <c r="K77" s="35">
        <f t="shared" si="8"/>
        <v>-50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-5</v>
      </c>
      <c r="K78" s="35">
        <f t="shared" si="8"/>
        <v>-50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-5</v>
      </c>
      <c r="K79" s="35">
        <f t="shared" si="8"/>
        <v>-50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-5</v>
      </c>
      <c r="K80" s="35">
        <f t="shared" si="8"/>
        <v>-50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-5</v>
      </c>
      <c r="K81" s="35">
        <f t="shared" si="8"/>
        <v>-50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-5</v>
      </c>
      <c r="K82" s="35">
        <f t="shared" si="8"/>
        <v>-50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-5</v>
      </c>
      <c r="K83" s="35">
        <f t="shared" si="8"/>
        <v>-50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-5</v>
      </c>
      <c r="K84" s="35">
        <f t="shared" si="8"/>
        <v>-50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-5</v>
      </c>
      <c r="K85" s="35">
        <f t="shared" si="8"/>
        <v>-50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-5</v>
      </c>
      <c r="K86" s="35">
        <f t="shared" si="8"/>
        <v>-50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-5</v>
      </c>
      <c r="K87" s="35">
        <f t="shared" si="8"/>
        <v>-50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-5</v>
      </c>
      <c r="K88" s="35">
        <f t="shared" si="8"/>
        <v>-50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-5</v>
      </c>
      <c r="K89" s="35">
        <f t="shared" si="8"/>
        <v>-50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-5</v>
      </c>
      <c r="K90" s="35">
        <f t="shared" si="8"/>
        <v>-50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-5</v>
      </c>
      <c r="K91" s="35">
        <f t="shared" si="8"/>
        <v>-50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-5</v>
      </c>
      <c r="K92" s="35">
        <f t="shared" si="8"/>
        <v>-50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-5</v>
      </c>
      <c r="K93" s="35">
        <f t="shared" si="8"/>
        <v>-50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-5</v>
      </c>
      <c r="K94" s="35">
        <f t="shared" si="8"/>
        <v>-50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-5</v>
      </c>
      <c r="K95" s="35">
        <f t="shared" si="8"/>
        <v>-50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-5</v>
      </c>
      <c r="K96" s="35">
        <f t="shared" si="8"/>
        <v>-50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-5</v>
      </c>
      <c r="K97" s="35">
        <f t="shared" si="8"/>
        <v>-50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-5</v>
      </c>
      <c r="K98" s="35">
        <f t="shared" si="8"/>
        <v>-50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-5</v>
      </c>
      <c r="K99" s="35">
        <f t="shared" si="8"/>
        <v>-50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-5</v>
      </c>
      <c r="K100" s="35">
        <f t="shared" si="8"/>
        <v>-50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-5</v>
      </c>
      <c r="K101" s="35">
        <f t="shared" si="8"/>
        <v>-50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-5</v>
      </c>
      <c r="K102" s="35">
        <f t="shared" si="8"/>
        <v>-50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-5</v>
      </c>
      <c r="K103" s="35">
        <f t="shared" si="8"/>
        <v>-50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-5</v>
      </c>
      <c r="K104" s="35">
        <f t="shared" si="8"/>
        <v>-50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-5</v>
      </c>
      <c r="K105" s="35">
        <f t="shared" si="8"/>
        <v>-50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-5</v>
      </c>
      <c r="K106" s="35">
        <f t="shared" si="8"/>
        <v>-50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-5</v>
      </c>
      <c r="K107" s="35">
        <f t="shared" si="8"/>
        <v>-50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-5</v>
      </c>
      <c r="K108" s="35">
        <f t="shared" si="8"/>
        <v>-50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-5</v>
      </c>
      <c r="K109" s="35">
        <f t="shared" si="8"/>
        <v>-50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-5</v>
      </c>
      <c r="K110" s="35">
        <f t="shared" si="8"/>
        <v>-50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-5</v>
      </c>
      <c r="K111" s="35">
        <f t="shared" si="8"/>
        <v>-50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-5</v>
      </c>
      <c r="K112" s="35">
        <f t="shared" si="8"/>
        <v>-50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-5</v>
      </c>
      <c r="K113" s="35">
        <f t="shared" si="8"/>
        <v>-50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-5</v>
      </c>
      <c r="K114" s="35">
        <f t="shared" si="8"/>
        <v>-50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-5</v>
      </c>
      <c r="K115" s="35">
        <f t="shared" si="8"/>
        <v>-50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-5</v>
      </c>
      <c r="K116" s="35">
        <f t="shared" si="8"/>
        <v>-50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-5</v>
      </c>
      <c r="K117" s="35">
        <f t="shared" si="8"/>
        <v>-50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-5</v>
      </c>
      <c r="K118" s="35">
        <f t="shared" si="8"/>
        <v>-50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-5</v>
      </c>
      <c r="K119" s="35">
        <f t="shared" si="8"/>
        <v>-50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-5</v>
      </c>
      <c r="K120" s="35">
        <f t="shared" si="8"/>
        <v>-50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-5</v>
      </c>
      <c r="K121" s="35">
        <f t="shared" si="8"/>
        <v>-50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-5</v>
      </c>
      <c r="K122" s="35">
        <f t="shared" si="8"/>
        <v>-50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-5</v>
      </c>
      <c r="K123" s="35">
        <f t="shared" si="8"/>
        <v>-50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-5</v>
      </c>
      <c r="K124" s="35">
        <f t="shared" si="8"/>
        <v>-50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-5</v>
      </c>
      <c r="K125" s="35">
        <f t="shared" si="8"/>
        <v>-50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-5</v>
      </c>
      <c r="K126" s="35">
        <f t="shared" si="8"/>
        <v>-50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-5</v>
      </c>
      <c r="K127" s="35">
        <f t="shared" si="8"/>
        <v>-50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-5</v>
      </c>
      <c r="K128" s="35">
        <f t="shared" si="8"/>
        <v>-50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-5</v>
      </c>
      <c r="K129" s="35">
        <f t="shared" si="8"/>
        <v>-50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-5</v>
      </c>
      <c r="K130" s="35">
        <f t="shared" si="8"/>
        <v>-50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-5</v>
      </c>
      <c r="K131" s="35">
        <f t="shared" si="8"/>
        <v>-50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-5</v>
      </c>
      <c r="K132" s="35">
        <f t="shared" si="8"/>
        <v>-50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-5</v>
      </c>
      <c r="K133" s="35">
        <f t="shared" si="8"/>
        <v>-50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-6</v>
      </c>
      <c r="K134" s="35">
        <f t="shared" ref="K134:K197" si="12">J134*$J$2</f>
        <v>-60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-6</v>
      </c>
      <c r="K135" s="35">
        <f t="shared" si="12"/>
        <v>-60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-6</v>
      </c>
      <c r="K136" s="35">
        <f t="shared" si="12"/>
        <v>-60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-6</v>
      </c>
      <c r="K137" s="35">
        <f t="shared" si="12"/>
        <v>-60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-6</v>
      </c>
      <c r="K138" s="35">
        <f t="shared" si="12"/>
        <v>-60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-6</v>
      </c>
      <c r="K139" s="35">
        <f t="shared" si="12"/>
        <v>-60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-6</v>
      </c>
      <c r="K140" s="35">
        <f t="shared" si="12"/>
        <v>-60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-6</v>
      </c>
      <c r="K141" s="35">
        <f t="shared" si="12"/>
        <v>-60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-6</v>
      </c>
      <c r="K142" s="35">
        <f t="shared" si="12"/>
        <v>-60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-6</v>
      </c>
      <c r="K143" s="35">
        <f t="shared" si="12"/>
        <v>-60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-6</v>
      </c>
      <c r="K144" s="35">
        <f t="shared" si="12"/>
        <v>-60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-6</v>
      </c>
      <c r="K145" s="35">
        <f t="shared" si="12"/>
        <v>-60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-6</v>
      </c>
      <c r="K146" s="35">
        <f t="shared" si="12"/>
        <v>-60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-6</v>
      </c>
      <c r="K147" s="35">
        <f t="shared" si="12"/>
        <v>-60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-6</v>
      </c>
      <c r="K148" s="35">
        <f t="shared" si="12"/>
        <v>-60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-6</v>
      </c>
      <c r="K149" s="35">
        <f t="shared" si="12"/>
        <v>-60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-6</v>
      </c>
      <c r="K150" s="35">
        <f t="shared" si="12"/>
        <v>-60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-6</v>
      </c>
      <c r="K151" s="35">
        <f t="shared" si="12"/>
        <v>-60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-6</v>
      </c>
      <c r="K152" s="35">
        <f t="shared" si="12"/>
        <v>-60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-6</v>
      </c>
      <c r="K153" s="35">
        <f t="shared" si="12"/>
        <v>-60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-6</v>
      </c>
      <c r="K154" s="35">
        <f t="shared" si="12"/>
        <v>-60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-6</v>
      </c>
      <c r="K155" s="35">
        <f t="shared" si="12"/>
        <v>-60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-6</v>
      </c>
      <c r="K156" s="35">
        <f t="shared" si="12"/>
        <v>-60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-6</v>
      </c>
      <c r="K157" s="35">
        <f t="shared" si="12"/>
        <v>-60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-6</v>
      </c>
      <c r="K158" s="35">
        <f t="shared" si="12"/>
        <v>-60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-6</v>
      </c>
      <c r="K159" s="35">
        <f t="shared" si="12"/>
        <v>-60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-6</v>
      </c>
      <c r="K160" s="35">
        <f t="shared" si="12"/>
        <v>-60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-6</v>
      </c>
      <c r="K161" s="35">
        <f t="shared" si="12"/>
        <v>-60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-6</v>
      </c>
      <c r="K162" s="35">
        <f t="shared" si="12"/>
        <v>-60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-6</v>
      </c>
      <c r="K163" s="35">
        <f t="shared" si="12"/>
        <v>-60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-6</v>
      </c>
      <c r="K164" s="35">
        <f t="shared" si="12"/>
        <v>-60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-6</v>
      </c>
      <c r="K165" s="35">
        <f t="shared" si="12"/>
        <v>-60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-6</v>
      </c>
      <c r="K166" s="35">
        <f t="shared" si="12"/>
        <v>-60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-6</v>
      </c>
      <c r="K167" s="35">
        <f t="shared" si="12"/>
        <v>-60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-6</v>
      </c>
      <c r="K168" s="35">
        <f t="shared" si="12"/>
        <v>-60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-6</v>
      </c>
      <c r="K169" s="35">
        <f t="shared" si="12"/>
        <v>-60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-6</v>
      </c>
      <c r="K170" s="35">
        <f t="shared" si="12"/>
        <v>-60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-6</v>
      </c>
      <c r="K171" s="35">
        <f t="shared" si="12"/>
        <v>-60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-6</v>
      </c>
      <c r="K172" s="35">
        <f t="shared" si="12"/>
        <v>-60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-6</v>
      </c>
      <c r="K173" s="35">
        <f t="shared" si="12"/>
        <v>-60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-6</v>
      </c>
      <c r="K174" s="35">
        <f t="shared" si="12"/>
        <v>-60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-6</v>
      </c>
      <c r="K175" s="35">
        <f t="shared" si="12"/>
        <v>-60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-6</v>
      </c>
      <c r="K176" s="35">
        <f t="shared" si="12"/>
        <v>-60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-6</v>
      </c>
      <c r="K177" s="35">
        <f t="shared" si="12"/>
        <v>-60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-6</v>
      </c>
      <c r="K178" s="35">
        <f t="shared" si="12"/>
        <v>-60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-6</v>
      </c>
      <c r="K179" s="35">
        <f t="shared" si="12"/>
        <v>-60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-6</v>
      </c>
      <c r="K180" s="35">
        <f t="shared" si="12"/>
        <v>-60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-6</v>
      </c>
      <c r="K181" s="35">
        <f t="shared" si="12"/>
        <v>-60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-6</v>
      </c>
      <c r="K182" s="35">
        <f t="shared" si="12"/>
        <v>-60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-6</v>
      </c>
      <c r="K183" s="35">
        <f t="shared" si="12"/>
        <v>-60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-6</v>
      </c>
      <c r="K184" s="35">
        <f t="shared" si="12"/>
        <v>-60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-6</v>
      </c>
      <c r="K185" s="35">
        <f t="shared" si="12"/>
        <v>-60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-6</v>
      </c>
      <c r="K186" s="35">
        <f t="shared" si="12"/>
        <v>-60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-6</v>
      </c>
      <c r="K187" s="35">
        <f t="shared" si="12"/>
        <v>-60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-6</v>
      </c>
      <c r="K188" s="35">
        <f t="shared" si="12"/>
        <v>-60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-6</v>
      </c>
      <c r="K189" s="35">
        <f t="shared" si="12"/>
        <v>-60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-6</v>
      </c>
      <c r="K190" s="35">
        <f t="shared" si="12"/>
        <v>-60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-6</v>
      </c>
      <c r="K191" s="35">
        <f t="shared" si="12"/>
        <v>-60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-6</v>
      </c>
      <c r="K192" s="35">
        <f t="shared" si="12"/>
        <v>-60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-6</v>
      </c>
      <c r="K193" s="35">
        <f t="shared" si="12"/>
        <v>-60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-6</v>
      </c>
      <c r="K194" s="35">
        <f t="shared" si="12"/>
        <v>-60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-6</v>
      </c>
      <c r="K195" s="35">
        <f t="shared" si="12"/>
        <v>-60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-6</v>
      </c>
      <c r="K196" s="35">
        <f t="shared" si="12"/>
        <v>-60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-6</v>
      </c>
      <c r="K197" s="35">
        <f t="shared" si="12"/>
        <v>-60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-6</v>
      </c>
      <c r="K198" s="35">
        <f t="shared" ref="K198:K261" si="16">J198*$J$2</f>
        <v>-60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-6</v>
      </c>
      <c r="K199" s="35">
        <f t="shared" si="16"/>
        <v>-60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-6</v>
      </c>
      <c r="K200" s="35">
        <f t="shared" si="16"/>
        <v>-60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-6</v>
      </c>
      <c r="K201" s="35">
        <f t="shared" si="16"/>
        <v>-60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-6</v>
      </c>
      <c r="K202" s="35">
        <f t="shared" si="16"/>
        <v>-60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-6</v>
      </c>
      <c r="K203" s="35">
        <f t="shared" si="16"/>
        <v>-60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-6</v>
      </c>
      <c r="K204" s="35">
        <f t="shared" si="16"/>
        <v>-60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-6</v>
      </c>
      <c r="K205" s="35">
        <f t="shared" si="16"/>
        <v>-60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-6</v>
      </c>
      <c r="K206" s="35">
        <f t="shared" si="16"/>
        <v>-60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-6</v>
      </c>
      <c r="K207" s="35">
        <f t="shared" si="16"/>
        <v>-60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-6</v>
      </c>
      <c r="K208" s="35">
        <f t="shared" si="16"/>
        <v>-60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-6</v>
      </c>
      <c r="K209" s="35">
        <f t="shared" si="16"/>
        <v>-60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-6</v>
      </c>
      <c r="K210" s="35">
        <f t="shared" si="16"/>
        <v>-60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-6</v>
      </c>
      <c r="K211" s="35">
        <f t="shared" si="16"/>
        <v>-60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-6</v>
      </c>
      <c r="K212" s="35">
        <f t="shared" si="16"/>
        <v>-60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-6</v>
      </c>
      <c r="K213" s="35">
        <f t="shared" si="16"/>
        <v>-60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-6</v>
      </c>
      <c r="K214" s="35">
        <f t="shared" si="16"/>
        <v>-60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-6</v>
      </c>
      <c r="K215" s="35">
        <f t="shared" si="16"/>
        <v>-60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-6</v>
      </c>
      <c r="K216" s="35">
        <f t="shared" si="16"/>
        <v>-60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-6</v>
      </c>
      <c r="K217" s="35">
        <f t="shared" si="16"/>
        <v>-60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-6</v>
      </c>
      <c r="K218" s="35">
        <f t="shared" si="16"/>
        <v>-60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-6</v>
      </c>
      <c r="K219" s="35">
        <f t="shared" si="16"/>
        <v>-60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-6</v>
      </c>
      <c r="K220" s="35">
        <f t="shared" si="16"/>
        <v>-60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-6</v>
      </c>
      <c r="K221" s="35">
        <f t="shared" si="16"/>
        <v>-60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-6</v>
      </c>
      <c r="K222" s="35">
        <f t="shared" si="16"/>
        <v>-60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-6</v>
      </c>
      <c r="K223" s="35">
        <f t="shared" si="16"/>
        <v>-60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-6</v>
      </c>
      <c r="K224" s="35">
        <f t="shared" si="16"/>
        <v>-60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-6</v>
      </c>
      <c r="K225" s="35">
        <f t="shared" si="16"/>
        <v>-60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-6</v>
      </c>
      <c r="K226" s="35">
        <f t="shared" si="16"/>
        <v>-60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-6</v>
      </c>
      <c r="K227" s="35">
        <f t="shared" si="16"/>
        <v>-60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-6</v>
      </c>
      <c r="K228" s="35">
        <f t="shared" si="16"/>
        <v>-60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-6</v>
      </c>
      <c r="K229" s="35">
        <f t="shared" si="16"/>
        <v>-60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-6</v>
      </c>
      <c r="K230" s="35">
        <f t="shared" si="16"/>
        <v>-60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-6</v>
      </c>
      <c r="K231" s="35">
        <f t="shared" si="16"/>
        <v>-60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-6</v>
      </c>
      <c r="K232" s="35">
        <f t="shared" si="16"/>
        <v>-60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-6</v>
      </c>
      <c r="K233" s="35">
        <f t="shared" si="16"/>
        <v>-60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-6</v>
      </c>
      <c r="K234" s="35">
        <f t="shared" si="16"/>
        <v>-60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-6</v>
      </c>
      <c r="K235" s="35">
        <f t="shared" si="16"/>
        <v>-60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-6</v>
      </c>
      <c r="K236" s="35">
        <f t="shared" si="16"/>
        <v>-60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-6</v>
      </c>
      <c r="K237" s="35">
        <f t="shared" si="16"/>
        <v>-60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-6</v>
      </c>
      <c r="K238" s="35">
        <f t="shared" si="16"/>
        <v>-60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-6</v>
      </c>
      <c r="K239" s="35">
        <f t="shared" si="16"/>
        <v>-60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-6</v>
      </c>
      <c r="K240" s="35">
        <f t="shared" si="16"/>
        <v>-60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-6</v>
      </c>
      <c r="K241" s="35">
        <f t="shared" si="16"/>
        <v>-60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-6</v>
      </c>
      <c r="K242" s="35">
        <f t="shared" si="16"/>
        <v>-60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-6</v>
      </c>
      <c r="K243" s="35">
        <f t="shared" si="16"/>
        <v>-60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-6</v>
      </c>
      <c r="K244" s="35">
        <f t="shared" si="16"/>
        <v>-60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-6</v>
      </c>
      <c r="K245" s="35">
        <f t="shared" si="16"/>
        <v>-60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-6</v>
      </c>
      <c r="K246" s="35">
        <f t="shared" si="16"/>
        <v>-60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-6</v>
      </c>
      <c r="K247" s="35">
        <f t="shared" si="16"/>
        <v>-60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-6</v>
      </c>
      <c r="K248" s="35">
        <f t="shared" si="16"/>
        <v>-60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-6</v>
      </c>
      <c r="K249" s="35">
        <f t="shared" si="16"/>
        <v>-60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-6</v>
      </c>
      <c r="K250" s="35">
        <f t="shared" si="16"/>
        <v>-60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-6</v>
      </c>
      <c r="K251" s="35">
        <f t="shared" si="16"/>
        <v>-60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-6</v>
      </c>
      <c r="K252" s="35">
        <f t="shared" si="16"/>
        <v>-60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-6</v>
      </c>
      <c r="K253" s="35">
        <f t="shared" si="16"/>
        <v>-60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-6</v>
      </c>
      <c r="K254" s="35">
        <f t="shared" si="16"/>
        <v>-60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-6</v>
      </c>
      <c r="K255" s="35">
        <f t="shared" si="16"/>
        <v>-60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-6</v>
      </c>
      <c r="K256" s="35">
        <f t="shared" si="16"/>
        <v>-60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-6</v>
      </c>
      <c r="K257" s="35">
        <f t="shared" si="16"/>
        <v>-60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-6</v>
      </c>
      <c r="K258" s="35">
        <f t="shared" si="16"/>
        <v>-60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-6</v>
      </c>
      <c r="K259" s="35">
        <f t="shared" si="16"/>
        <v>-60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-6</v>
      </c>
      <c r="K260" s="35">
        <f t="shared" si="16"/>
        <v>-60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-6</v>
      </c>
      <c r="K261" s="35">
        <f t="shared" si="16"/>
        <v>-60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-7</v>
      </c>
      <c r="K262" s="35">
        <f t="shared" ref="K262:K305" si="20">J262*$J$2</f>
        <v>-70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-7</v>
      </c>
      <c r="K263" s="35">
        <f t="shared" si="20"/>
        <v>-70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-7</v>
      </c>
      <c r="K264" s="35">
        <f t="shared" si="20"/>
        <v>-70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-7</v>
      </c>
      <c r="K265" s="35">
        <f t="shared" si="20"/>
        <v>-70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-7</v>
      </c>
      <c r="K266" s="35">
        <f t="shared" si="20"/>
        <v>-70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-7</v>
      </c>
      <c r="K267" s="35">
        <f t="shared" si="20"/>
        <v>-70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-7</v>
      </c>
      <c r="K268" s="35">
        <f t="shared" si="20"/>
        <v>-70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-7</v>
      </c>
      <c r="K269" s="35">
        <f t="shared" si="20"/>
        <v>-70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-7</v>
      </c>
      <c r="K270" s="35">
        <f t="shared" si="20"/>
        <v>-70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-7</v>
      </c>
      <c r="K271" s="35">
        <f t="shared" si="20"/>
        <v>-70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-7</v>
      </c>
      <c r="K272" s="35">
        <f t="shared" si="20"/>
        <v>-70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-7</v>
      </c>
      <c r="K273" s="35">
        <f t="shared" si="20"/>
        <v>-70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-7</v>
      </c>
      <c r="K274" s="35">
        <f t="shared" si="20"/>
        <v>-70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-7</v>
      </c>
      <c r="K275" s="35">
        <f t="shared" si="20"/>
        <v>-70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-7</v>
      </c>
      <c r="K276" s="35">
        <f t="shared" si="20"/>
        <v>-70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-7</v>
      </c>
      <c r="K277" s="35">
        <f t="shared" si="20"/>
        <v>-70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-7</v>
      </c>
      <c r="K278" s="35">
        <f t="shared" si="20"/>
        <v>-70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-7</v>
      </c>
      <c r="K279" s="35">
        <f t="shared" si="20"/>
        <v>-70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-7</v>
      </c>
      <c r="K280" s="35">
        <f t="shared" si="20"/>
        <v>-70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-7</v>
      </c>
      <c r="K281" s="35">
        <f t="shared" si="20"/>
        <v>-70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-7</v>
      </c>
      <c r="K282" s="35">
        <f t="shared" si="20"/>
        <v>-70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-7</v>
      </c>
      <c r="K283" s="35">
        <f t="shared" si="20"/>
        <v>-70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-7</v>
      </c>
      <c r="K284" s="35">
        <f t="shared" si="20"/>
        <v>-70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-7</v>
      </c>
      <c r="K285" s="35">
        <f t="shared" si="20"/>
        <v>-70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-7</v>
      </c>
      <c r="K286" s="35">
        <f t="shared" si="20"/>
        <v>-70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-7</v>
      </c>
      <c r="K287" s="35">
        <f t="shared" si="20"/>
        <v>-70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-7</v>
      </c>
      <c r="K288" s="35">
        <f t="shared" si="20"/>
        <v>-70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-7</v>
      </c>
      <c r="K289" s="35">
        <f t="shared" si="20"/>
        <v>-70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-7</v>
      </c>
      <c r="K290" s="35">
        <f t="shared" si="20"/>
        <v>-70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-7</v>
      </c>
      <c r="K291" s="35">
        <f t="shared" si="20"/>
        <v>-70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-7</v>
      </c>
      <c r="K292" s="35">
        <f t="shared" si="20"/>
        <v>-70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-7</v>
      </c>
      <c r="K293" s="35">
        <f t="shared" si="20"/>
        <v>-70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-7</v>
      </c>
      <c r="K294" s="35">
        <f t="shared" si="20"/>
        <v>-70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-7</v>
      </c>
      <c r="K295" s="35">
        <f t="shared" si="20"/>
        <v>-70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-7</v>
      </c>
      <c r="K296" s="35">
        <f t="shared" si="20"/>
        <v>-70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-7</v>
      </c>
      <c r="K297" s="35">
        <f t="shared" si="20"/>
        <v>-70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-7</v>
      </c>
      <c r="K298" s="35">
        <f t="shared" si="20"/>
        <v>-70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-7</v>
      </c>
      <c r="K299" s="35">
        <f t="shared" si="20"/>
        <v>-70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-7</v>
      </c>
      <c r="K300" s="35">
        <f t="shared" si="20"/>
        <v>-70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-7</v>
      </c>
      <c r="K301" s="35">
        <f t="shared" si="20"/>
        <v>-70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-7</v>
      </c>
      <c r="K302" s="35">
        <f t="shared" si="20"/>
        <v>-70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-7</v>
      </c>
      <c r="K303" s="35">
        <f t="shared" si="20"/>
        <v>-70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-7</v>
      </c>
      <c r="K304" s="35">
        <f t="shared" si="20"/>
        <v>-70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-7</v>
      </c>
      <c r="K305" s="35">
        <f t="shared" si="20"/>
        <v>-70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8CEE647B-8B32-4F24-902B-7BB32C18655A}">
      <formula1>#REF!</formula1>
    </dataValidation>
  </dataValidations>
  <hyperlinks>
    <hyperlink ref="C2:D2" r:id="rId1" display="TORUŃ" xr:uid="{61D05D5E-F365-490D-9A8D-32CE3A48C9B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F677-DCC5-4A76-8D13-33006F049277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32</v>
      </c>
      <c r="L1" s="17"/>
      <c r="M1" s="17"/>
    </row>
    <row r="2" spans="1:36" x14ac:dyDescent="0.25">
      <c r="A2" s="13"/>
      <c r="B2" s="19" t="s">
        <v>33</v>
      </c>
      <c r="C2" s="283" t="s">
        <v>66</v>
      </c>
      <c r="D2" s="283"/>
      <c r="E2" s="20"/>
      <c r="F2" s="20"/>
      <c r="G2" s="20"/>
      <c r="H2" s="21">
        <v>3</v>
      </c>
      <c r="I2" s="22">
        <v>50</v>
      </c>
      <c r="J2" s="22">
        <v>10</v>
      </c>
      <c r="K2" s="23">
        <f>3*H2^(1/3)</f>
        <v>4.3267487109222245</v>
      </c>
      <c r="L2" s="17"/>
      <c r="M2" s="17"/>
    </row>
    <row r="3" spans="1:36" x14ac:dyDescent="0.25">
      <c r="A3" s="13"/>
      <c r="B3" s="24" t="s">
        <v>35</v>
      </c>
      <c r="C3" s="284" t="s">
        <v>67</v>
      </c>
      <c r="D3" s="28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</row>
    <row r="6" spans="1:36" ht="14.45" customHeight="1" x14ac:dyDescent="0.25">
      <c r="A6" s="32">
        <f>M6</f>
        <v>82.980246132766666</v>
      </c>
      <c r="B6" s="33">
        <f t="shared" ref="B6:B14" si="0">IF(H6&gt;$H$2,"",(ROW()-5))</f>
        <v>1</v>
      </c>
      <c r="C6" s="66" t="s">
        <v>22</v>
      </c>
      <c r="D6" s="66" t="s">
        <v>68</v>
      </c>
      <c r="E6" s="66"/>
      <c r="F6" s="34" t="s">
        <v>69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12.980246132766673</v>
      </c>
      <c r="M6" s="37">
        <f t="shared" ref="M6:M69" si="2">IF(I6&lt;&gt;"",K6+I6+L6,0)</f>
        <v>82.980246132766666</v>
      </c>
    </row>
    <row r="7" spans="1:36" ht="14.45" customHeight="1" x14ac:dyDescent="0.25">
      <c r="A7" s="38">
        <f t="shared" ref="A7:A37" si="3">M7</f>
        <v>37.73793949684304</v>
      </c>
      <c r="B7" s="39">
        <f t="shared" si="0"/>
        <v>2</v>
      </c>
      <c r="C7" s="67" t="s">
        <v>19</v>
      </c>
      <c r="D7" s="67" t="s">
        <v>49</v>
      </c>
      <c r="E7" s="67"/>
      <c r="F7" s="40" t="s">
        <v>69</v>
      </c>
      <c r="G7" s="27"/>
      <c r="H7" s="41">
        <v>2</v>
      </c>
      <c r="I7" s="42">
        <f t="shared" ref="I7:I69" si="4">IF(H7&lt;$H$2+1,($I$2-($I$2-1)*(LOG(H7)/LOG($H$2))),"")</f>
        <v>19.084442074998588</v>
      </c>
      <c r="J7" s="41">
        <f t="shared" ref="J7:J70" si="5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8.6534974218444489</v>
      </c>
      <c r="M7" s="43">
        <f t="shared" si="2"/>
        <v>37.73793949684304</v>
      </c>
    </row>
    <row r="8" spans="1:36" ht="14.45" customHeight="1" x14ac:dyDescent="0.25">
      <c r="A8" s="32">
        <f t="shared" si="3"/>
        <v>5.3267487109222245</v>
      </c>
      <c r="B8" s="33">
        <f t="shared" si="0"/>
        <v>3</v>
      </c>
      <c r="C8" s="66" t="s">
        <v>21</v>
      </c>
      <c r="D8" s="66" t="s">
        <v>53</v>
      </c>
      <c r="E8" s="66"/>
      <c r="F8" s="34" t="s">
        <v>69</v>
      </c>
      <c r="G8" s="27"/>
      <c r="H8" s="35">
        <v>3</v>
      </c>
      <c r="I8" s="36">
        <f t="shared" si="4"/>
        <v>1</v>
      </c>
      <c r="J8" s="35">
        <f t="shared" si="5"/>
        <v>0</v>
      </c>
      <c r="K8" s="35">
        <f t="shared" si="1"/>
        <v>0</v>
      </c>
      <c r="L8" s="37">
        <f>K2</f>
        <v>4.3267487109222245</v>
      </c>
      <c r="M8" s="37">
        <f t="shared" si="2"/>
        <v>5.3267487109222245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67"/>
      <c r="D9" s="67"/>
      <c r="E9" s="67"/>
      <c r="F9" s="40"/>
      <c r="G9" s="27"/>
      <c r="H9" s="41">
        <v>4</v>
      </c>
      <c r="I9" s="42" t="str">
        <f t="shared" si="4"/>
        <v/>
      </c>
      <c r="J9" s="41">
        <f t="shared" si="5"/>
        <v>0</v>
      </c>
      <c r="K9" s="41">
        <f t="shared" si="1"/>
        <v>0</v>
      </c>
      <c r="L9" s="43"/>
      <c r="M9" s="43">
        <f t="shared" si="2"/>
        <v>0</v>
      </c>
      <c r="V9" s="44"/>
      <c r="Z9" s="45"/>
      <c r="AA9" s="45"/>
      <c r="AG9" s="46"/>
      <c r="AH9" s="18" t="s">
        <v>54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66"/>
      <c r="D10" s="66"/>
      <c r="E10" s="66"/>
      <c r="F10" s="34"/>
      <c r="G10" s="27"/>
      <c r="H10" s="35">
        <v>5</v>
      </c>
      <c r="I10" s="36" t="str">
        <f t="shared" si="4"/>
        <v/>
      </c>
      <c r="J10" s="35">
        <f t="shared" si="5"/>
        <v>-1</v>
      </c>
      <c r="K10" s="35">
        <f t="shared" si="1"/>
        <v>-10</v>
      </c>
      <c r="L10" s="35"/>
      <c r="M10" s="37">
        <f t="shared" si="2"/>
        <v>0</v>
      </c>
      <c r="V10" s="44"/>
      <c r="Z10" s="45"/>
      <c r="AA10" s="45"/>
      <c r="AG10" s="46"/>
      <c r="AH10" s="18" t="s">
        <v>55</v>
      </c>
      <c r="AI10" s="18">
        <v>45</v>
      </c>
    </row>
    <row r="11" spans="1:36" ht="14.45" customHeight="1" x14ac:dyDescent="0.25">
      <c r="A11" s="208">
        <v>64</v>
      </c>
      <c r="B11" s="209" t="s">
        <v>70</v>
      </c>
      <c r="C11" s="210" t="s">
        <v>20</v>
      </c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56</v>
      </c>
      <c r="AI11" s="18">
        <v>50</v>
      </c>
    </row>
    <row r="12" spans="1:36" ht="14.45" customHeight="1" x14ac:dyDescent="0.25">
      <c r="A12" s="208">
        <v>1</v>
      </c>
      <c r="B12" s="209" t="s">
        <v>71</v>
      </c>
      <c r="C12" s="210" t="s">
        <v>24</v>
      </c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 t="shared" si="0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1.5849625007211563</v>
      </c>
      <c r="T46" s="18">
        <f>LOG(H38,2)</f>
        <v>5.0443941193584534</v>
      </c>
      <c r="U46" s="18">
        <f>R46-T46</f>
        <v>-3.4594316186372973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-5</v>
      </c>
      <c r="K70" s="35">
        <f t="shared" ref="K70:K133" si="8">J70*$J$2</f>
        <v>-50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-5</v>
      </c>
      <c r="K71" s="35">
        <f t="shared" si="8"/>
        <v>-50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-5</v>
      </c>
      <c r="K72" s="35">
        <f t="shared" si="8"/>
        <v>-50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-5</v>
      </c>
      <c r="K73" s="35">
        <f t="shared" si="8"/>
        <v>-50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-5</v>
      </c>
      <c r="K74" s="35">
        <f t="shared" si="8"/>
        <v>-50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-5</v>
      </c>
      <c r="K75" s="35">
        <f t="shared" si="8"/>
        <v>-50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-5</v>
      </c>
      <c r="K76" s="35">
        <f t="shared" si="8"/>
        <v>-50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-5</v>
      </c>
      <c r="K77" s="35">
        <f t="shared" si="8"/>
        <v>-50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-5</v>
      </c>
      <c r="K78" s="35">
        <f t="shared" si="8"/>
        <v>-50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-5</v>
      </c>
      <c r="K79" s="35">
        <f t="shared" si="8"/>
        <v>-50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-5</v>
      </c>
      <c r="K80" s="35">
        <f t="shared" si="8"/>
        <v>-50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-5</v>
      </c>
      <c r="K81" s="35">
        <f t="shared" si="8"/>
        <v>-50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-5</v>
      </c>
      <c r="K82" s="35">
        <f t="shared" si="8"/>
        <v>-50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-5</v>
      </c>
      <c r="K83" s="35">
        <f t="shared" si="8"/>
        <v>-50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-5</v>
      </c>
      <c r="K84" s="35">
        <f t="shared" si="8"/>
        <v>-50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-5</v>
      </c>
      <c r="K85" s="35">
        <f t="shared" si="8"/>
        <v>-50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-5</v>
      </c>
      <c r="K86" s="35">
        <f t="shared" si="8"/>
        <v>-50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-5</v>
      </c>
      <c r="K87" s="35">
        <f t="shared" si="8"/>
        <v>-50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-5</v>
      </c>
      <c r="K88" s="35">
        <f t="shared" si="8"/>
        <v>-50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-5</v>
      </c>
      <c r="K89" s="35">
        <f t="shared" si="8"/>
        <v>-50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-5</v>
      </c>
      <c r="K90" s="35">
        <f t="shared" si="8"/>
        <v>-50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-5</v>
      </c>
      <c r="K91" s="35">
        <f t="shared" si="8"/>
        <v>-50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-5</v>
      </c>
      <c r="K92" s="35">
        <f t="shared" si="8"/>
        <v>-50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-5</v>
      </c>
      <c r="K93" s="35">
        <f t="shared" si="8"/>
        <v>-50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-5</v>
      </c>
      <c r="K94" s="35">
        <f t="shared" si="8"/>
        <v>-50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-5</v>
      </c>
      <c r="K95" s="35">
        <f t="shared" si="8"/>
        <v>-50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-5</v>
      </c>
      <c r="K96" s="35">
        <f t="shared" si="8"/>
        <v>-50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-5</v>
      </c>
      <c r="K97" s="35">
        <f t="shared" si="8"/>
        <v>-50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-5</v>
      </c>
      <c r="K98" s="35">
        <f t="shared" si="8"/>
        <v>-50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-5</v>
      </c>
      <c r="K99" s="35">
        <f t="shared" si="8"/>
        <v>-50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-5</v>
      </c>
      <c r="K100" s="35">
        <f t="shared" si="8"/>
        <v>-50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-5</v>
      </c>
      <c r="K101" s="35">
        <f t="shared" si="8"/>
        <v>-50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-5</v>
      </c>
      <c r="K102" s="35">
        <f t="shared" si="8"/>
        <v>-50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-5</v>
      </c>
      <c r="K103" s="35">
        <f t="shared" si="8"/>
        <v>-50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-5</v>
      </c>
      <c r="K104" s="35">
        <f t="shared" si="8"/>
        <v>-50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-5</v>
      </c>
      <c r="K105" s="35">
        <f t="shared" si="8"/>
        <v>-50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-5</v>
      </c>
      <c r="K106" s="35">
        <f t="shared" si="8"/>
        <v>-50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-5</v>
      </c>
      <c r="K107" s="35">
        <f t="shared" si="8"/>
        <v>-50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-5</v>
      </c>
      <c r="K108" s="35">
        <f t="shared" si="8"/>
        <v>-50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-5</v>
      </c>
      <c r="K109" s="35">
        <f t="shared" si="8"/>
        <v>-50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-5</v>
      </c>
      <c r="K110" s="35">
        <f t="shared" si="8"/>
        <v>-50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-5</v>
      </c>
      <c r="K111" s="35">
        <f t="shared" si="8"/>
        <v>-50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-5</v>
      </c>
      <c r="K112" s="35">
        <f t="shared" si="8"/>
        <v>-50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-5</v>
      </c>
      <c r="K113" s="35">
        <f t="shared" si="8"/>
        <v>-50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-5</v>
      </c>
      <c r="K114" s="35">
        <f t="shared" si="8"/>
        <v>-50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-5</v>
      </c>
      <c r="K115" s="35">
        <f t="shared" si="8"/>
        <v>-50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-5</v>
      </c>
      <c r="K116" s="35">
        <f t="shared" si="8"/>
        <v>-50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-5</v>
      </c>
      <c r="K117" s="35">
        <f t="shared" si="8"/>
        <v>-50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-5</v>
      </c>
      <c r="K118" s="35">
        <f t="shared" si="8"/>
        <v>-50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-5</v>
      </c>
      <c r="K119" s="35">
        <f t="shared" si="8"/>
        <v>-50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-5</v>
      </c>
      <c r="K120" s="35">
        <f t="shared" si="8"/>
        <v>-50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-5</v>
      </c>
      <c r="K121" s="35">
        <f t="shared" si="8"/>
        <v>-50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-5</v>
      </c>
      <c r="K122" s="35">
        <f t="shared" si="8"/>
        <v>-50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-5</v>
      </c>
      <c r="K123" s="35">
        <f t="shared" si="8"/>
        <v>-50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-5</v>
      </c>
      <c r="K124" s="35">
        <f t="shared" si="8"/>
        <v>-50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-5</v>
      </c>
      <c r="K125" s="35">
        <f t="shared" si="8"/>
        <v>-50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-5</v>
      </c>
      <c r="K126" s="35">
        <f t="shared" si="8"/>
        <v>-50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-5</v>
      </c>
      <c r="K127" s="35">
        <f t="shared" si="8"/>
        <v>-50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-5</v>
      </c>
      <c r="K128" s="35">
        <f t="shared" si="8"/>
        <v>-50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-5</v>
      </c>
      <c r="K129" s="35">
        <f t="shared" si="8"/>
        <v>-50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-5</v>
      </c>
      <c r="K130" s="35">
        <f t="shared" si="8"/>
        <v>-50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-5</v>
      </c>
      <c r="K131" s="35">
        <f t="shared" si="8"/>
        <v>-50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-5</v>
      </c>
      <c r="K132" s="35">
        <f t="shared" si="8"/>
        <v>-50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-5</v>
      </c>
      <c r="K133" s="35">
        <f t="shared" si="8"/>
        <v>-50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-6</v>
      </c>
      <c r="K134" s="35">
        <f t="shared" ref="K134:K197" si="12">J134*$J$2</f>
        <v>-60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-6</v>
      </c>
      <c r="K135" s="35">
        <f t="shared" si="12"/>
        <v>-60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-6</v>
      </c>
      <c r="K136" s="35">
        <f t="shared" si="12"/>
        <v>-60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-6</v>
      </c>
      <c r="K137" s="35">
        <f t="shared" si="12"/>
        <v>-60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-6</v>
      </c>
      <c r="K138" s="35">
        <f t="shared" si="12"/>
        <v>-60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-6</v>
      </c>
      <c r="K139" s="35">
        <f t="shared" si="12"/>
        <v>-60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-6</v>
      </c>
      <c r="K140" s="35">
        <f t="shared" si="12"/>
        <v>-60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-6</v>
      </c>
      <c r="K141" s="35">
        <f t="shared" si="12"/>
        <v>-60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-6</v>
      </c>
      <c r="K142" s="35">
        <f t="shared" si="12"/>
        <v>-60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-6</v>
      </c>
      <c r="K143" s="35">
        <f t="shared" si="12"/>
        <v>-60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-6</v>
      </c>
      <c r="K144" s="35">
        <f t="shared" si="12"/>
        <v>-60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-6</v>
      </c>
      <c r="K145" s="35">
        <f t="shared" si="12"/>
        <v>-60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-6</v>
      </c>
      <c r="K146" s="35">
        <f t="shared" si="12"/>
        <v>-60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-6</v>
      </c>
      <c r="K147" s="35">
        <f t="shared" si="12"/>
        <v>-60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-6</v>
      </c>
      <c r="K148" s="35">
        <f t="shared" si="12"/>
        <v>-60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-6</v>
      </c>
      <c r="K149" s="35">
        <f t="shared" si="12"/>
        <v>-60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-6</v>
      </c>
      <c r="K150" s="35">
        <f t="shared" si="12"/>
        <v>-60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-6</v>
      </c>
      <c r="K151" s="35">
        <f t="shared" si="12"/>
        <v>-60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-6</v>
      </c>
      <c r="K152" s="35">
        <f t="shared" si="12"/>
        <v>-60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-6</v>
      </c>
      <c r="K153" s="35">
        <f t="shared" si="12"/>
        <v>-60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-6</v>
      </c>
      <c r="K154" s="35">
        <f t="shared" si="12"/>
        <v>-60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-6</v>
      </c>
      <c r="K155" s="35">
        <f t="shared" si="12"/>
        <v>-60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-6</v>
      </c>
      <c r="K156" s="35">
        <f t="shared" si="12"/>
        <v>-60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-6</v>
      </c>
      <c r="K157" s="35">
        <f t="shared" si="12"/>
        <v>-60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-6</v>
      </c>
      <c r="K158" s="35">
        <f t="shared" si="12"/>
        <v>-60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-6</v>
      </c>
      <c r="K159" s="35">
        <f t="shared" si="12"/>
        <v>-60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-6</v>
      </c>
      <c r="K160" s="35">
        <f t="shared" si="12"/>
        <v>-60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-6</v>
      </c>
      <c r="K161" s="35">
        <f t="shared" si="12"/>
        <v>-60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-6</v>
      </c>
      <c r="K162" s="35">
        <f t="shared" si="12"/>
        <v>-60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-6</v>
      </c>
      <c r="K163" s="35">
        <f t="shared" si="12"/>
        <v>-60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-6</v>
      </c>
      <c r="K164" s="35">
        <f t="shared" si="12"/>
        <v>-60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-6</v>
      </c>
      <c r="K165" s="35">
        <f t="shared" si="12"/>
        <v>-60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-6</v>
      </c>
      <c r="K166" s="35">
        <f t="shared" si="12"/>
        <v>-60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-6</v>
      </c>
      <c r="K167" s="35">
        <f t="shared" si="12"/>
        <v>-60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-6</v>
      </c>
      <c r="K168" s="35">
        <f t="shared" si="12"/>
        <v>-60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-6</v>
      </c>
      <c r="K169" s="35">
        <f t="shared" si="12"/>
        <v>-60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-6</v>
      </c>
      <c r="K170" s="35">
        <f t="shared" si="12"/>
        <v>-60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-6</v>
      </c>
      <c r="K171" s="35">
        <f t="shared" si="12"/>
        <v>-60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-6</v>
      </c>
      <c r="K172" s="35">
        <f t="shared" si="12"/>
        <v>-60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-6</v>
      </c>
      <c r="K173" s="35">
        <f t="shared" si="12"/>
        <v>-60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-6</v>
      </c>
      <c r="K174" s="35">
        <f t="shared" si="12"/>
        <v>-60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-6</v>
      </c>
      <c r="K175" s="35">
        <f t="shared" si="12"/>
        <v>-60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-6</v>
      </c>
      <c r="K176" s="35">
        <f t="shared" si="12"/>
        <v>-60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-6</v>
      </c>
      <c r="K177" s="35">
        <f t="shared" si="12"/>
        <v>-60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-6</v>
      </c>
      <c r="K178" s="35">
        <f t="shared" si="12"/>
        <v>-60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-6</v>
      </c>
      <c r="K179" s="35">
        <f t="shared" si="12"/>
        <v>-60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-6</v>
      </c>
      <c r="K180" s="35">
        <f t="shared" si="12"/>
        <v>-60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-6</v>
      </c>
      <c r="K181" s="35">
        <f t="shared" si="12"/>
        <v>-60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-6</v>
      </c>
      <c r="K182" s="35">
        <f t="shared" si="12"/>
        <v>-60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-6</v>
      </c>
      <c r="K183" s="35">
        <f t="shared" si="12"/>
        <v>-60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-6</v>
      </c>
      <c r="K184" s="35">
        <f t="shared" si="12"/>
        <v>-60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-6</v>
      </c>
      <c r="K185" s="35">
        <f t="shared" si="12"/>
        <v>-60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-6</v>
      </c>
      <c r="K186" s="35">
        <f t="shared" si="12"/>
        <v>-60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-6</v>
      </c>
      <c r="K187" s="35">
        <f t="shared" si="12"/>
        <v>-60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-6</v>
      </c>
      <c r="K188" s="35">
        <f t="shared" si="12"/>
        <v>-60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-6</v>
      </c>
      <c r="K189" s="35">
        <f t="shared" si="12"/>
        <v>-60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-6</v>
      </c>
      <c r="K190" s="35">
        <f t="shared" si="12"/>
        <v>-60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-6</v>
      </c>
      <c r="K191" s="35">
        <f t="shared" si="12"/>
        <v>-60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-6</v>
      </c>
      <c r="K192" s="35">
        <f t="shared" si="12"/>
        <v>-60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-6</v>
      </c>
      <c r="K193" s="35">
        <f t="shared" si="12"/>
        <v>-60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-6</v>
      </c>
      <c r="K194" s="35">
        <f t="shared" si="12"/>
        <v>-60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-6</v>
      </c>
      <c r="K195" s="35">
        <f t="shared" si="12"/>
        <v>-60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-6</v>
      </c>
      <c r="K196" s="35">
        <f t="shared" si="12"/>
        <v>-60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-6</v>
      </c>
      <c r="K197" s="35">
        <f t="shared" si="12"/>
        <v>-60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-6</v>
      </c>
      <c r="K198" s="35">
        <f t="shared" ref="K198:K261" si="16">J198*$J$2</f>
        <v>-60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-6</v>
      </c>
      <c r="K199" s="35">
        <f t="shared" si="16"/>
        <v>-60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-6</v>
      </c>
      <c r="K200" s="35">
        <f t="shared" si="16"/>
        <v>-60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-6</v>
      </c>
      <c r="K201" s="35">
        <f t="shared" si="16"/>
        <v>-60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-6</v>
      </c>
      <c r="K202" s="35">
        <f t="shared" si="16"/>
        <v>-60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-6</v>
      </c>
      <c r="K203" s="35">
        <f t="shared" si="16"/>
        <v>-60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-6</v>
      </c>
      <c r="K204" s="35">
        <f t="shared" si="16"/>
        <v>-60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-6</v>
      </c>
      <c r="K205" s="35">
        <f t="shared" si="16"/>
        <v>-60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-6</v>
      </c>
      <c r="K206" s="35">
        <f t="shared" si="16"/>
        <v>-60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-6</v>
      </c>
      <c r="K207" s="35">
        <f t="shared" si="16"/>
        <v>-60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-6</v>
      </c>
      <c r="K208" s="35">
        <f t="shared" si="16"/>
        <v>-60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-6</v>
      </c>
      <c r="K209" s="35">
        <f t="shared" si="16"/>
        <v>-60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-6</v>
      </c>
      <c r="K210" s="35">
        <f t="shared" si="16"/>
        <v>-60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-6</v>
      </c>
      <c r="K211" s="35">
        <f t="shared" si="16"/>
        <v>-60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-6</v>
      </c>
      <c r="K212" s="35">
        <f t="shared" si="16"/>
        <v>-60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-6</v>
      </c>
      <c r="K213" s="35">
        <f t="shared" si="16"/>
        <v>-60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-6</v>
      </c>
      <c r="K214" s="35">
        <f t="shared" si="16"/>
        <v>-60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-6</v>
      </c>
      <c r="K215" s="35">
        <f t="shared" si="16"/>
        <v>-60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-6</v>
      </c>
      <c r="K216" s="35">
        <f t="shared" si="16"/>
        <v>-60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-6</v>
      </c>
      <c r="K217" s="35">
        <f t="shared" si="16"/>
        <v>-60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-6</v>
      </c>
      <c r="K218" s="35">
        <f t="shared" si="16"/>
        <v>-60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-6</v>
      </c>
      <c r="K219" s="35">
        <f t="shared" si="16"/>
        <v>-60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-6</v>
      </c>
      <c r="K220" s="35">
        <f t="shared" si="16"/>
        <v>-60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-6</v>
      </c>
      <c r="K221" s="35">
        <f t="shared" si="16"/>
        <v>-60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-6</v>
      </c>
      <c r="K222" s="35">
        <f t="shared" si="16"/>
        <v>-60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-6</v>
      </c>
      <c r="K223" s="35">
        <f t="shared" si="16"/>
        <v>-60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-6</v>
      </c>
      <c r="K224" s="35">
        <f t="shared" si="16"/>
        <v>-60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-6</v>
      </c>
      <c r="K225" s="35">
        <f t="shared" si="16"/>
        <v>-60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-6</v>
      </c>
      <c r="K226" s="35">
        <f t="shared" si="16"/>
        <v>-60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-6</v>
      </c>
      <c r="K227" s="35">
        <f t="shared" si="16"/>
        <v>-60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-6</v>
      </c>
      <c r="K228" s="35">
        <f t="shared" si="16"/>
        <v>-60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-6</v>
      </c>
      <c r="K229" s="35">
        <f t="shared" si="16"/>
        <v>-60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-6</v>
      </c>
      <c r="K230" s="35">
        <f t="shared" si="16"/>
        <v>-60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-6</v>
      </c>
      <c r="K231" s="35">
        <f t="shared" si="16"/>
        <v>-60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-6</v>
      </c>
      <c r="K232" s="35">
        <f t="shared" si="16"/>
        <v>-60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-6</v>
      </c>
      <c r="K233" s="35">
        <f t="shared" si="16"/>
        <v>-60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-6</v>
      </c>
      <c r="K234" s="35">
        <f t="shared" si="16"/>
        <v>-60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-6</v>
      </c>
      <c r="K235" s="35">
        <f t="shared" si="16"/>
        <v>-60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-6</v>
      </c>
      <c r="K236" s="35">
        <f t="shared" si="16"/>
        <v>-60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-6</v>
      </c>
      <c r="K237" s="35">
        <f t="shared" si="16"/>
        <v>-60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-6</v>
      </c>
      <c r="K238" s="35">
        <f t="shared" si="16"/>
        <v>-60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-6</v>
      </c>
      <c r="K239" s="35">
        <f t="shared" si="16"/>
        <v>-60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-6</v>
      </c>
      <c r="K240" s="35">
        <f t="shared" si="16"/>
        <v>-60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-6</v>
      </c>
      <c r="K241" s="35">
        <f t="shared" si="16"/>
        <v>-60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-6</v>
      </c>
      <c r="K242" s="35">
        <f t="shared" si="16"/>
        <v>-60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-6</v>
      </c>
      <c r="K243" s="35">
        <f t="shared" si="16"/>
        <v>-60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-6</v>
      </c>
      <c r="K244" s="35">
        <f t="shared" si="16"/>
        <v>-60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-6</v>
      </c>
      <c r="K245" s="35">
        <f t="shared" si="16"/>
        <v>-60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-6</v>
      </c>
      <c r="K246" s="35">
        <f t="shared" si="16"/>
        <v>-60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-6</v>
      </c>
      <c r="K247" s="35">
        <f t="shared" si="16"/>
        <v>-60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-6</v>
      </c>
      <c r="K248" s="35">
        <f t="shared" si="16"/>
        <v>-60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-6</v>
      </c>
      <c r="K249" s="35">
        <f t="shared" si="16"/>
        <v>-60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-6</v>
      </c>
      <c r="K250" s="35">
        <f t="shared" si="16"/>
        <v>-60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-6</v>
      </c>
      <c r="K251" s="35">
        <f t="shared" si="16"/>
        <v>-60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-6</v>
      </c>
      <c r="K252" s="35">
        <f t="shared" si="16"/>
        <v>-60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-6</v>
      </c>
      <c r="K253" s="35">
        <f t="shared" si="16"/>
        <v>-60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-6</v>
      </c>
      <c r="K254" s="35">
        <f t="shared" si="16"/>
        <v>-60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-6</v>
      </c>
      <c r="K255" s="35">
        <f t="shared" si="16"/>
        <v>-60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-6</v>
      </c>
      <c r="K256" s="35">
        <f t="shared" si="16"/>
        <v>-60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-6</v>
      </c>
      <c r="K257" s="35">
        <f t="shared" si="16"/>
        <v>-60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-6</v>
      </c>
      <c r="K258" s="35">
        <f t="shared" si="16"/>
        <v>-60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-6</v>
      </c>
      <c r="K259" s="35">
        <f t="shared" si="16"/>
        <v>-60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-6</v>
      </c>
      <c r="K260" s="35">
        <f t="shared" si="16"/>
        <v>-60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-6</v>
      </c>
      <c r="K261" s="35">
        <f t="shared" si="16"/>
        <v>-60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-7</v>
      </c>
      <c r="K262" s="35">
        <f t="shared" ref="K262:K305" si="20">J262*$J$2</f>
        <v>-70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-7</v>
      </c>
      <c r="K263" s="35">
        <f t="shared" si="20"/>
        <v>-70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-7</v>
      </c>
      <c r="K264" s="35">
        <f t="shared" si="20"/>
        <v>-70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-7</v>
      </c>
      <c r="K265" s="35">
        <f t="shared" si="20"/>
        <v>-70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-7</v>
      </c>
      <c r="K266" s="35">
        <f t="shared" si="20"/>
        <v>-70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-7</v>
      </c>
      <c r="K267" s="35">
        <f t="shared" si="20"/>
        <v>-70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-7</v>
      </c>
      <c r="K268" s="35">
        <f t="shared" si="20"/>
        <v>-70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-7</v>
      </c>
      <c r="K269" s="35">
        <f t="shared" si="20"/>
        <v>-70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-7</v>
      </c>
      <c r="K270" s="35">
        <f t="shared" si="20"/>
        <v>-70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-7</v>
      </c>
      <c r="K271" s="35">
        <f t="shared" si="20"/>
        <v>-70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-7</v>
      </c>
      <c r="K272" s="35">
        <f t="shared" si="20"/>
        <v>-70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-7</v>
      </c>
      <c r="K273" s="35">
        <f t="shared" si="20"/>
        <v>-70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-7</v>
      </c>
      <c r="K274" s="35">
        <f t="shared" si="20"/>
        <v>-70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-7</v>
      </c>
      <c r="K275" s="35">
        <f t="shared" si="20"/>
        <v>-70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-7</v>
      </c>
      <c r="K276" s="35">
        <f t="shared" si="20"/>
        <v>-70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-7</v>
      </c>
      <c r="K277" s="35">
        <f t="shared" si="20"/>
        <v>-70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-7</v>
      </c>
      <c r="K278" s="35">
        <f t="shared" si="20"/>
        <v>-70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-7</v>
      </c>
      <c r="K279" s="35">
        <f t="shared" si="20"/>
        <v>-70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-7</v>
      </c>
      <c r="K280" s="35">
        <f t="shared" si="20"/>
        <v>-70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-7</v>
      </c>
      <c r="K281" s="35">
        <f t="shared" si="20"/>
        <v>-70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-7</v>
      </c>
      <c r="K282" s="35">
        <f t="shared" si="20"/>
        <v>-70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-7</v>
      </c>
      <c r="K283" s="35">
        <f t="shared" si="20"/>
        <v>-70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-7</v>
      </c>
      <c r="K284" s="35">
        <f t="shared" si="20"/>
        <v>-70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-7</v>
      </c>
      <c r="K285" s="35">
        <f t="shared" si="20"/>
        <v>-70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-7</v>
      </c>
      <c r="K286" s="35">
        <f t="shared" si="20"/>
        <v>-70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-7</v>
      </c>
      <c r="K287" s="35">
        <f t="shared" si="20"/>
        <v>-70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-7</v>
      </c>
      <c r="K288" s="35">
        <f t="shared" si="20"/>
        <v>-70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-7</v>
      </c>
      <c r="K289" s="35">
        <f t="shared" si="20"/>
        <v>-70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-7</v>
      </c>
      <c r="K290" s="35">
        <f t="shared" si="20"/>
        <v>-70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-7</v>
      </c>
      <c r="K291" s="35">
        <f t="shared" si="20"/>
        <v>-70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-7</v>
      </c>
      <c r="K292" s="35">
        <f t="shared" si="20"/>
        <v>-70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-7</v>
      </c>
      <c r="K293" s="35">
        <f t="shared" si="20"/>
        <v>-70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-7</v>
      </c>
      <c r="K294" s="35">
        <f t="shared" si="20"/>
        <v>-70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-7</v>
      </c>
      <c r="K295" s="35">
        <f t="shared" si="20"/>
        <v>-70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-7</v>
      </c>
      <c r="K296" s="35">
        <f t="shared" si="20"/>
        <v>-70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-7</v>
      </c>
      <c r="K297" s="35">
        <f t="shared" si="20"/>
        <v>-70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-7</v>
      </c>
      <c r="K298" s="35">
        <f t="shared" si="20"/>
        <v>-70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-7</v>
      </c>
      <c r="K299" s="35">
        <f t="shared" si="20"/>
        <v>-70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-7</v>
      </c>
      <c r="K300" s="35">
        <f t="shared" si="20"/>
        <v>-70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-7</v>
      </c>
      <c r="K301" s="35">
        <f t="shared" si="20"/>
        <v>-70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-7</v>
      </c>
      <c r="K302" s="35">
        <f t="shared" si="20"/>
        <v>-70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-7</v>
      </c>
      <c r="K303" s="35">
        <f t="shared" si="20"/>
        <v>-70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-7</v>
      </c>
      <c r="K304" s="35">
        <f t="shared" si="20"/>
        <v>-70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-7</v>
      </c>
      <c r="K305" s="35">
        <f t="shared" si="20"/>
        <v>-70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D1E7437D-C2BC-4E16-AA46-F7B86FE7CA80}">
      <formula1>#REF!</formula1>
    </dataValidation>
  </dataValidations>
  <hyperlinks>
    <hyperlink ref="C2:D2" r:id="rId1" display="NIEPOŁOMICE" xr:uid="{3C631BB7-738F-497C-920C-C5DEC78BBA5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B1E8-52DB-4F60-A380-42334826113B}">
  <sheetPr>
    <tabColor rgb="FF92D050"/>
  </sheetPr>
  <dimension ref="A1:AL317"/>
  <sheetViews>
    <sheetView workbookViewId="0">
      <selection activeCell="C18" sqref="C18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32</v>
      </c>
      <c r="L1" s="17"/>
      <c r="M1" s="17"/>
    </row>
    <row r="2" spans="1:36" ht="14.45" customHeight="1" x14ac:dyDescent="0.25">
      <c r="A2" s="13"/>
      <c r="B2" s="19" t="s">
        <v>33</v>
      </c>
      <c r="C2" s="283" t="s">
        <v>72</v>
      </c>
      <c r="D2" s="283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17"/>
      <c r="M2" s="17"/>
    </row>
    <row r="3" spans="1:36" ht="14.45" customHeight="1" x14ac:dyDescent="0.25">
      <c r="A3" s="13"/>
      <c r="B3" s="24" t="s">
        <v>35</v>
      </c>
      <c r="C3" s="284" t="s">
        <v>73</v>
      </c>
      <c r="D3" s="284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</row>
    <row r="6" spans="1:36" ht="14.45" customHeight="1" x14ac:dyDescent="0.25">
      <c r="A6" s="32">
        <f t="shared" ref="A6:A37" si="0">M6</f>
        <v>84.286609467713788</v>
      </c>
      <c r="B6" s="33">
        <v>1</v>
      </c>
      <c r="C6" s="34" t="s">
        <v>20</v>
      </c>
      <c r="D6" s="34" t="s">
        <v>65</v>
      </c>
      <c r="E6" s="34"/>
      <c r="F6" s="34" t="s">
        <v>69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1">J6*$J$2</f>
        <v>20</v>
      </c>
      <c r="L6" s="37">
        <f>3*K2</f>
        <v>14.286609467713795</v>
      </c>
      <c r="M6" s="37">
        <f t="shared" ref="M6:M69" si="2">IF(I6&lt;&gt;"",K6+I6+L6,0)</f>
        <v>84.286609467713788</v>
      </c>
    </row>
    <row r="7" spans="1:36" ht="14.45" customHeight="1" x14ac:dyDescent="0.25">
      <c r="A7" s="38">
        <f t="shared" si="0"/>
        <v>45.024406311809194</v>
      </c>
      <c r="B7" s="39">
        <v>2</v>
      </c>
      <c r="C7" s="40" t="s">
        <v>23</v>
      </c>
      <c r="D7" s="40" t="s">
        <v>74</v>
      </c>
      <c r="E7" s="40"/>
      <c r="F7" s="40" t="s">
        <v>69</v>
      </c>
      <c r="G7" s="27"/>
      <c r="H7" s="41">
        <v>2</v>
      </c>
      <c r="I7" s="42">
        <f t="shared" ref="I7:I69" si="3">IF(H7&lt;$H$2+1,($I$2-($I$2-1)*(LOG(H7)/LOG($H$2))),"")</f>
        <v>25.5</v>
      </c>
      <c r="J7" s="41">
        <f t="shared" ref="J7:J70" si="4">INT(LOG($H$2,2))-ROUNDUP(LOG(H7,2),0)+IF(OR($H$2=1,$H$2=2,$H$2=4,$H$2=8,$H$2=16,$H$2=32,$H$2=64,$H$2=128,$H$2=256),0,1)</f>
        <v>1</v>
      </c>
      <c r="K7" s="41">
        <f t="shared" si="1"/>
        <v>10</v>
      </c>
      <c r="L7" s="43">
        <f>2*K2</f>
        <v>9.5244063118091962</v>
      </c>
      <c r="M7" s="43">
        <f t="shared" si="2"/>
        <v>45.024406311809194</v>
      </c>
    </row>
    <row r="8" spans="1:36" ht="14.45" customHeight="1" x14ac:dyDescent="0.25">
      <c r="A8" s="32">
        <f t="shared" si="0"/>
        <v>15.930621888236271</v>
      </c>
      <c r="B8" s="33">
        <v>3</v>
      </c>
      <c r="C8" s="34" t="s">
        <v>24</v>
      </c>
      <c r="D8" s="34" t="s">
        <v>65</v>
      </c>
      <c r="E8" s="34"/>
      <c r="F8" s="34" t="s">
        <v>69</v>
      </c>
      <c r="G8" s="27"/>
      <c r="H8" s="35">
        <v>3</v>
      </c>
      <c r="I8" s="36">
        <f t="shared" si="3"/>
        <v>11.168418732331673</v>
      </c>
      <c r="J8" s="35">
        <f t="shared" si="4"/>
        <v>0</v>
      </c>
      <c r="K8" s="35">
        <f t="shared" si="1"/>
        <v>0</v>
      </c>
      <c r="L8" s="37">
        <f>K2</f>
        <v>4.7622031559045981</v>
      </c>
      <c r="M8" s="37">
        <f t="shared" si="2"/>
        <v>15.930621888236271</v>
      </c>
    </row>
    <row r="9" spans="1:36" ht="14.45" customHeight="1" x14ac:dyDescent="0.25">
      <c r="A9" s="38">
        <f t="shared" si="0"/>
        <v>1</v>
      </c>
      <c r="B9" s="39">
        <v>4</v>
      </c>
      <c r="C9" s="40" t="s">
        <v>27</v>
      </c>
      <c r="D9" s="40" t="s">
        <v>75</v>
      </c>
      <c r="E9" s="40"/>
      <c r="F9" s="40" t="s">
        <v>69</v>
      </c>
      <c r="G9" s="27"/>
      <c r="H9" s="41">
        <v>4</v>
      </c>
      <c r="I9" s="42">
        <f t="shared" si="3"/>
        <v>1</v>
      </c>
      <c r="J9" s="41">
        <f t="shared" si="4"/>
        <v>0</v>
      </c>
      <c r="K9" s="41">
        <f t="shared" si="1"/>
        <v>0</v>
      </c>
      <c r="L9" s="43"/>
      <c r="M9" s="43">
        <f t="shared" si="2"/>
        <v>1</v>
      </c>
      <c r="V9" s="44"/>
      <c r="Z9" s="45"/>
      <c r="AA9" s="45"/>
      <c r="AG9" s="46"/>
      <c r="AH9" s="18" t="s">
        <v>54</v>
      </c>
      <c r="AI9" s="18">
        <v>23</v>
      </c>
    </row>
    <row r="10" spans="1:36" ht="14.45" customHeight="1" x14ac:dyDescent="0.25">
      <c r="A10" s="32">
        <f t="shared" si="0"/>
        <v>0</v>
      </c>
      <c r="B10" s="33" t="str">
        <f t="shared" ref="B10:B15" si="5">IF(H10&gt;$H$2,"",(ROW()-5))</f>
        <v/>
      </c>
      <c r="C10" s="34"/>
      <c r="D10" s="34"/>
      <c r="E10" s="34"/>
      <c r="F10" s="34"/>
      <c r="G10" s="27"/>
      <c r="H10" s="35">
        <v>5</v>
      </c>
      <c r="I10" s="36" t="str">
        <f t="shared" si="3"/>
        <v/>
      </c>
      <c r="J10" s="35">
        <f t="shared" si="4"/>
        <v>-1</v>
      </c>
      <c r="K10" s="35">
        <f t="shared" si="1"/>
        <v>-10</v>
      </c>
      <c r="L10" s="35"/>
      <c r="M10" s="37">
        <f t="shared" si="2"/>
        <v>0</v>
      </c>
      <c r="V10" s="44"/>
      <c r="Z10" s="45"/>
      <c r="AA10" s="45"/>
      <c r="AG10" s="46"/>
      <c r="AH10" s="18" t="s">
        <v>55</v>
      </c>
      <c r="AI10" s="18">
        <v>45</v>
      </c>
    </row>
    <row r="11" spans="1:36" ht="14.45" customHeight="1" x14ac:dyDescent="0.25">
      <c r="A11" s="38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41">
        <v>6</v>
      </c>
      <c r="I11" s="42" t="str">
        <f t="shared" si="3"/>
        <v/>
      </c>
      <c r="J11" s="41">
        <f t="shared" si="4"/>
        <v>-1</v>
      </c>
      <c r="K11" s="41">
        <f t="shared" si="1"/>
        <v>-10</v>
      </c>
      <c r="L11" s="41"/>
      <c r="M11" s="43">
        <f t="shared" si="2"/>
        <v>0</v>
      </c>
      <c r="V11" s="47"/>
      <c r="Z11" s="45"/>
      <c r="AA11" s="45"/>
      <c r="AG11" s="46"/>
      <c r="AH11" s="18" t="s">
        <v>56</v>
      </c>
      <c r="AI11" s="18">
        <v>50</v>
      </c>
    </row>
    <row r="12" spans="1:36" ht="14.45" customHeight="1" x14ac:dyDescent="0.25">
      <c r="A12" s="32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35">
        <v>7</v>
      </c>
      <c r="I12" s="36" t="str">
        <f t="shared" si="3"/>
        <v/>
      </c>
      <c r="J12" s="35">
        <f t="shared" si="4"/>
        <v>-1</v>
      </c>
      <c r="K12" s="35">
        <f t="shared" si="1"/>
        <v>-10</v>
      </c>
      <c r="L12" s="35"/>
      <c r="M12" s="37">
        <f t="shared" si="2"/>
        <v>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41">
        <v>8</v>
      </c>
      <c r="I13" s="42" t="str">
        <f t="shared" si="3"/>
        <v/>
      </c>
      <c r="J13" s="41">
        <f t="shared" si="4"/>
        <v>-1</v>
      </c>
      <c r="K13" s="41">
        <f t="shared" si="1"/>
        <v>-10</v>
      </c>
      <c r="L13" s="41"/>
      <c r="M13" s="43">
        <f t="shared" si="2"/>
        <v>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35">
        <v>9</v>
      </c>
      <c r="I14" s="36" t="str">
        <f t="shared" si="3"/>
        <v/>
      </c>
      <c r="J14" s="35">
        <f t="shared" si="4"/>
        <v>-2</v>
      </c>
      <c r="K14" s="35">
        <f t="shared" si="1"/>
        <v>-20</v>
      </c>
      <c r="L14" s="35"/>
      <c r="M14" s="37">
        <f t="shared" si="2"/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41">
        <v>10</v>
      </c>
      <c r="I15" s="42" t="str">
        <f t="shared" si="3"/>
        <v/>
      </c>
      <c r="J15" s="41">
        <f t="shared" si="4"/>
        <v>-2</v>
      </c>
      <c r="K15" s="41">
        <f t="shared" si="1"/>
        <v>-20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0"/>
        <v>0</v>
      </c>
      <c r="B16" s="33" t="str">
        <f t="shared" ref="B16:B65" si="6">IF(H16&gt;$H$2,"",(ROW()-5))</f>
        <v/>
      </c>
      <c r="C16" s="34"/>
      <c r="D16" s="34"/>
      <c r="E16" s="34"/>
      <c r="F16" s="34"/>
      <c r="G16" s="27"/>
      <c r="H16" s="35">
        <v>11</v>
      </c>
      <c r="I16" s="36" t="str">
        <f t="shared" si="3"/>
        <v/>
      </c>
      <c r="J16" s="35">
        <f t="shared" si="4"/>
        <v>-2</v>
      </c>
      <c r="K16" s="35">
        <f t="shared" si="1"/>
        <v>-20</v>
      </c>
      <c r="L16" s="35"/>
      <c r="M16" s="37">
        <f t="shared" si="2"/>
        <v>0</v>
      </c>
      <c r="R16" s="51"/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0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3"/>
        <v/>
      </c>
      <c r="J17" s="41">
        <f t="shared" si="4"/>
        <v>-2</v>
      </c>
      <c r="K17" s="41">
        <f t="shared" si="1"/>
        <v>-20</v>
      </c>
      <c r="L17" s="41"/>
      <c r="M17" s="43">
        <f t="shared" si="2"/>
        <v>0</v>
      </c>
    </row>
    <row r="18" spans="1:19" x14ac:dyDescent="0.25">
      <c r="A18" s="49">
        <f t="shared" si="0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3"/>
        <v/>
      </c>
      <c r="J18" s="35">
        <f t="shared" si="4"/>
        <v>-2</v>
      </c>
      <c r="K18" s="35">
        <f t="shared" si="1"/>
        <v>-20</v>
      </c>
      <c r="L18" s="35"/>
      <c r="M18" s="37">
        <f t="shared" si="2"/>
        <v>0</v>
      </c>
    </row>
    <row r="19" spans="1:19" x14ac:dyDescent="0.25">
      <c r="A19" s="48">
        <f t="shared" si="0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3"/>
        <v/>
      </c>
      <c r="J19" s="41">
        <f t="shared" si="4"/>
        <v>-2</v>
      </c>
      <c r="K19" s="41">
        <f t="shared" si="1"/>
        <v>-20</v>
      </c>
      <c r="L19" s="41"/>
      <c r="M19" s="43">
        <f t="shared" si="2"/>
        <v>0</v>
      </c>
    </row>
    <row r="20" spans="1:19" x14ac:dyDescent="0.25">
      <c r="A20" s="49">
        <f t="shared" si="0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3"/>
        <v/>
      </c>
      <c r="J20" s="35">
        <f t="shared" si="4"/>
        <v>-2</v>
      </c>
      <c r="K20" s="35">
        <f t="shared" si="1"/>
        <v>-20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0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3"/>
        <v/>
      </c>
      <c r="J21" s="41">
        <f t="shared" si="4"/>
        <v>-2</v>
      </c>
      <c r="K21" s="41">
        <f t="shared" si="1"/>
        <v>-20</v>
      </c>
      <c r="L21" s="41"/>
      <c r="M21" s="43">
        <f t="shared" si="2"/>
        <v>0</v>
      </c>
    </row>
    <row r="22" spans="1:19" x14ac:dyDescent="0.25">
      <c r="A22" s="49">
        <f t="shared" si="0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3"/>
        <v/>
      </c>
      <c r="J22" s="35">
        <f t="shared" si="4"/>
        <v>-3</v>
      </c>
      <c r="K22" s="35">
        <f t="shared" si="1"/>
        <v>-30</v>
      </c>
      <c r="L22" s="35"/>
      <c r="M22" s="37">
        <f t="shared" si="2"/>
        <v>0</v>
      </c>
    </row>
    <row r="23" spans="1:19" x14ac:dyDescent="0.25">
      <c r="A23" s="48">
        <f t="shared" si="0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3"/>
        <v/>
      </c>
      <c r="J23" s="41">
        <f t="shared" si="4"/>
        <v>-3</v>
      </c>
      <c r="K23" s="41">
        <f t="shared" si="1"/>
        <v>-30</v>
      </c>
      <c r="L23" s="41"/>
      <c r="M23" s="43">
        <f t="shared" si="2"/>
        <v>0</v>
      </c>
    </row>
    <row r="24" spans="1:19" x14ac:dyDescent="0.25">
      <c r="A24" s="49">
        <f t="shared" si="0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3"/>
        <v/>
      </c>
      <c r="J24" s="35">
        <f t="shared" si="4"/>
        <v>-3</v>
      </c>
      <c r="K24" s="35">
        <f t="shared" si="1"/>
        <v>-30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0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3"/>
        <v/>
      </c>
      <c r="J25" s="41">
        <f t="shared" si="4"/>
        <v>-3</v>
      </c>
      <c r="K25" s="41">
        <f t="shared" si="1"/>
        <v>-30</v>
      </c>
      <c r="L25" s="41"/>
      <c r="M25" s="43">
        <f t="shared" si="2"/>
        <v>0</v>
      </c>
    </row>
    <row r="26" spans="1:19" x14ac:dyDescent="0.25">
      <c r="A26" s="49">
        <f t="shared" si="0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3"/>
        <v/>
      </c>
      <c r="J26" s="35">
        <f t="shared" si="4"/>
        <v>-3</v>
      </c>
      <c r="K26" s="35">
        <f t="shared" si="1"/>
        <v>-30</v>
      </c>
      <c r="L26" s="35"/>
      <c r="M26" s="37">
        <f t="shared" si="2"/>
        <v>0</v>
      </c>
    </row>
    <row r="27" spans="1:19" x14ac:dyDescent="0.25">
      <c r="A27" s="48">
        <f t="shared" si="0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3"/>
        <v/>
      </c>
      <c r="J27" s="41">
        <f t="shared" si="4"/>
        <v>-3</v>
      </c>
      <c r="K27" s="41">
        <f t="shared" si="1"/>
        <v>-30</v>
      </c>
      <c r="L27" s="41"/>
      <c r="M27" s="43">
        <f t="shared" si="2"/>
        <v>0</v>
      </c>
    </row>
    <row r="28" spans="1:19" x14ac:dyDescent="0.25">
      <c r="A28" s="49">
        <f t="shared" si="0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3"/>
        <v/>
      </c>
      <c r="J28" s="35">
        <f t="shared" si="4"/>
        <v>-3</v>
      </c>
      <c r="K28" s="35">
        <f t="shared" si="1"/>
        <v>-30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0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3"/>
        <v/>
      </c>
      <c r="J29" s="41">
        <f t="shared" si="4"/>
        <v>-3</v>
      </c>
      <c r="K29" s="41">
        <f t="shared" si="1"/>
        <v>-30</v>
      </c>
      <c r="L29" s="41"/>
      <c r="M29" s="43">
        <f t="shared" si="2"/>
        <v>0</v>
      </c>
    </row>
    <row r="30" spans="1:19" x14ac:dyDescent="0.25">
      <c r="A30" s="49">
        <f t="shared" si="0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3"/>
        <v/>
      </c>
      <c r="J30" s="35">
        <f t="shared" si="4"/>
        <v>-3</v>
      </c>
      <c r="K30" s="35">
        <f t="shared" si="1"/>
        <v>-30</v>
      </c>
      <c r="L30" s="35"/>
      <c r="M30" s="37">
        <f t="shared" si="2"/>
        <v>0</v>
      </c>
    </row>
    <row r="31" spans="1:19" x14ac:dyDescent="0.25">
      <c r="A31" s="48">
        <f t="shared" si="0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3"/>
        <v/>
      </c>
      <c r="J31" s="41">
        <f t="shared" si="4"/>
        <v>-3</v>
      </c>
      <c r="K31" s="41">
        <f t="shared" si="1"/>
        <v>-30</v>
      </c>
      <c r="L31" s="41"/>
      <c r="M31" s="43">
        <f t="shared" si="2"/>
        <v>0</v>
      </c>
    </row>
    <row r="32" spans="1:19" x14ac:dyDescent="0.25">
      <c r="A32" s="49">
        <f t="shared" si="0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3"/>
        <v/>
      </c>
      <c r="J32" s="35">
        <f t="shared" si="4"/>
        <v>-3</v>
      </c>
      <c r="K32" s="35">
        <f t="shared" si="1"/>
        <v>-30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0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3"/>
        <v/>
      </c>
      <c r="J33" s="41">
        <f t="shared" si="4"/>
        <v>-3</v>
      </c>
      <c r="K33" s="41">
        <f t="shared" si="1"/>
        <v>-30</v>
      </c>
      <c r="L33" s="41"/>
      <c r="M33" s="43">
        <f t="shared" si="2"/>
        <v>0</v>
      </c>
    </row>
    <row r="34" spans="1:21" x14ac:dyDescent="0.25">
      <c r="A34" s="49">
        <f t="shared" si="0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3"/>
        <v/>
      </c>
      <c r="J34" s="35">
        <f t="shared" si="4"/>
        <v>-3</v>
      </c>
      <c r="K34" s="35">
        <f t="shared" si="1"/>
        <v>-30</v>
      </c>
      <c r="L34" s="35"/>
      <c r="M34" s="37">
        <f t="shared" si="2"/>
        <v>0</v>
      </c>
    </row>
    <row r="35" spans="1:21" x14ac:dyDescent="0.25">
      <c r="A35" s="48">
        <f t="shared" si="0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3"/>
        <v/>
      </c>
      <c r="J35" s="41">
        <f t="shared" si="4"/>
        <v>-3</v>
      </c>
      <c r="K35" s="41">
        <f t="shared" si="1"/>
        <v>-30</v>
      </c>
      <c r="L35" s="41"/>
      <c r="M35" s="43">
        <f t="shared" si="2"/>
        <v>0</v>
      </c>
    </row>
    <row r="36" spans="1:21" x14ac:dyDescent="0.25">
      <c r="A36" s="49">
        <f t="shared" si="0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3"/>
        <v/>
      </c>
      <c r="J36" s="35">
        <f t="shared" si="4"/>
        <v>-3</v>
      </c>
      <c r="K36" s="35">
        <f t="shared" si="1"/>
        <v>-30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0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3"/>
        <v/>
      </c>
      <c r="J37" s="41">
        <f t="shared" si="4"/>
        <v>-3</v>
      </c>
      <c r="K37" s="41">
        <f t="shared" si="1"/>
        <v>-30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3"/>
        <v/>
      </c>
      <c r="J38" s="35">
        <f t="shared" si="4"/>
        <v>-4</v>
      </c>
      <c r="K38" s="35">
        <f t="shared" si="1"/>
        <v>-40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3"/>
        <v/>
      </c>
      <c r="J39" s="41">
        <f t="shared" si="4"/>
        <v>-4</v>
      </c>
      <c r="K39" s="41">
        <f t="shared" si="1"/>
        <v>-40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3"/>
        <v/>
      </c>
      <c r="J40" s="35">
        <f t="shared" si="4"/>
        <v>-4</v>
      </c>
      <c r="K40" s="35">
        <f t="shared" si="1"/>
        <v>-40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3"/>
        <v/>
      </c>
      <c r="J41" s="41">
        <f t="shared" si="4"/>
        <v>-4</v>
      </c>
      <c r="K41" s="41">
        <f t="shared" si="1"/>
        <v>-40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3"/>
        <v/>
      </c>
      <c r="J42" s="35">
        <f t="shared" si="4"/>
        <v>-4</v>
      </c>
      <c r="K42" s="35">
        <f t="shared" si="1"/>
        <v>-40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3"/>
        <v/>
      </c>
      <c r="J43" s="41">
        <f t="shared" si="4"/>
        <v>-4</v>
      </c>
      <c r="K43" s="41">
        <f t="shared" si="1"/>
        <v>-40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3"/>
        <v/>
      </c>
      <c r="J44" s="35">
        <f t="shared" si="4"/>
        <v>-4</v>
      </c>
      <c r="K44" s="35">
        <f t="shared" si="1"/>
        <v>-40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3"/>
        <v/>
      </c>
      <c r="J45" s="41">
        <f t="shared" si="4"/>
        <v>-4</v>
      </c>
      <c r="K45" s="41">
        <f t="shared" si="1"/>
        <v>-40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3"/>
        <v/>
      </c>
      <c r="J46" s="35">
        <f t="shared" si="4"/>
        <v>-4</v>
      </c>
      <c r="K46" s="35">
        <f t="shared" si="1"/>
        <v>-40</v>
      </c>
      <c r="L46" s="35"/>
      <c r="M46" s="37">
        <f t="shared" si="2"/>
        <v>0</v>
      </c>
      <c r="R46" s="13">
        <f>LOG($H$2,2)</f>
        <v>2</v>
      </c>
      <c r="T46" s="18">
        <f>LOG(H38,2)</f>
        <v>5.0443941193584534</v>
      </c>
      <c r="U46" s="18">
        <f>R46-T46</f>
        <v>-3.0443941193584534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3"/>
        <v/>
      </c>
      <c r="J47" s="41">
        <f t="shared" si="4"/>
        <v>-4</v>
      </c>
      <c r="K47" s="41">
        <f t="shared" si="1"/>
        <v>-40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3"/>
        <v/>
      </c>
      <c r="J48" s="35">
        <f t="shared" si="4"/>
        <v>-4</v>
      </c>
      <c r="K48" s="35">
        <f t="shared" si="1"/>
        <v>-40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3"/>
        <v/>
      </c>
      <c r="J49" s="41">
        <f t="shared" si="4"/>
        <v>-4</v>
      </c>
      <c r="K49" s="41">
        <f t="shared" si="1"/>
        <v>-40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3"/>
        <v/>
      </c>
      <c r="J50" s="35">
        <f t="shared" si="4"/>
        <v>-4</v>
      </c>
      <c r="K50" s="35">
        <f t="shared" si="1"/>
        <v>-40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3"/>
        <v/>
      </c>
      <c r="J51" s="41">
        <f t="shared" si="4"/>
        <v>-4</v>
      </c>
      <c r="K51" s="41">
        <f t="shared" si="1"/>
        <v>-40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3"/>
        <v/>
      </c>
      <c r="J52" s="35">
        <f t="shared" si="4"/>
        <v>-4</v>
      </c>
      <c r="K52" s="35">
        <f t="shared" si="1"/>
        <v>-40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3"/>
        <v/>
      </c>
      <c r="J53" s="41">
        <f t="shared" si="4"/>
        <v>-4</v>
      </c>
      <c r="K53" s="41">
        <f t="shared" si="1"/>
        <v>-40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3"/>
        <v/>
      </c>
      <c r="J54" s="35">
        <f t="shared" si="4"/>
        <v>-4</v>
      </c>
      <c r="K54" s="35">
        <f t="shared" si="1"/>
        <v>-40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3"/>
        <v/>
      </c>
      <c r="J55" s="41">
        <f t="shared" si="4"/>
        <v>-4</v>
      </c>
      <c r="K55" s="41">
        <f t="shared" si="1"/>
        <v>-40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3"/>
        <v/>
      </c>
      <c r="J56" s="35">
        <f t="shared" si="4"/>
        <v>-4</v>
      </c>
      <c r="K56" s="35">
        <f t="shared" si="1"/>
        <v>-40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3"/>
        <v/>
      </c>
      <c r="J57" s="41">
        <f t="shared" si="4"/>
        <v>-4</v>
      </c>
      <c r="K57" s="41">
        <f t="shared" si="1"/>
        <v>-40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3"/>
        <v/>
      </c>
      <c r="J58" s="35">
        <f t="shared" si="4"/>
        <v>-4</v>
      </c>
      <c r="K58" s="35">
        <f t="shared" si="1"/>
        <v>-40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3"/>
        <v/>
      </c>
      <c r="J59" s="41">
        <f t="shared" si="4"/>
        <v>-4</v>
      </c>
      <c r="K59" s="41">
        <f t="shared" si="1"/>
        <v>-40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3"/>
        <v/>
      </c>
      <c r="J60" s="35">
        <f t="shared" si="4"/>
        <v>-4</v>
      </c>
      <c r="K60" s="35">
        <f t="shared" si="1"/>
        <v>-40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3"/>
        <v/>
      </c>
      <c r="J61" s="41">
        <f t="shared" si="4"/>
        <v>-4</v>
      </c>
      <c r="K61" s="41">
        <f t="shared" si="1"/>
        <v>-40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3"/>
        <v/>
      </c>
      <c r="J62" s="35">
        <f t="shared" si="4"/>
        <v>-4</v>
      </c>
      <c r="K62" s="35">
        <f t="shared" si="1"/>
        <v>-40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3"/>
        <v/>
      </c>
      <c r="J63" s="41">
        <f t="shared" si="4"/>
        <v>-4</v>
      </c>
      <c r="K63" s="41">
        <f t="shared" si="1"/>
        <v>-40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3"/>
        <v/>
      </c>
      <c r="J64" s="35">
        <f t="shared" si="4"/>
        <v>-4</v>
      </c>
      <c r="K64" s="35">
        <f t="shared" si="1"/>
        <v>-40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3"/>
        <v/>
      </c>
      <c r="J65" s="41">
        <f t="shared" si="4"/>
        <v>-4</v>
      </c>
      <c r="K65" s="41">
        <f t="shared" si="1"/>
        <v>-40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3"/>
        <v/>
      </c>
      <c r="J66" s="35">
        <f t="shared" si="4"/>
        <v>-4</v>
      </c>
      <c r="K66" s="35">
        <f t="shared" si="1"/>
        <v>-40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3"/>
        <v/>
      </c>
      <c r="J67" s="35">
        <f t="shared" si="4"/>
        <v>-4</v>
      </c>
      <c r="K67" s="35">
        <f t="shared" si="1"/>
        <v>-40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3"/>
        <v/>
      </c>
      <c r="J68" s="35">
        <f t="shared" si="4"/>
        <v>-4</v>
      </c>
      <c r="K68" s="35">
        <f t="shared" si="1"/>
        <v>-40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3"/>
        <v/>
      </c>
      <c r="J69" s="35">
        <f t="shared" si="4"/>
        <v>-4</v>
      </c>
      <c r="K69" s="35">
        <f t="shared" si="1"/>
        <v>-40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4"/>
        <v>-5</v>
      </c>
      <c r="K70" s="35">
        <f t="shared" ref="K70:K133" si="8">J70*$J$2</f>
        <v>-50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-5</v>
      </c>
      <c r="K71" s="35">
        <f t="shared" si="8"/>
        <v>-50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-5</v>
      </c>
      <c r="K72" s="35">
        <f t="shared" si="8"/>
        <v>-50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-5</v>
      </c>
      <c r="K73" s="35">
        <f t="shared" si="8"/>
        <v>-50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-5</v>
      </c>
      <c r="K74" s="35">
        <f t="shared" si="8"/>
        <v>-50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-5</v>
      </c>
      <c r="K75" s="35">
        <f t="shared" si="8"/>
        <v>-50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-5</v>
      </c>
      <c r="K76" s="35">
        <f t="shared" si="8"/>
        <v>-50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-5</v>
      </c>
      <c r="K77" s="35">
        <f t="shared" si="8"/>
        <v>-50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-5</v>
      </c>
      <c r="K78" s="35">
        <f t="shared" si="8"/>
        <v>-50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-5</v>
      </c>
      <c r="K79" s="35">
        <f t="shared" si="8"/>
        <v>-50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-5</v>
      </c>
      <c r="K80" s="35">
        <f t="shared" si="8"/>
        <v>-50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-5</v>
      </c>
      <c r="K81" s="35">
        <f t="shared" si="8"/>
        <v>-50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-5</v>
      </c>
      <c r="K82" s="35">
        <f t="shared" si="8"/>
        <v>-50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-5</v>
      </c>
      <c r="K83" s="35">
        <f t="shared" si="8"/>
        <v>-50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-5</v>
      </c>
      <c r="K84" s="35">
        <f t="shared" si="8"/>
        <v>-50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-5</v>
      </c>
      <c r="K85" s="35">
        <f t="shared" si="8"/>
        <v>-50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-5</v>
      </c>
      <c r="K86" s="35">
        <f t="shared" si="8"/>
        <v>-50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-5</v>
      </c>
      <c r="K87" s="35">
        <f t="shared" si="8"/>
        <v>-50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-5</v>
      </c>
      <c r="K88" s="35">
        <f t="shared" si="8"/>
        <v>-50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-5</v>
      </c>
      <c r="K89" s="35">
        <f t="shared" si="8"/>
        <v>-50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-5</v>
      </c>
      <c r="K90" s="35">
        <f t="shared" si="8"/>
        <v>-50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-5</v>
      </c>
      <c r="K91" s="35">
        <f t="shared" si="8"/>
        <v>-50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-5</v>
      </c>
      <c r="K92" s="35">
        <f t="shared" si="8"/>
        <v>-50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-5</v>
      </c>
      <c r="K93" s="35">
        <f t="shared" si="8"/>
        <v>-50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-5</v>
      </c>
      <c r="K94" s="35">
        <f t="shared" si="8"/>
        <v>-50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-5</v>
      </c>
      <c r="K95" s="35">
        <f t="shared" si="8"/>
        <v>-50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-5</v>
      </c>
      <c r="K96" s="35">
        <f t="shared" si="8"/>
        <v>-50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-5</v>
      </c>
      <c r="K97" s="35">
        <f t="shared" si="8"/>
        <v>-50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-5</v>
      </c>
      <c r="K98" s="35">
        <f t="shared" si="8"/>
        <v>-50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-5</v>
      </c>
      <c r="K99" s="35">
        <f t="shared" si="8"/>
        <v>-50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-5</v>
      </c>
      <c r="K100" s="35">
        <f t="shared" si="8"/>
        <v>-50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-5</v>
      </c>
      <c r="K101" s="35">
        <f t="shared" si="8"/>
        <v>-50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-5</v>
      </c>
      <c r="K102" s="35">
        <f t="shared" si="8"/>
        <v>-50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-5</v>
      </c>
      <c r="K103" s="35">
        <f t="shared" si="8"/>
        <v>-50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-5</v>
      </c>
      <c r="K104" s="35">
        <f t="shared" si="8"/>
        <v>-50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-5</v>
      </c>
      <c r="K105" s="35">
        <f t="shared" si="8"/>
        <v>-50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-5</v>
      </c>
      <c r="K106" s="35">
        <f t="shared" si="8"/>
        <v>-50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-5</v>
      </c>
      <c r="K107" s="35">
        <f t="shared" si="8"/>
        <v>-50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-5</v>
      </c>
      <c r="K108" s="35">
        <f t="shared" si="8"/>
        <v>-50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-5</v>
      </c>
      <c r="K109" s="35">
        <f t="shared" si="8"/>
        <v>-50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-5</v>
      </c>
      <c r="K110" s="35">
        <f t="shared" si="8"/>
        <v>-50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-5</v>
      </c>
      <c r="K111" s="35">
        <f t="shared" si="8"/>
        <v>-50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-5</v>
      </c>
      <c r="K112" s="35">
        <f t="shared" si="8"/>
        <v>-50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-5</v>
      </c>
      <c r="K113" s="35">
        <f t="shared" si="8"/>
        <v>-50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-5</v>
      </c>
      <c r="K114" s="35">
        <f t="shared" si="8"/>
        <v>-50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-5</v>
      </c>
      <c r="K115" s="35">
        <f t="shared" si="8"/>
        <v>-50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-5</v>
      </c>
      <c r="K116" s="35">
        <f t="shared" si="8"/>
        <v>-50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-5</v>
      </c>
      <c r="K117" s="35">
        <f t="shared" si="8"/>
        <v>-50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-5</v>
      </c>
      <c r="K118" s="35">
        <f t="shared" si="8"/>
        <v>-50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-5</v>
      </c>
      <c r="K119" s="35">
        <f t="shared" si="8"/>
        <v>-50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-5</v>
      </c>
      <c r="K120" s="35">
        <f t="shared" si="8"/>
        <v>-50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-5</v>
      </c>
      <c r="K121" s="35">
        <f t="shared" si="8"/>
        <v>-50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-5</v>
      </c>
      <c r="K122" s="35">
        <f t="shared" si="8"/>
        <v>-50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-5</v>
      </c>
      <c r="K123" s="35">
        <f t="shared" si="8"/>
        <v>-50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-5</v>
      </c>
      <c r="K124" s="35">
        <f t="shared" si="8"/>
        <v>-50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-5</v>
      </c>
      <c r="K125" s="35">
        <f t="shared" si="8"/>
        <v>-50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-5</v>
      </c>
      <c r="K126" s="35">
        <f t="shared" si="8"/>
        <v>-50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-5</v>
      </c>
      <c r="K127" s="35">
        <f t="shared" si="8"/>
        <v>-50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-5</v>
      </c>
      <c r="K128" s="35">
        <f t="shared" si="8"/>
        <v>-50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-5</v>
      </c>
      <c r="K129" s="35">
        <f t="shared" si="8"/>
        <v>-50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-5</v>
      </c>
      <c r="K130" s="35">
        <f t="shared" si="8"/>
        <v>-50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-5</v>
      </c>
      <c r="K131" s="35">
        <f t="shared" si="8"/>
        <v>-50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-5</v>
      </c>
      <c r="K132" s="35">
        <f t="shared" si="8"/>
        <v>-50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-5</v>
      </c>
      <c r="K133" s="35">
        <f t="shared" si="8"/>
        <v>-50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-6</v>
      </c>
      <c r="K134" s="35">
        <f t="shared" ref="K134:K197" si="12">J134*$J$2</f>
        <v>-60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-6</v>
      </c>
      <c r="K135" s="35">
        <f t="shared" si="12"/>
        <v>-60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-6</v>
      </c>
      <c r="K136" s="35">
        <f t="shared" si="12"/>
        <v>-60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-6</v>
      </c>
      <c r="K137" s="35">
        <f t="shared" si="12"/>
        <v>-60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-6</v>
      </c>
      <c r="K138" s="35">
        <f t="shared" si="12"/>
        <v>-60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-6</v>
      </c>
      <c r="K139" s="35">
        <f t="shared" si="12"/>
        <v>-60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-6</v>
      </c>
      <c r="K140" s="35">
        <f t="shared" si="12"/>
        <v>-60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-6</v>
      </c>
      <c r="K141" s="35">
        <f t="shared" si="12"/>
        <v>-60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-6</v>
      </c>
      <c r="K142" s="35">
        <f t="shared" si="12"/>
        <v>-60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-6</v>
      </c>
      <c r="K143" s="35">
        <f t="shared" si="12"/>
        <v>-60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-6</v>
      </c>
      <c r="K144" s="35">
        <f t="shared" si="12"/>
        <v>-60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-6</v>
      </c>
      <c r="K145" s="35">
        <f t="shared" si="12"/>
        <v>-60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-6</v>
      </c>
      <c r="K146" s="35">
        <f t="shared" si="12"/>
        <v>-60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-6</v>
      </c>
      <c r="K147" s="35">
        <f t="shared" si="12"/>
        <v>-60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-6</v>
      </c>
      <c r="K148" s="35">
        <f t="shared" si="12"/>
        <v>-60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-6</v>
      </c>
      <c r="K149" s="35">
        <f t="shared" si="12"/>
        <v>-60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-6</v>
      </c>
      <c r="K150" s="35">
        <f t="shared" si="12"/>
        <v>-60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-6</v>
      </c>
      <c r="K151" s="35">
        <f t="shared" si="12"/>
        <v>-60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-6</v>
      </c>
      <c r="K152" s="35">
        <f t="shared" si="12"/>
        <v>-60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-6</v>
      </c>
      <c r="K153" s="35">
        <f t="shared" si="12"/>
        <v>-60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-6</v>
      </c>
      <c r="K154" s="35">
        <f t="shared" si="12"/>
        <v>-60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-6</v>
      </c>
      <c r="K155" s="35">
        <f t="shared" si="12"/>
        <v>-60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-6</v>
      </c>
      <c r="K156" s="35">
        <f t="shared" si="12"/>
        <v>-60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-6</v>
      </c>
      <c r="K157" s="35">
        <f t="shared" si="12"/>
        <v>-60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-6</v>
      </c>
      <c r="K158" s="35">
        <f t="shared" si="12"/>
        <v>-60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-6</v>
      </c>
      <c r="K159" s="35">
        <f t="shared" si="12"/>
        <v>-60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-6</v>
      </c>
      <c r="K160" s="35">
        <f t="shared" si="12"/>
        <v>-60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-6</v>
      </c>
      <c r="K161" s="35">
        <f t="shared" si="12"/>
        <v>-60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-6</v>
      </c>
      <c r="K162" s="35">
        <f t="shared" si="12"/>
        <v>-60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-6</v>
      </c>
      <c r="K163" s="35">
        <f t="shared" si="12"/>
        <v>-60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-6</v>
      </c>
      <c r="K164" s="35">
        <f t="shared" si="12"/>
        <v>-60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-6</v>
      </c>
      <c r="K165" s="35">
        <f t="shared" si="12"/>
        <v>-60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-6</v>
      </c>
      <c r="K166" s="35">
        <f t="shared" si="12"/>
        <v>-60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-6</v>
      </c>
      <c r="K167" s="35">
        <f t="shared" si="12"/>
        <v>-60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-6</v>
      </c>
      <c r="K168" s="35">
        <f t="shared" si="12"/>
        <v>-60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-6</v>
      </c>
      <c r="K169" s="35">
        <f t="shared" si="12"/>
        <v>-60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-6</v>
      </c>
      <c r="K170" s="35">
        <f t="shared" si="12"/>
        <v>-60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-6</v>
      </c>
      <c r="K171" s="35">
        <f t="shared" si="12"/>
        <v>-60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-6</v>
      </c>
      <c r="K172" s="35">
        <f t="shared" si="12"/>
        <v>-60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-6</v>
      </c>
      <c r="K173" s="35">
        <f t="shared" si="12"/>
        <v>-60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-6</v>
      </c>
      <c r="K174" s="35">
        <f t="shared" si="12"/>
        <v>-60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-6</v>
      </c>
      <c r="K175" s="35">
        <f t="shared" si="12"/>
        <v>-60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-6</v>
      </c>
      <c r="K176" s="35">
        <f t="shared" si="12"/>
        <v>-60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-6</v>
      </c>
      <c r="K177" s="35">
        <f t="shared" si="12"/>
        <v>-60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-6</v>
      </c>
      <c r="K178" s="35">
        <f t="shared" si="12"/>
        <v>-60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-6</v>
      </c>
      <c r="K179" s="35">
        <f t="shared" si="12"/>
        <v>-60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-6</v>
      </c>
      <c r="K180" s="35">
        <f t="shared" si="12"/>
        <v>-60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-6</v>
      </c>
      <c r="K181" s="35">
        <f t="shared" si="12"/>
        <v>-60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-6</v>
      </c>
      <c r="K182" s="35">
        <f t="shared" si="12"/>
        <v>-60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-6</v>
      </c>
      <c r="K183" s="35">
        <f t="shared" si="12"/>
        <v>-60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-6</v>
      </c>
      <c r="K184" s="35">
        <f t="shared" si="12"/>
        <v>-60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-6</v>
      </c>
      <c r="K185" s="35">
        <f t="shared" si="12"/>
        <v>-60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-6</v>
      </c>
      <c r="K186" s="35">
        <f t="shared" si="12"/>
        <v>-60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-6</v>
      </c>
      <c r="K187" s="35">
        <f t="shared" si="12"/>
        <v>-60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-6</v>
      </c>
      <c r="K188" s="35">
        <f t="shared" si="12"/>
        <v>-60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-6</v>
      </c>
      <c r="K189" s="35">
        <f t="shared" si="12"/>
        <v>-60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-6</v>
      </c>
      <c r="K190" s="35">
        <f t="shared" si="12"/>
        <v>-60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-6</v>
      </c>
      <c r="K191" s="35">
        <f t="shared" si="12"/>
        <v>-60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-6</v>
      </c>
      <c r="K192" s="35">
        <f t="shared" si="12"/>
        <v>-60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-6</v>
      </c>
      <c r="K193" s="35">
        <f t="shared" si="12"/>
        <v>-60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-6</v>
      </c>
      <c r="K194" s="35">
        <f t="shared" si="12"/>
        <v>-60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-6</v>
      </c>
      <c r="K195" s="35">
        <f t="shared" si="12"/>
        <v>-60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-6</v>
      </c>
      <c r="K196" s="35">
        <f t="shared" si="12"/>
        <v>-60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-6</v>
      </c>
      <c r="K197" s="35">
        <f t="shared" si="12"/>
        <v>-60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-6</v>
      </c>
      <c r="K198" s="35">
        <f t="shared" ref="K198:K261" si="16">J198*$J$2</f>
        <v>-60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-6</v>
      </c>
      <c r="K199" s="35">
        <f t="shared" si="16"/>
        <v>-60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-6</v>
      </c>
      <c r="K200" s="35">
        <f t="shared" si="16"/>
        <v>-60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-6</v>
      </c>
      <c r="K201" s="35">
        <f t="shared" si="16"/>
        <v>-60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-6</v>
      </c>
      <c r="K202" s="35">
        <f t="shared" si="16"/>
        <v>-60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-6</v>
      </c>
      <c r="K203" s="35">
        <f t="shared" si="16"/>
        <v>-60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-6</v>
      </c>
      <c r="K204" s="35">
        <f t="shared" si="16"/>
        <v>-60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-6</v>
      </c>
      <c r="K205" s="35">
        <f t="shared" si="16"/>
        <v>-60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-6</v>
      </c>
      <c r="K206" s="35">
        <f t="shared" si="16"/>
        <v>-60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-6</v>
      </c>
      <c r="K207" s="35">
        <f t="shared" si="16"/>
        <v>-60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-6</v>
      </c>
      <c r="K208" s="35">
        <f t="shared" si="16"/>
        <v>-60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-6</v>
      </c>
      <c r="K209" s="35">
        <f t="shared" si="16"/>
        <v>-60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-6</v>
      </c>
      <c r="K210" s="35">
        <f t="shared" si="16"/>
        <v>-60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-6</v>
      </c>
      <c r="K211" s="35">
        <f t="shared" si="16"/>
        <v>-60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-6</v>
      </c>
      <c r="K212" s="35">
        <f t="shared" si="16"/>
        <v>-60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-6</v>
      </c>
      <c r="K213" s="35">
        <f t="shared" si="16"/>
        <v>-60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-6</v>
      </c>
      <c r="K214" s="35">
        <f t="shared" si="16"/>
        <v>-60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-6</v>
      </c>
      <c r="K215" s="35">
        <f t="shared" si="16"/>
        <v>-60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-6</v>
      </c>
      <c r="K216" s="35">
        <f t="shared" si="16"/>
        <v>-60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-6</v>
      </c>
      <c r="K217" s="35">
        <f t="shared" si="16"/>
        <v>-60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-6</v>
      </c>
      <c r="K218" s="35">
        <f t="shared" si="16"/>
        <v>-60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-6</v>
      </c>
      <c r="K219" s="35">
        <f t="shared" si="16"/>
        <v>-60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-6</v>
      </c>
      <c r="K220" s="35">
        <f t="shared" si="16"/>
        <v>-60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-6</v>
      </c>
      <c r="K221" s="35">
        <f t="shared" si="16"/>
        <v>-60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-6</v>
      </c>
      <c r="K222" s="35">
        <f t="shared" si="16"/>
        <v>-60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-6</v>
      </c>
      <c r="K223" s="35">
        <f t="shared" si="16"/>
        <v>-60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-6</v>
      </c>
      <c r="K224" s="35">
        <f t="shared" si="16"/>
        <v>-60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-6</v>
      </c>
      <c r="K225" s="35">
        <f t="shared" si="16"/>
        <v>-60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-6</v>
      </c>
      <c r="K226" s="35">
        <f t="shared" si="16"/>
        <v>-60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-6</v>
      </c>
      <c r="K227" s="35">
        <f t="shared" si="16"/>
        <v>-60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-6</v>
      </c>
      <c r="K228" s="35">
        <f t="shared" si="16"/>
        <v>-60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-6</v>
      </c>
      <c r="K229" s="35">
        <f t="shared" si="16"/>
        <v>-60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-6</v>
      </c>
      <c r="K230" s="35">
        <f t="shared" si="16"/>
        <v>-60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-6</v>
      </c>
      <c r="K231" s="35">
        <f t="shared" si="16"/>
        <v>-60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-6</v>
      </c>
      <c r="K232" s="35">
        <f t="shared" si="16"/>
        <v>-60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-6</v>
      </c>
      <c r="K233" s="35">
        <f t="shared" si="16"/>
        <v>-60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-6</v>
      </c>
      <c r="K234" s="35">
        <f t="shared" si="16"/>
        <v>-60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-6</v>
      </c>
      <c r="K235" s="35">
        <f t="shared" si="16"/>
        <v>-60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-6</v>
      </c>
      <c r="K236" s="35">
        <f t="shared" si="16"/>
        <v>-60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-6</v>
      </c>
      <c r="K237" s="35">
        <f t="shared" si="16"/>
        <v>-60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-6</v>
      </c>
      <c r="K238" s="35">
        <f t="shared" si="16"/>
        <v>-60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-6</v>
      </c>
      <c r="K239" s="35">
        <f t="shared" si="16"/>
        <v>-60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-6</v>
      </c>
      <c r="K240" s="35">
        <f t="shared" si="16"/>
        <v>-60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-6</v>
      </c>
      <c r="K241" s="35">
        <f t="shared" si="16"/>
        <v>-60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-6</v>
      </c>
      <c r="K242" s="35">
        <f t="shared" si="16"/>
        <v>-60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-6</v>
      </c>
      <c r="K243" s="35">
        <f t="shared" si="16"/>
        <v>-60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-6</v>
      </c>
      <c r="K244" s="35">
        <f t="shared" si="16"/>
        <v>-60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-6</v>
      </c>
      <c r="K245" s="35">
        <f t="shared" si="16"/>
        <v>-60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-6</v>
      </c>
      <c r="K246" s="35">
        <f t="shared" si="16"/>
        <v>-60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-6</v>
      </c>
      <c r="K247" s="35">
        <f t="shared" si="16"/>
        <v>-60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-6</v>
      </c>
      <c r="K248" s="35">
        <f t="shared" si="16"/>
        <v>-60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-6</v>
      </c>
      <c r="K249" s="35">
        <f t="shared" si="16"/>
        <v>-60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-6</v>
      </c>
      <c r="K250" s="35">
        <f t="shared" si="16"/>
        <v>-60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-6</v>
      </c>
      <c r="K251" s="35">
        <f t="shared" si="16"/>
        <v>-60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-6</v>
      </c>
      <c r="K252" s="35">
        <f t="shared" si="16"/>
        <v>-60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-6</v>
      </c>
      <c r="K253" s="35">
        <f t="shared" si="16"/>
        <v>-60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-6</v>
      </c>
      <c r="K254" s="35">
        <f t="shared" si="16"/>
        <v>-60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-6</v>
      </c>
      <c r="K255" s="35">
        <f t="shared" si="16"/>
        <v>-60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-6</v>
      </c>
      <c r="K256" s="35">
        <f t="shared" si="16"/>
        <v>-60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-6</v>
      </c>
      <c r="K257" s="35">
        <f t="shared" si="16"/>
        <v>-60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-6</v>
      </c>
      <c r="K258" s="35">
        <f t="shared" si="16"/>
        <v>-60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-6</v>
      </c>
      <c r="K259" s="35">
        <f t="shared" si="16"/>
        <v>-60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-6</v>
      </c>
      <c r="K260" s="35">
        <f t="shared" si="16"/>
        <v>-60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-6</v>
      </c>
      <c r="K261" s="35">
        <f t="shared" si="16"/>
        <v>-60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-7</v>
      </c>
      <c r="K262" s="35">
        <f t="shared" ref="K262:K305" si="20">J262*$J$2</f>
        <v>-70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-7</v>
      </c>
      <c r="K263" s="35">
        <f t="shared" si="20"/>
        <v>-70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-7</v>
      </c>
      <c r="K264" s="35">
        <f t="shared" si="20"/>
        <v>-70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-7</v>
      </c>
      <c r="K265" s="35">
        <f t="shared" si="20"/>
        <v>-70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-7</v>
      </c>
      <c r="K266" s="35">
        <f t="shared" si="20"/>
        <v>-70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-7</v>
      </c>
      <c r="K267" s="35">
        <f t="shared" si="20"/>
        <v>-70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-7</v>
      </c>
      <c r="K268" s="35">
        <f t="shared" si="20"/>
        <v>-70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-7</v>
      </c>
      <c r="K269" s="35">
        <f t="shared" si="20"/>
        <v>-70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-7</v>
      </c>
      <c r="K270" s="35">
        <f t="shared" si="20"/>
        <v>-70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-7</v>
      </c>
      <c r="K271" s="35">
        <f t="shared" si="20"/>
        <v>-70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-7</v>
      </c>
      <c r="K272" s="35">
        <f t="shared" si="20"/>
        <v>-70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-7</v>
      </c>
      <c r="K273" s="35">
        <f t="shared" si="20"/>
        <v>-70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-7</v>
      </c>
      <c r="K274" s="35">
        <f t="shared" si="20"/>
        <v>-70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-7</v>
      </c>
      <c r="K275" s="35">
        <f t="shared" si="20"/>
        <v>-70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-7</v>
      </c>
      <c r="K276" s="35">
        <f t="shared" si="20"/>
        <v>-70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-7</v>
      </c>
      <c r="K277" s="35">
        <f t="shared" si="20"/>
        <v>-70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-7</v>
      </c>
      <c r="K278" s="35">
        <f t="shared" si="20"/>
        <v>-70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-7</v>
      </c>
      <c r="K279" s="35">
        <f t="shared" si="20"/>
        <v>-70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-7</v>
      </c>
      <c r="K280" s="35">
        <f t="shared" si="20"/>
        <v>-70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-7</v>
      </c>
      <c r="K281" s="35">
        <f t="shared" si="20"/>
        <v>-70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-7</v>
      </c>
      <c r="K282" s="35">
        <f t="shared" si="20"/>
        <v>-70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-7</v>
      </c>
      <c r="K283" s="35">
        <f t="shared" si="20"/>
        <v>-70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-7</v>
      </c>
      <c r="K284" s="35">
        <f t="shared" si="20"/>
        <v>-70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-7</v>
      </c>
      <c r="K285" s="35">
        <f t="shared" si="20"/>
        <v>-70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-7</v>
      </c>
      <c r="K286" s="35">
        <f t="shared" si="20"/>
        <v>-70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-7</v>
      </c>
      <c r="K287" s="35">
        <f t="shared" si="20"/>
        <v>-70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-7</v>
      </c>
      <c r="K288" s="35">
        <f t="shared" si="20"/>
        <v>-70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-7</v>
      </c>
      <c r="K289" s="35">
        <f t="shared" si="20"/>
        <v>-70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-7</v>
      </c>
      <c r="K290" s="35">
        <f t="shared" si="20"/>
        <v>-70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-7</v>
      </c>
      <c r="K291" s="35">
        <f t="shared" si="20"/>
        <v>-70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-7</v>
      </c>
      <c r="K292" s="35">
        <f t="shared" si="20"/>
        <v>-70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-7</v>
      </c>
      <c r="K293" s="35">
        <f t="shared" si="20"/>
        <v>-70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-7</v>
      </c>
      <c r="K294" s="35">
        <f t="shared" si="20"/>
        <v>-70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-7</v>
      </c>
      <c r="K295" s="35">
        <f t="shared" si="20"/>
        <v>-70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-7</v>
      </c>
      <c r="K296" s="35">
        <f t="shared" si="20"/>
        <v>-70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-7</v>
      </c>
      <c r="K297" s="35">
        <f t="shared" si="20"/>
        <v>-70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-7</v>
      </c>
      <c r="K298" s="35">
        <f t="shared" si="20"/>
        <v>-70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-7</v>
      </c>
      <c r="K299" s="35">
        <f t="shared" si="20"/>
        <v>-70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-7</v>
      </c>
      <c r="K300" s="35">
        <f t="shared" si="20"/>
        <v>-70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-7</v>
      </c>
      <c r="K301" s="35">
        <f t="shared" si="20"/>
        <v>-70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-7</v>
      </c>
      <c r="K302" s="35">
        <f t="shared" si="20"/>
        <v>-70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-7</v>
      </c>
      <c r="K303" s="35">
        <f t="shared" si="20"/>
        <v>-70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-7</v>
      </c>
      <c r="K304" s="35">
        <f t="shared" si="20"/>
        <v>-70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-7</v>
      </c>
      <c r="K305" s="35">
        <f t="shared" si="20"/>
        <v>-70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1F230CD2-FF83-418B-8019-F6BBB8225703}">
      <formula1>#REF!</formula1>
    </dataValidation>
  </dataValidations>
  <hyperlinks>
    <hyperlink ref="C2:D2" r:id="rId1" display="OPOLE" xr:uid="{F12BBCD3-34DD-4C55-9D34-6BEC4E61C49C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B6E3-AF55-43E1-A0FA-B05632D37D7C}">
  <sheetPr>
    <tabColor rgb="FF92D050"/>
  </sheetPr>
  <dimension ref="A1:AL318"/>
  <sheetViews>
    <sheetView workbookViewId="0">
      <selection activeCell="C7" sqref="C7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4" width="6.25" style="13" customWidth="1"/>
    <col min="15" max="15" width="1.875" style="13" bestFit="1" customWidth="1"/>
    <col min="16" max="16" width="27.25" style="63" bestFit="1" customWidth="1"/>
    <col min="17" max="17" width="7.375" style="17" customWidth="1"/>
    <col min="18" max="18" width="8.875" style="17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32</v>
      </c>
      <c r="L1" s="17"/>
      <c r="M1" s="17"/>
      <c r="N1" s="211" t="s">
        <v>76</v>
      </c>
      <c r="O1" s="211" t="s">
        <v>76</v>
      </c>
      <c r="P1" s="212" t="s">
        <v>76</v>
      </c>
      <c r="Q1" s="213" t="s">
        <v>76</v>
      </c>
      <c r="R1" s="213" t="s">
        <v>76</v>
      </c>
    </row>
    <row r="2" spans="1:36" ht="14.3" customHeight="1" x14ac:dyDescent="0.25">
      <c r="A2" s="13"/>
      <c r="B2" s="19" t="s">
        <v>33</v>
      </c>
      <c r="C2" s="283" t="s">
        <v>77</v>
      </c>
      <c r="D2" s="283"/>
      <c r="E2" s="20"/>
      <c r="F2" s="20"/>
      <c r="G2" s="20"/>
      <c r="H2" s="21">
        <v>2</v>
      </c>
      <c r="I2" s="22">
        <v>50</v>
      </c>
      <c r="J2" s="22">
        <v>10</v>
      </c>
      <c r="K2" s="23">
        <f>3*H2^(1/3)</f>
        <v>3.7797631496846193</v>
      </c>
      <c r="L2" s="17"/>
      <c r="M2" s="17"/>
      <c r="N2" s="211" t="s">
        <v>76</v>
      </c>
      <c r="O2" s="211" t="s">
        <v>76</v>
      </c>
      <c r="P2" s="212" t="s">
        <v>76</v>
      </c>
      <c r="Q2" s="213" t="s">
        <v>76</v>
      </c>
      <c r="R2" s="213" t="s">
        <v>76</v>
      </c>
    </row>
    <row r="3" spans="1:36" ht="14.3" customHeight="1" x14ac:dyDescent="0.25">
      <c r="A3" s="13"/>
      <c r="B3" s="24" t="s">
        <v>35</v>
      </c>
      <c r="C3" s="284" t="s">
        <v>78</v>
      </c>
      <c r="D3" s="284"/>
      <c r="E3" s="25"/>
      <c r="F3" s="25"/>
      <c r="G3" s="25"/>
      <c r="H3" s="17"/>
      <c r="I3" s="17"/>
      <c r="J3" s="26"/>
      <c r="K3" s="17"/>
      <c r="L3" s="17"/>
      <c r="M3" s="17"/>
      <c r="N3" s="211" t="s">
        <v>76</v>
      </c>
      <c r="O3" s="211" t="s">
        <v>76</v>
      </c>
      <c r="P3" s="212" t="s">
        <v>76</v>
      </c>
      <c r="Q3" s="213" t="s">
        <v>76</v>
      </c>
      <c r="R3" s="213" t="s">
        <v>76</v>
      </c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211" t="s">
        <v>76</v>
      </c>
      <c r="O4" s="211" t="s">
        <v>76</v>
      </c>
      <c r="P4" s="212" t="s">
        <v>76</v>
      </c>
      <c r="Q4" s="213" t="s">
        <v>76</v>
      </c>
      <c r="R4" s="213" t="s">
        <v>76</v>
      </c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  <c r="N5" s="211" t="s">
        <v>76</v>
      </c>
      <c r="O5" s="211" t="s">
        <v>76</v>
      </c>
      <c r="P5" s="285" t="s">
        <v>79</v>
      </c>
      <c r="Q5" s="285"/>
      <c r="R5" s="285"/>
    </row>
    <row r="6" spans="1:36" ht="14.45" customHeight="1" x14ac:dyDescent="0.25">
      <c r="A6" s="32">
        <f>M6</f>
        <v>101.33928944905387</v>
      </c>
      <c r="B6" s="33">
        <f>IF(H6&gt;$H$2,"",(ROW()-5))</f>
        <v>1</v>
      </c>
      <c r="C6" s="34" t="s">
        <v>20</v>
      </c>
      <c r="D6" s="34" t="s">
        <v>80</v>
      </c>
      <c r="E6" s="34"/>
      <c r="F6" s="34" t="s">
        <v>69</v>
      </c>
      <c r="G6" s="27"/>
      <c r="H6" s="35">
        <v>1</v>
      </c>
      <c r="I6" s="36">
        <f>IF(H2=1,50,IF(H6&lt;$H$2+1,($I$2-($I$2-1)*(LOG(H6)/LOG($H$2))),""))</f>
        <v>50</v>
      </c>
      <c r="J6" s="35">
        <v>4</v>
      </c>
      <c r="K6" s="35">
        <f t="shared" ref="K6:K69" si="0">J6*$J$2</f>
        <v>40</v>
      </c>
      <c r="L6" s="37">
        <f>3*K2</f>
        <v>11.339289449053858</v>
      </c>
      <c r="M6" s="37">
        <f t="shared" ref="M6:M69" si="1">IF(I6&lt;&gt;"",K6+I6+L6,0)</f>
        <v>101.33928944905387</v>
      </c>
      <c r="N6" s="211" t="s">
        <v>76</v>
      </c>
      <c r="O6" s="215">
        <v>1</v>
      </c>
      <c r="P6" s="216" t="s">
        <v>81</v>
      </c>
      <c r="Q6" s="214">
        <v>4</v>
      </c>
      <c r="R6" s="214">
        <v>40</v>
      </c>
    </row>
    <row r="7" spans="1:36" ht="14.45" customHeight="1" x14ac:dyDescent="0.25">
      <c r="A7" s="38">
        <f t="shared" ref="A7:A37" si="2">M7</f>
        <v>18.559526299369239</v>
      </c>
      <c r="B7" s="39">
        <f t="shared" ref="B7:B14" si="3">IF(H7&gt;$H$2,"",(ROW()-5))</f>
        <v>2</v>
      </c>
      <c r="C7" s="40" t="s">
        <v>24</v>
      </c>
      <c r="D7" s="40" t="s">
        <v>82</v>
      </c>
      <c r="E7" s="40"/>
      <c r="F7" s="40" t="s">
        <v>69</v>
      </c>
      <c r="G7" s="27"/>
      <c r="H7" s="41">
        <v>2</v>
      </c>
      <c r="I7" s="42">
        <f t="shared" ref="I7:I69" si="4">IF(H7&lt;$H$2+1,($I$2-($I$2-1)*(LOG(H7)/LOG($H$2))),"")</f>
        <v>1</v>
      </c>
      <c r="J7" s="41">
        <v>1</v>
      </c>
      <c r="K7" s="41">
        <f t="shared" si="0"/>
        <v>10</v>
      </c>
      <c r="L7" s="43">
        <f>2*K2</f>
        <v>7.5595262993692387</v>
      </c>
      <c r="M7" s="43">
        <f t="shared" si="1"/>
        <v>18.559526299369239</v>
      </c>
      <c r="N7" s="211" t="s">
        <v>76</v>
      </c>
      <c r="O7" s="215">
        <v>2</v>
      </c>
      <c r="P7" s="216" t="s">
        <v>83</v>
      </c>
      <c r="Q7" s="214">
        <v>3</v>
      </c>
      <c r="R7" s="214">
        <v>30</v>
      </c>
    </row>
    <row r="8" spans="1:36" ht="14.45" customHeight="1" x14ac:dyDescent="0.25">
      <c r="A8" s="32">
        <f t="shared" si="2"/>
        <v>0</v>
      </c>
      <c r="B8" s="33" t="str">
        <f t="shared" si="3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ref="J8:J70" si="5">INT(LOG($H$2,2))-ROUNDUP(LOG(H8,2),0)+IF(OR($H$2=1,$H$2=2,$H$2=4,$H$2=8,$H$2=16,$H$2=32,$H$2=64,$H$2=128,$H$2=256),0,1)</f>
        <v>-1</v>
      </c>
      <c r="K8" s="35">
        <f t="shared" si="0"/>
        <v>-10</v>
      </c>
      <c r="L8" s="37">
        <f>K2</f>
        <v>3.7797631496846193</v>
      </c>
      <c r="M8" s="37">
        <f t="shared" si="1"/>
        <v>0</v>
      </c>
      <c r="N8" s="211" t="s">
        <v>76</v>
      </c>
      <c r="O8" s="215">
        <v>3</v>
      </c>
      <c r="P8" s="216" t="s">
        <v>84</v>
      </c>
      <c r="Q8" s="214">
        <v>2</v>
      </c>
      <c r="R8" s="214">
        <v>20</v>
      </c>
    </row>
    <row r="9" spans="1:36" ht="14.45" customHeight="1" x14ac:dyDescent="0.25">
      <c r="A9" s="32">
        <f t="shared" si="2"/>
        <v>0</v>
      </c>
      <c r="B9" s="39" t="str">
        <f t="shared" si="3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-1</v>
      </c>
      <c r="K9" s="41">
        <f t="shared" si="0"/>
        <v>-10</v>
      </c>
      <c r="L9" s="43"/>
      <c r="M9" s="43">
        <f t="shared" si="1"/>
        <v>0</v>
      </c>
      <c r="N9" s="211" t="s">
        <v>76</v>
      </c>
      <c r="O9" s="215">
        <v>4</v>
      </c>
      <c r="P9" s="216" t="s">
        <v>85</v>
      </c>
      <c r="Q9" s="214">
        <v>2</v>
      </c>
      <c r="R9" s="214">
        <v>20</v>
      </c>
      <c r="V9" s="44"/>
      <c r="Z9" s="45"/>
      <c r="AA9" s="45"/>
      <c r="AG9" s="46"/>
      <c r="AH9" s="18" t="s">
        <v>54</v>
      </c>
      <c r="AI9" s="18">
        <v>23</v>
      </c>
    </row>
    <row r="10" spans="1:36" ht="14.45" customHeight="1" x14ac:dyDescent="0.25">
      <c r="A10" s="32">
        <f t="shared" si="2"/>
        <v>0</v>
      </c>
      <c r="B10" s="33" t="str">
        <f t="shared" si="3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-2</v>
      </c>
      <c r="K10" s="35">
        <f t="shared" si="0"/>
        <v>-20</v>
      </c>
      <c r="L10" s="35"/>
      <c r="M10" s="37">
        <f t="shared" si="1"/>
        <v>0</v>
      </c>
      <c r="N10" s="211" t="s">
        <v>76</v>
      </c>
      <c r="O10" s="215">
        <v>5</v>
      </c>
      <c r="P10" s="216" t="s">
        <v>86</v>
      </c>
      <c r="Q10" s="214">
        <v>1</v>
      </c>
      <c r="R10" s="214">
        <v>10</v>
      </c>
      <c r="V10" s="44"/>
      <c r="Z10" s="45"/>
      <c r="AA10" s="45"/>
      <c r="AG10" s="46"/>
      <c r="AH10" s="18" t="s">
        <v>55</v>
      </c>
      <c r="AI10" s="18">
        <v>45</v>
      </c>
    </row>
    <row r="11" spans="1:36" ht="14.45" customHeight="1" x14ac:dyDescent="0.25">
      <c r="A11" s="38">
        <f t="shared" si="2"/>
        <v>0</v>
      </c>
      <c r="B11" s="39" t="str">
        <f t="shared" si="3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-2</v>
      </c>
      <c r="K11" s="41">
        <f t="shared" si="0"/>
        <v>-20</v>
      </c>
      <c r="L11" s="41"/>
      <c r="M11" s="43">
        <f t="shared" si="1"/>
        <v>0</v>
      </c>
      <c r="N11" s="211" t="s">
        <v>76</v>
      </c>
      <c r="O11" s="215">
        <v>6</v>
      </c>
      <c r="P11" s="216" t="s">
        <v>87</v>
      </c>
      <c r="Q11" s="214">
        <v>1</v>
      </c>
      <c r="R11" s="214">
        <v>10</v>
      </c>
      <c r="V11" s="47"/>
      <c r="Z11" s="45"/>
      <c r="AA11" s="45"/>
      <c r="AG11" s="46"/>
      <c r="AH11" s="18" t="s">
        <v>56</v>
      </c>
      <c r="AI11" s="18">
        <v>50</v>
      </c>
    </row>
    <row r="12" spans="1:36" ht="14.45" customHeight="1" x14ac:dyDescent="0.25">
      <c r="A12" s="32">
        <f t="shared" si="2"/>
        <v>0</v>
      </c>
      <c r="B12" s="33" t="str">
        <f t="shared" si="3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-2</v>
      </c>
      <c r="K12" s="35">
        <f t="shared" si="0"/>
        <v>-20</v>
      </c>
      <c r="L12" s="35"/>
      <c r="M12" s="37">
        <f t="shared" si="1"/>
        <v>0</v>
      </c>
      <c r="N12" s="211" t="s">
        <v>76</v>
      </c>
      <c r="O12" s="215">
        <v>7</v>
      </c>
      <c r="P12" s="216" t="s">
        <v>88</v>
      </c>
      <c r="Q12" s="214">
        <v>1</v>
      </c>
      <c r="R12" s="214">
        <v>10</v>
      </c>
      <c r="Z12" s="45"/>
      <c r="AA12" s="45"/>
      <c r="AG12" s="46"/>
      <c r="AH12" s="18" t="s">
        <v>57</v>
      </c>
      <c r="AI12" s="18">
        <f>AI11-1</f>
        <v>49</v>
      </c>
    </row>
    <row r="13" spans="1:36" ht="14.45" customHeight="1" x14ac:dyDescent="0.25">
      <c r="A13" s="48">
        <f t="shared" si="2"/>
        <v>0</v>
      </c>
      <c r="B13" s="39" t="str">
        <f t="shared" si="3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-2</v>
      </c>
      <c r="K13" s="41">
        <f t="shared" si="0"/>
        <v>-20</v>
      </c>
      <c r="L13" s="41"/>
      <c r="M13" s="43">
        <f t="shared" si="1"/>
        <v>0</v>
      </c>
      <c r="N13" s="211" t="s">
        <v>76</v>
      </c>
      <c r="O13" s="215">
        <v>8</v>
      </c>
      <c r="P13" s="216" t="s">
        <v>89</v>
      </c>
      <c r="Q13" s="214">
        <v>1</v>
      </c>
      <c r="R13" s="214">
        <v>10</v>
      </c>
      <c r="X13" s="44"/>
      <c r="AG13" s="46"/>
      <c r="AH13" s="18" t="s">
        <v>58</v>
      </c>
      <c r="AI13" s="18">
        <f>LOG(AI9)</f>
        <v>1.3617278360175928</v>
      </c>
    </row>
    <row r="14" spans="1:36" x14ac:dyDescent="0.25">
      <c r="A14" s="49">
        <f t="shared" si="2"/>
        <v>0</v>
      </c>
      <c r="B14" s="33" t="str">
        <f t="shared" si="3"/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-3</v>
      </c>
      <c r="K14" s="35">
        <f t="shared" si="0"/>
        <v>-30</v>
      </c>
      <c r="L14" s="35"/>
      <c r="M14" s="37">
        <f t="shared" si="1"/>
        <v>0</v>
      </c>
      <c r="N14" s="211" t="s">
        <v>76</v>
      </c>
      <c r="O14" s="215">
        <v>9</v>
      </c>
      <c r="P14" s="216" t="s">
        <v>90</v>
      </c>
      <c r="Q14" s="214">
        <v>0</v>
      </c>
      <c r="R14" s="214">
        <v>0</v>
      </c>
      <c r="X14" s="50"/>
      <c r="Z14" s="45"/>
      <c r="AA14" s="45"/>
      <c r="AG14" s="46"/>
      <c r="AH14" s="18" t="s">
        <v>59</v>
      </c>
      <c r="AI14" s="18">
        <f>LOG(AI10)</f>
        <v>1.6532125137753437</v>
      </c>
    </row>
    <row r="15" spans="1:36" x14ac:dyDescent="0.25">
      <c r="A15" s="48">
        <f t="shared" si="2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-3</v>
      </c>
      <c r="K15" s="41">
        <f t="shared" si="0"/>
        <v>-30</v>
      </c>
      <c r="L15" s="41"/>
      <c r="M15" s="43">
        <f t="shared" si="1"/>
        <v>0</v>
      </c>
      <c r="N15" s="211" t="s">
        <v>76</v>
      </c>
      <c r="O15" s="215" t="s">
        <v>76</v>
      </c>
      <c r="P15" s="216" t="s">
        <v>76</v>
      </c>
      <c r="Q15" s="214" t="s">
        <v>76</v>
      </c>
      <c r="R15" s="214" t="s">
        <v>76</v>
      </c>
      <c r="X15" s="44"/>
      <c r="Z15" s="45"/>
      <c r="AA15" s="45"/>
    </row>
    <row r="16" spans="1:36" x14ac:dyDescent="0.25">
      <c r="A16" s="49">
        <f t="shared" si="2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-3</v>
      </c>
      <c r="K16" s="35">
        <f t="shared" si="0"/>
        <v>-30</v>
      </c>
      <c r="L16" s="35"/>
      <c r="M16" s="37">
        <f t="shared" si="1"/>
        <v>0</v>
      </c>
      <c r="N16" s="211" t="s">
        <v>76</v>
      </c>
      <c r="O16" s="211" t="s">
        <v>76</v>
      </c>
      <c r="P16" s="212" t="s">
        <v>76</v>
      </c>
      <c r="Q16" s="213" t="s">
        <v>76</v>
      </c>
      <c r="R16" s="213" t="s">
        <v>76</v>
      </c>
      <c r="Z16" s="45"/>
      <c r="AA16" s="45"/>
      <c r="AH16" s="52" t="s">
        <v>60</v>
      </c>
      <c r="AI16" s="18">
        <f>AI11-AI12*AI13/AI14</f>
        <v>9.6393909380186855</v>
      </c>
      <c r="AJ16" s="18" t="s">
        <v>61</v>
      </c>
    </row>
    <row r="17" spans="1:19" x14ac:dyDescent="0.25">
      <c r="A17" s="48">
        <f t="shared" si="2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-3</v>
      </c>
      <c r="K17" s="41">
        <f t="shared" si="0"/>
        <v>-30</v>
      </c>
      <c r="L17" s="41"/>
      <c r="M17" s="43">
        <f t="shared" si="1"/>
        <v>0</v>
      </c>
      <c r="N17" s="211" t="s">
        <v>76</v>
      </c>
      <c r="O17" s="211" t="s">
        <v>76</v>
      </c>
      <c r="P17" s="212" t="s">
        <v>76</v>
      </c>
      <c r="Q17" s="213" t="s">
        <v>76</v>
      </c>
      <c r="R17" s="213" t="s">
        <v>76</v>
      </c>
    </row>
    <row r="18" spans="1:19" x14ac:dyDescent="0.25">
      <c r="A18" s="49">
        <f t="shared" si="2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-3</v>
      </c>
      <c r="K18" s="35">
        <f t="shared" si="0"/>
        <v>-30</v>
      </c>
      <c r="L18" s="35"/>
      <c r="M18" s="37">
        <f t="shared" si="1"/>
        <v>0</v>
      </c>
      <c r="N18" s="211" t="s">
        <v>76</v>
      </c>
      <c r="O18" s="211" t="s">
        <v>76</v>
      </c>
      <c r="P18" s="212" t="s">
        <v>76</v>
      </c>
      <c r="Q18" s="213" t="s">
        <v>76</v>
      </c>
      <c r="R18" s="213" t="s">
        <v>76</v>
      </c>
    </row>
    <row r="19" spans="1:19" x14ac:dyDescent="0.25">
      <c r="A19" s="48">
        <f t="shared" si="2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-3</v>
      </c>
      <c r="K19" s="41">
        <f t="shared" si="0"/>
        <v>-30</v>
      </c>
      <c r="L19" s="41"/>
      <c r="M19" s="43">
        <f t="shared" si="1"/>
        <v>0</v>
      </c>
      <c r="N19" s="211" t="s">
        <v>76</v>
      </c>
      <c r="O19" s="211" t="s">
        <v>76</v>
      </c>
      <c r="P19" s="212" t="s">
        <v>76</v>
      </c>
      <c r="Q19" s="213" t="s">
        <v>76</v>
      </c>
      <c r="R19" s="213" t="s">
        <v>76</v>
      </c>
    </row>
    <row r="20" spans="1:19" x14ac:dyDescent="0.25">
      <c r="A20" s="49">
        <f t="shared" si="2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-3</v>
      </c>
      <c r="K20" s="35">
        <f t="shared" si="0"/>
        <v>-30</v>
      </c>
      <c r="L20" s="35"/>
      <c r="M20" s="37">
        <f t="shared" si="1"/>
        <v>0</v>
      </c>
      <c r="N20" s="211" t="s">
        <v>76</v>
      </c>
      <c r="O20" s="211" t="s">
        <v>76</v>
      </c>
      <c r="P20" s="212" t="s">
        <v>76</v>
      </c>
      <c r="Q20" s="217" t="s">
        <v>76</v>
      </c>
      <c r="R20" s="213" t="s">
        <v>76</v>
      </c>
      <c r="S20" s="54"/>
    </row>
    <row r="21" spans="1:19" x14ac:dyDescent="0.25">
      <c r="A21" s="48">
        <f t="shared" si="2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-3</v>
      </c>
      <c r="K21" s="41">
        <f t="shared" si="0"/>
        <v>-30</v>
      </c>
      <c r="L21" s="41"/>
      <c r="M21" s="43">
        <f t="shared" si="1"/>
        <v>0</v>
      </c>
      <c r="N21" s="211" t="s">
        <v>76</v>
      </c>
      <c r="O21" s="211" t="s">
        <v>76</v>
      </c>
      <c r="P21" s="212" t="s">
        <v>76</v>
      </c>
      <c r="Q21" s="213" t="s">
        <v>76</v>
      </c>
      <c r="R21" s="213" t="s">
        <v>76</v>
      </c>
    </row>
    <row r="22" spans="1:19" x14ac:dyDescent="0.25">
      <c r="A22" s="49">
        <f t="shared" si="2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-4</v>
      </c>
      <c r="K22" s="35">
        <f t="shared" si="0"/>
        <v>-40</v>
      </c>
      <c r="L22" s="35"/>
      <c r="M22" s="37">
        <f t="shared" si="1"/>
        <v>0</v>
      </c>
      <c r="N22" s="211" t="s">
        <v>76</v>
      </c>
      <c r="O22" s="211" t="s">
        <v>76</v>
      </c>
      <c r="P22" s="212" t="s">
        <v>76</v>
      </c>
      <c r="Q22" s="213" t="s">
        <v>76</v>
      </c>
      <c r="R22" s="213" t="s">
        <v>76</v>
      </c>
    </row>
    <row r="23" spans="1:19" x14ac:dyDescent="0.25">
      <c r="A23" s="48">
        <f t="shared" si="2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-4</v>
      </c>
      <c r="K23" s="41">
        <f t="shared" si="0"/>
        <v>-40</v>
      </c>
      <c r="L23" s="41"/>
      <c r="M23" s="43">
        <f t="shared" si="1"/>
        <v>0</v>
      </c>
      <c r="N23" s="211" t="s">
        <v>76</v>
      </c>
      <c r="O23" s="211" t="s">
        <v>76</v>
      </c>
      <c r="P23" s="212" t="s">
        <v>76</v>
      </c>
      <c r="Q23" s="213" t="s">
        <v>76</v>
      </c>
      <c r="R23" s="213" t="s">
        <v>76</v>
      </c>
    </row>
    <row r="24" spans="1:19" x14ac:dyDescent="0.25">
      <c r="A24" s="49">
        <f t="shared" si="2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-4</v>
      </c>
      <c r="K24" s="35">
        <f t="shared" si="0"/>
        <v>-40</v>
      </c>
      <c r="L24" s="35"/>
      <c r="M24" s="37">
        <f t="shared" si="1"/>
        <v>0</v>
      </c>
      <c r="N24" s="211" t="s">
        <v>76</v>
      </c>
      <c r="O24" s="211" t="s">
        <v>76</v>
      </c>
      <c r="P24" s="212" t="s">
        <v>76</v>
      </c>
      <c r="Q24" s="217" t="s">
        <v>76</v>
      </c>
      <c r="R24" s="213" t="s">
        <v>76</v>
      </c>
      <c r="S24" s="54"/>
    </row>
    <row r="25" spans="1:19" x14ac:dyDescent="0.25">
      <c r="A25" s="48">
        <f t="shared" si="2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-4</v>
      </c>
      <c r="K25" s="41">
        <f t="shared" si="0"/>
        <v>-40</v>
      </c>
      <c r="L25" s="41"/>
      <c r="M25" s="43">
        <f t="shared" si="1"/>
        <v>0</v>
      </c>
      <c r="N25" s="211" t="s">
        <v>76</v>
      </c>
      <c r="O25" s="211" t="s">
        <v>76</v>
      </c>
      <c r="P25" s="212" t="s">
        <v>76</v>
      </c>
      <c r="Q25" s="213" t="s">
        <v>76</v>
      </c>
      <c r="R25" s="213" t="s">
        <v>76</v>
      </c>
    </row>
    <row r="26" spans="1:19" x14ac:dyDescent="0.25">
      <c r="A26" s="49">
        <f t="shared" si="2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-4</v>
      </c>
      <c r="K26" s="35">
        <f t="shared" si="0"/>
        <v>-40</v>
      </c>
      <c r="L26" s="35"/>
      <c r="M26" s="37">
        <f t="shared" si="1"/>
        <v>0</v>
      </c>
      <c r="N26" s="211" t="s">
        <v>76</v>
      </c>
      <c r="O26" s="211" t="s">
        <v>76</v>
      </c>
      <c r="P26" s="212" t="s">
        <v>76</v>
      </c>
      <c r="Q26" s="213" t="s">
        <v>76</v>
      </c>
      <c r="R26" s="213" t="s">
        <v>76</v>
      </c>
    </row>
    <row r="27" spans="1:19" x14ac:dyDescent="0.25">
      <c r="A27" s="48">
        <f t="shared" si="2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-4</v>
      </c>
      <c r="K27" s="41">
        <f t="shared" si="0"/>
        <v>-40</v>
      </c>
      <c r="L27" s="41"/>
      <c r="M27" s="43">
        <f t="shared" si="1"/>
        <v>0</v>
      </c>
      <c r="N27" s="211" t="s">
        <v>76</v>
      </c>
      <c r="O27" s="211" t="s">
        <v>76</v>
      </c>
      <c r="P27" s="212" t="s">
        <v>76</v>
      </c>
      <c r="Q27" s="213" t="s">
        <v>76</v>
      </c>
      <c r="R27" s="213" t="s">
        <v>76</v>
      </c>
    </row>
    <row r="28" spans="1:19" x14ac:dyDescent="0.25">
      <c r="A28" s="49">
        <f t="shared" si="2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-4</v>
      </c>
      <c r="K28" s="35">
        <f t="shared" si="0"/>
        <v>-40</v>
      </c>
      <c r="L28" s="35"/>
      <c r="M28" s="37">
        <f t="shared" si="1"/>
        <v>0</v>
      </c>
      <c r="N28" s="211" t="s">
        <v>76</v>
      </c>
      <c r="O28" s="211" t="s">
        <v>76</v>
      </c>
      <c r="P28" s="212" t="s">
        <v>76</v>
      </c>
      <c r="Q28" s="217" t="s">
        <v>76</v>
      </c>
      <c r="R28" s="213" t="s">
        <v>76</v>
      </c>
      <c r="S28" s="54"/>
    </row>
    <row r="29" spans="1:19" x14ac:dyDescent="0.25">
      <c r="A29" s="48">
        <f t="shared" si="2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-4</v>
      </c>
      <c r="K29" s="41">
        <f t="shared" si="0"/>
        <v>-40</v>
      </c>
      <c r="L29" s="41"/>
      <c r="M29" s="43">
        <f t="shared" si="1"/>
        <v>0</v>
      </c>
      <c r="N29" s="211" t="s">
        <v>76</v>
      </c>
      <c r="O29" s="211" t="s">
        <v>76</v>
      </c>
      <c r="P29" s="212" t="s">
        <v>76</v>
      </c>
      <c r="Q29" s="213" t="s">
        <v>76</v>
      </c>
      <c r="R29" s="213" t="s">
        <v>76</v>
      </c>
    </row>
    <row r="30" spans="1:19" x14ac:dyDescent="0.25">
      <c r="A30" s="49">
        <f t="shared" si="2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-4</v>
      </c>
      <c r="K30" s="35">
        <f t="shared" si="0"/>
        <v>-40</v>
      </c>
      <c r="L30" s="35"/>
      <c r="M30" s="37">
        <f t="shared" si="1"/>
        <v>0</v>
      </c>
      <c r="N30" s="211" t="s">
        <v>76</v>
      </c>
      <c r="O30" s="211" t="s">
        <v>76</v>
      </c>
      <c r="P30" s="212" t="s">
        <v>76</v>
      </c>
      <c r="Q30" s="213" t="s">
        <v>76</v>
      </c>
      <c r="R30" s="213" t="s">
        <v>76</v>
      </c>
    </row>
    <row r="31" spans="1:19" x14ac:dyDescent="0.25">
      <c r="A31" s="48">
        <f t="shared" si="2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-4</v>
      </c>
      <c r="K31" s="41">
        <f t="shared" si="0"/>
        <v>-40</v>
      </c>
      <c r="L31" s="41"/>
      <c r="M31" s="43">
        <f t="shared" si="1"/>
        <v>0</v>
      </c>
      <c r="N31" s="211" t="s">
        <v>76</v>
      </c>
      <c r="O31" s="211" t="s">
        <v>76</v>
      </c>
      <c r="P31" s="212" t="s">
        <v>76</v>
      </c>
      <c r="Q31" s="213" t="s">
        <v>76</v>
      </c>
      <c r="R31" s="213" t="s">
        <v>76</v>
      </c>
    </row>
    <row r="32" spans="1:19" x14ac:dyDescent="0.25">
      <c r="A32" s="49">
        <f t="shared" si="2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-4</v>
      </c>
      <c r="K32" s="35">
        <f t="shared" si="0"/>
        <v>-40</v>
      </c>
      <c r="L32" s="35"/>
      <c r="M32" s="37">
        <f t="shared" si="1"/>
        <v>0</v>
      </c>
      <c r="N32" s="211" t="s">
        <v>76</v>
      </c>
      <c r="O32" s="211" t="s">
        <v>76</v>
      </c>
      <c r="P32" s="212" t="s">
        <v>76</v>
      </c>
      <c r="Q32" s="217" t="s">
        <v>76</v>
      </c>
      <c r="R32" s="213" t="s">
        <v>76</v>
      </c>
      <c r="S32" s="54"/>
    </row>
    <row r="33" spans="1:21" x14ac:dyDescent="0.25">
      <c r="A33" s="48">
        <f t="shared" si="2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-4</v>
      </c>
      <c r="K33" s="41">
        <f t="shared" si="0"/>
        <v>-40</v>
      </c>
      <c r="L33" s="41"/>
      <c r="M33" s="43">
        <f t="shared" si="1"/>
        <v>0</v>
      </c>
      <c r="N33" s="211" t="s">
        <v>76</v>
      </c>
      <c r="O33" s="211" t="s">
        <v>76</v>
      </c>
      <c r="P33" s="212" t="s">
        <v>76</v>
      </c>
      <c r="Q33" s="213" t="s">
        <v>76</v>
      </c>
      <c r="R33" s="213" t="s">
        <v>76</v>
      </c>
    </row>
    <row r="34" spans="1:21" x14ac:dyDescent="0.25">
      <c r="A34" s="49">
        <f t="shared" si="2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-4</v>
      </c>
      <c r="K34" s="35">
        <f t="shared" si="0"/>
        <v>-40</v>
      </c>
      <c r="L34" s="35"/>
      <c r="M34" s="37">
        <f t="shared" si="1"/>
        <v>0</v>
      </c>
      <c r="N34" s="211" t="s">
        <v>76</v>
      </c>
      <c r="O34" s="211" t="s">
        <v>76</v>
      </c>
      <c r="P34" s="212" t="s">
        <v>76</v>
      </c>
      <c r="Q34" s="213" t="s">
        <v>76</v>
      </c>
      <c r="R34" s="213" t="s">
        <v>76</v>
      </c>
    </row>
    <row r="35" spans="1:21" x14ac:dyDescent="0.25">
      <c r="A35" s="48">
        <f t="shared" si="2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-4</v>
      </c>
      <c r="K35" s="41">
        <f t="shared" si="0"/>
        <v>-40</v>
      </c>
      <c r="L35" s="41"/>
      <c r="M35" s="43">
        <f t="shared" si="1"/>
        <v>0</v>
      </c>
      <c r="N35" s="211" t="s">
        <v>76</v>
      </c>
      <c r="O35" s="211" t="s">
        <v>76</v>
      </c>
      <c r="P35" s="212" t="s">
        <v>76</v>
      </c>
      <c r="Q35" s="213" t="s">
        <v>76</v>
      </c>
      <c r="R35" s="213" t="s">
        <v>76</v>
      </c>
    </row>
    <row r="36" spans="1:21" x14ac:dyDescent="0.25">
      <c r="A36" s="49">
        <f t="shared" si="2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-4</v>
      </c>
      <c r="K36" s="35">
        <f t="shared" si="0"/>
        <v>-40</v>
      </c>
      <c r="L36" s="35"/>
      <c r="M36" s="37">
        <f t="shared" si="1"/>
        <v>0</v>
      </c>
      <c r="N36" s="211" t="s">
        <v>76</v>
      </c>
      <c r="O36" s="211" t="s">
        <v>76</v>
      </c>
      <c r="P36" s="212" t="s">
        <v>76</v>
      </c>
      <c r="Q36" s="217" t="s">
        <v>76</v>
      </c>
      <c r="R36" s="213" t="s">
        <v>76</v>
      </c>
      <c r="S36" s="54"/>
    </row>
    <row r="37" spans="1:21" x14ac:dyDescent="0.25">
      <c r="A37" s="48">
        <f t="shared" si="2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-4</v>
      </c>
      <c r="K37" s="41">
        <f t="shared" si="0"/>
        <v>-40</v>
      </c>
      <c r="L37" s="41"/>
      <c r="M37" s="43">
        <f t="shared" si="1"/>
        <v>0</v>
      </c>
      <c r="N37" s="211" t="s">
        <v>76</v>
      </c>
      <c r="O37" s="211" t="s">
        <v>76</v>
      </c>
      <c r="P37" s="212" t="s">
        <v>76</v>
      </c>
      <c r="Q37" s="213" t="s">
        <v>76</v>
      </c>
      <c r="R37" s="213" t="s">
        <v>76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-5</v>
      </c>
      <c r="K38" s="35">
        <f t="shared" si="0"/>
        <v>-50</v>
      </c>
      <c r="L38" s="35"/>
      <c r="M38" s="37">
        <f t="shared" si="1"/>
        <v>0</v>
      </c>
      <c r="N38" s="211" t="s">
        <v>76</v>
      </c>
      <c r="O38" s="211" t="s">
        <v>76</v>
      </c>
      <c r="P38" s="212" t="s">
        <v>76</v>
      </c>
      <c r="Q38" s="213" t="s">
        <v>76</v>
      </c>
      <c r="R38" s="213" t="s">
        <v>76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-5</v>
      </c>
      <c r="K39" s="41">
        <f t="shared" si="0"/>
        <v>-50</v>
      </c>
      <c r="L39" s="41"/>
      <c r="M39" s="43">
        <f t="shared" si="1"/>
        <v>0</v>
      </c>
      <c r="N39" s="211" t="s">
        <v>76</v>
      </c>
      <c r="O39" s="211" t="s">
        <v>76</v>
      </c>
      <c r="P39" s="212" t="s">
        <v>76</v>
      </c>
      <c r="Q39" s="213" t="s">
        <v>76</v>
      </c>
      <c r="R39" s="213" t="s">
        <v>76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-5</v>
      </c>
      <c r="K40" s="35">
        <f t="shared" si="0"/>
        <v>-50</v>
      </c>
      <c r="L40" s="35"/>
      <c r="M40" s="37">
        <f t="shared" si="1"/>
        <v>0</v>
      </c>
      <c r="N40" s="211" t="s">
        <v>76</v>
      </c>
      <c r="O40" s="211" t="s">
        <v>76</v>
      </c>
      <c r="P40" s="212" t="s">
        <v>76</v>
      </c>
      <c r="Q40" s="213" t="s">
        <v>76</v>
      </c>
      <c r="R40" s="213" t="s">
        <v>76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-5</v>
      </c>
      <c r="K41" s="41">
        <f t="shared" si="0"/>
        <v>-50</v>
      </c>
      <c r="L41" s="41"/>
      <c r="M41" s="43">
        <f t="shared" si="1"/>
        <v>0</v>
      </c>
      <c r="N41" s="211" t="s">
        <v>76</v>
      </c>
      <c r="O41" s="211" t="s">
        <v>76</v>
      </c>
      <c r="P41" s="212" t="s">
        <v>76</v>
      </c>
      <c r="Q41" s="213" t="s">
        <v>76</v>
      </c>
      <c r="R41" s="213" t="s">
        <v>76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-5</v>
      </c>
      <c r="K42" s="35">
        <f t="shared" si="0"/>
        <v>-50</v>
      </c>
      <c r="L42" s="35"/>
      <c r="M42" s="37">
        <f t="shared" si="1"/>
        <v>0</v>
      </c>
      <c r="N42" s="211" t="s">
        <v>76</v>
      </c>
      <c r="O42" s="211" t="s">
        <v>76</v>
      </c>
      <c r="P42" s="212" t="s">
        <v>76</v>
      </c>
      <c r="Q42" s="213" t="s">
        <v>76</v>
      </c>
      <c r="R42" s="213" t="s">
        <v>76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-5</v>
      </c>
      <c r="K43" s="41">
        <f t="shared" si="0"/>
        <v>-50</v>
      </c>
      <c r="L43" s="41"/>
      <c r="M43" s="43">
        <f t="shared" si="1"/>
        <v>0</v>
      </c>
      <c r="N43" s="211" t="s">
        <v>76</v>
      </c>
      <c r="O43" s="211" t="s">
        <v>76</v>
      </c>
      <c r="P43" s="212" t="s">
        <v>76</v>
      </c>
      <c r="Q43" s="213" t="s">
        <v>76</v>
      </c>
      <c r="R43" s="213" t="s">
        <v>76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-5</v>
      </c>
      <c r="K44" s="35">
        <f t="shared" si="0"/>
        <v>-50</v>
      </c>
      <c r="L44" s="35"/>
      <c r="M44" s="37">
        <f t="shared" si="1"/>
        <v>0</v>
      </c>
      <c r="N44" s="211" t="s">
        <v>76</v>
      </c>
      <c r="O44" s="211" t="s">
        <v>76</v>
      </c>
      <c r="P44" s="212" t="s">
        <v>76</v>
      </c>
      <c r="Q44" s="213" t="s">
        <v>76</v>
      </c>
      <c r="R44" s="213" t="s">
        <v>76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-5</v>
      </c>
      <c r="K45" s="41">
        <f t="shared" si="0"/>
        <v>-50</v>
      </c>
      <c r="L45" s="41"/>
      <c r="M45" s="43">
        <f t="shared" si="1"/>
        <v>0</v>
      </c>
      <c r="N45" s="211" t="s">
        <v>76</v>
      </c>
      <c r="O45" s="211" t="s">
        <v>76</v>
      </c>
      <c r="P45" s="212" t="s">
        <v>76</v>
      </c>
      <c r="Q45" s="213" t="s">
        <v>76</v>
      </c>
      <c r="R45" s="213" t="s">
        <v>76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-5</v>
      </c>
      <c r="K46" s="35">
        <f t="shared" si="0"/>
        <v>-50</v>
      </c>
      <c r="L46" s="35"/>
      <c r="M46" s="37">
        <f t="shared" si="1"/>
        <v>0</v>
      </c>
      <c r="N46" s="211" t="s">
        <v>76</v>
      </c>
      <c r="O46" s="211" t="s">
        <v>76</v>
      </c>
      <c r="P46" s="212" t="s">
        <v>76</v>
      </c>
      <c r="Q46" s="218">
        <v>21186</v>
      </c>
      <c r="R46" s="213" t="s">
        <v>76</v>
      </c>
      <c r="T46" s="18">
        <f>LOG(H38,2)</f>
        <v>5.0443941193584534</v>
      </c>
      <c r="U46" s="18" t="e">
        <f>R46-T46</f>
        <v>#VALUE!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-5</v>
      </c>
      <c r="K47" s="41">
        <f t="shared" si="0"/>
        <v>-50</v>
      </c>
      <c r="L47" s="41"/>
      <c r="M47" s="43">
        <f t="shared" si="1"/>
        <v>0</v>
      </c>
      <c r="N47" s="211" t="s">
        <v>76</v>
      </c>
      <c r="O47" s="211" t="s">
        <v>76</v>
      </c>
      <c r="P47" s="212" t="s">
        <v>76</v>
      </c>
      <c r="Q47" s="213" t="s">
        <v>76</v>
      </c>
      <c r="R47" s="213" t="s">
        <v>76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-5</v>
      </c>
      <c r="K48" s="35">
        <f t="shared" si="0"/>
        <v>-50</v>
      </c>
      <c r="L48" s="35"/>
      <c r="M48" s="37">
        <f t="shared" si="1"/>
        <v>0</v>
      </c>
      <c r="N48" s="211" t="s">
        <v>76</v>
      </c>
      <c r="O48" s="211" t="s">
        <v>76</v>
      </c>
      <c r="P48" s="212" t="s">
        <v>76</v>
      </c>
      <c r="Q48" s="213" t="s">
        <v>76</v>
      </c>
      <c r="R48" s="213" t="s">
        <v>76</v>
      </c>
    </row>
    <row r="49" spans="1:18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-5</v>
      </c>
      <c r="K49" s="41">
        <f t="shared" si="0"/>
        <v>-50</v>
      </c>
      <c r="L49" s="41"/>
      <c r="M49" s="43">
        <f t="shared" si="1"/>
        <v>0</v>
      </c>
      <c r="N49" s="211" t="s">
        <v>76</v>
      </c>
      <c r="O49" s="211" t="s">
        <v>76</v>
      </c>
      <c r="P49" s="212" t="s">
        <v>76</v>
      </c>
      <c r="Q49" s="213" t="s">
        <v>76</v>
      </c>
      <c r="R49" s="213" t="s">
        <v>76</v>
      </c>
    </row>
    <row r="50" spans="1:18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-5</v>
      </c>
      <c r="K50" s="35">
        <f t="shared" si="0"/>
        <v>-50</v>
      </c>
      <c r="L50" s="35"/>
      <c r="M50" s="37">
        <f t="shared" si="1"/>
        <v>0</v>
      </c>
      <c r="N50" s="211" t="s">
        <v>76</v>
      </c>
      <c r="O50" s="211" t="s">
        <v>76</v>
      </c>
      <c r="P50" s="212" t="s">
        <v>76</v>
      </c>
      <c r="Q50" s="213" t="s">
        <v>76</v>
      </c>
      <c r="R50" s="213" t="s">
        <v>76</v>
      </c>
    </row>
    <row r="51" spans="1:18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-5</v>
      </c>
      <c r="K51" s="41">
        <f t="shared" si="0"/>
        <v>-50</v>
      </c>
      <c r="L51" s="41"/>
      <c r="M51" s="43">
        <f t="shared" si="1"/>
        <v>0</v>
      </c>
      <c r="N51" s="211" t="s">
        <v>76</v>
      </c>
      <c r="O51" s="211" t="s">
        <v>76</v>
      </c>
      <c r="P51" s="212" t="s">
        <v>76</v>
      </c>
      <c r="Q51" s="213" t="s">
        <v>76</v>
      </c>
      <c r="R51" s="213" t="s">
        <v>76</v>
      </c>
    </row>
    <row r="52" spans="1:18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-5</v>
      </c>
      <c r="K52" s="35">
        <f t="shared" si="0"/>
        <v>-50</v>
      </c>
      <c r="L52" s="35"/>
      <c r="M52" s="37">
        <f t="shared" si="1"/>
        <v>0</v>
      </c>
      <c r="N52" s="211" t="s">
        <v>76</v>
      </c>
      <c r="O52" s="211" t="s">
        <v>76</v>
      </c>
      <c r="P52" s="212" t="s">
        <v>76</v>
      </c>
      <c r="Q52" s="213" t="s">
        <v>76</v>
      </c>
      <c r="R52" s="213" t="s">
        <v>76</v>
      </c>
    </row>
    <row r="53" spans="1:18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-5</v>
      </c>
      <c r="K53" s="41">
        <f t="shared" si="0"/>
        <v>-50</v>
      </c>
      <c r="L53" s="41"/>
      <c r="M53" s="43">
        <f t="shared" si="1"/>
        <v>0</v>
      </c>
      <c r="N53" s="211" t="s">
        <v>76</v>
      </c>
      <c r="O53" s="211" t="s">
        <v>76</v>
      </c>
      <c r="P53" s="212" t="s">
        <v>76</v>
      </c>
      <c r="Q53" s="213" t="s">
        <v>76</v>
      </c>
      <c r="R53" s="213" t="s">
        <v>76</v>
      </c>
    </row>
    <row r="54" spans="1:18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-5</v>
      </c>
      <c r="K54" s="35">
        <f t="shared" si="0"/>
        <v>-50</v>
      </c>
      <c r="L54" s="35"/>
      <c r="M54" s="37">
        <f t="shared" si="1"/>
        <v>0</v>
      </c>
      <c r="N54" s="211" t="s">
        <v>76</v>
      </c>
      <c r="O54" s="211" t="s">
        <v>76</v>
      </c>
      <c r="P54" s="212" t="s">
        <v>76</v>
      </c>
      <c r="Q54" s="213" t="s">
        <v>76</v>
      </c>
      <c r="R54" s="213" t="s">
        <v>76</v>
      </c>
    </row>
    <row r="55" spans="1:18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-5</v>
      </c>
      <c r="K55" s="41">
        <f t="shared" si="0"/>
        <v>-50</v>
      </c>
      <c r="L55" s="41"/>
      <c r="M55" s="43">
        <f t="shared" si="1"/>
        <v>0</v>
      </c>
      <c r="N55" s="211" t="s">
        <v>76</v>
      </c>
      <c r="O55" s="211" t="s">
        <v>76</v>
      </c>
      <c r="P55" s="212" t="s">
        <v>76</v>
      </c>
      <c r="Q55" s="213" t="s">
        <v>76</v>
      </c>
      <c r="R55" s="213" t="s">
        <v>76</v>
      </c>
    </row>
    <row r="56" spans="1:18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-5</v>
      </c>
      <c r="K56" s="35">
        <f t="shared" si="0"/>
        <v>-50</v>
      </c>
      <c r="L56" s="35"/>
      <c r="M56" s="37">
        <f t="shared" si="1"/>
        <v>0</v>
      </c>
      <c r="N56" s="211" t="s">
        <v>76</v>
      </c>
      <c r="O56" s="211" t="s">
        <v>76</v>
      </c>
      <c r="P56" s="212" t="s">
        <v>76</v>
      </c>
      <c r="Q56" s="213" t="s">
        <v>76</v>
      </c>
      <c r="R56" s="213" t="s">
        <v>76</v>
      </c>
    </row>
    <row r="57" spans="1:18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-5</v>
      </c>
      <c r="K57" s="41">
        <f t="shared" si="0"/>
        <v>-50</v>
      </c>
      <c r="L57" s="41"/>
      <c r="M57" s="43">
        <f t="shared" si="1"/>
        <v>0</v>
      </c>
      <c r="N57" s="211" t="s">
        <v>76</v>
      </c>
      <c r="O57" s="211" t="s">
        <v>76</v>
      </c>
      <c r="P57" s="212" t="s">
        <v>76</v>
      </c>
      <c r="Q57" s="213" t="s">
        <v>76</v>
      </c>
      <c r="R57" s="213" t="s">
        <v>76</v>
      </c>
    </row>
    <row r="58" spans="1:18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-5</v>
      </c>
      <c r="K58" s="35">
        <f t="shared" si="0"/>
        <v>-50</v>
      </c>
      <c r="L58" s="35"/>
      <c r="M58" s="37">
        <f t="shared" si="1"/>
        <v>0</v>
      </c>
      <c r="N58" s="211" t="s">
        <v>76</v>
      </c>
      <c r="O58" s="211" t="s">
        <v>76</v>
      </c>
      <c r="P58" s="212" t="s">
        <v>76</v>
      </c>
      <c r="Q58" s="213" t="s">
        <v>76</v>
      </c>
      <c r="R58" s="213" t="s">
        <v>76</v>
      </c>
    </row>
    <row r="59" spans="1:18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-5</v>
      </c>
      <c r="K59" s="41">
        <f t="shared" si="0"/>
        <v>-50</v>
      </c>
      <c r="L59" s="41"/>
      <c r="M59" s="43">
        <f t="shared" si="1"/>
        <v>0</v>
      </c>
      <c r="N59" s="211" t="s">
        <v>76</v>
      </c>
      <c r="O59" s="211" t="s">
        <v>76</v>
      </c>
      <c r="P59" s="212" t="s">
        <v>76</v>
      </c>
      <c r="Q59" s="213" t="s">
        <v>76</v>
      </c>
      <c r="R59" s="213" t="s">
        <v>76</v>
      </c>
    </row>
    <row r="60" spans="1:18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-5</v>
      </c>
      <c r="K60" s="35">
        <f t="shared" si="0"/>
        <v>-50</v>
      </c>
      <c r="L60" s="35"/>
      <c r="M60" s="37">
        <f t="shared" si="1"/>
        <v>0</v>
      </c>
      <c r="N60" s="211" t="s">
        <v>76</v>
      </c>
      <c r="O60" s="211" t="s">
        <v>76</v>
      </c>
      <c r="P60" s="212" t="s">
        <v>76</v>
      </c>
      <c r="Q60" s="213" t="s">
        <v>76</v>
      </c>
      <c r="R60" s="213" t="s">
        <v>76</v>
      </c>
    </row>
    <row r="61" spans="1:18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-5</v>
      </c>
      <c r="K61" s="41">
        <f t="shared" si="0"/>
        <v>-50</v>
      </c>
      <c r="L61" s="41"/>
      <c r="M61" s="43">
        <f t="shared" si="1"/>
        <v>0</v>
      </c>
      <c r="N61" s="211" t="s">
        <v>76</v>
      </c>
      <c r="O61" s="211" t="s">
        <v>76</v>
      </c>
      <c r="P61" s="212" t="s">
        <v>76</v>
      </c>
      <c r="Q61" s="213" t="s">
        <v>76</v>
      </c>
      <c r="R61" s="213" t="s">
        <v>76</v>
      </c>
    </row>
    <row r="62" spans="1:18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-5</v>
      </c>
      <c r="K62" s="35">
        <f t="shared" si="0"/>
        <v>-50</v>
      </c>
      <c r="L62" s="35"/>
      <c r="M62" s="37">
        <f t="shared" si="1"/>
        <v>0</v>
      </c>
      <c r="N62" s="211" t="s">
        <v>76</v>
      </c>
      <c r="O62" s="211" t="s">
        <v>76</v>
      </c>
      <c r="P62" s="212" t="s">
        <v>76</v>
      </c>
      <c r="Q62" s="213" t="s">
        <v>76</v>
      </c>
      <c r="R62" s="213" t="s">
        <v>76</v>
      </c>
    </row>
    <row r="63" spans="1:18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-5</v>
      </c>
      <c r="K63" s="41">
        <f t="shared" si="0"/>
        <v>-50</v>
      </c>
      <c r="L63" s="41"/>
      <c r="M63" s="43">
        <f t="shared" si="1"/>
        <v>0</v>
      </c>
      <c r="N63" s="211" t="s">
        <v>76</v>
      </c>
      <c r="O63" s="211" t="s">
        <v>76</v>
      </c>
      <c r="P63" s="212" t="s">
        <v>76</v>
      </c>
      <c r="Q63" s="213" t="s">
        <v>76</v>
      </c>
      <c r="R63" s="213" t="s">
        <v>76</v>
      </c>
    </row>
    <row r="64" spans="1:18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-5</v>
      </c>
      <c r="K64" s="35">
        <f t="shared" si="0"/>
        <v>-50</v>
      </c>
      <c r="L64" s="35"/>
      <c r="M64" s="37">
        <f t="shared" si="1"/>
        <v>0</v>
      </c>
      <c r="N64" s="211" t="s">
        <v>76</v>
      </c>
      <c r="O64" s="211" t="s">
        <v>76</v>
      </c>
      <c r="P64" s="212" t="s">
        <v>76</v>
      </c>
      <c r="Q64" s="213" t="s">
        <v>76</v>
      </c>
      <c r="R64" s="213" t="s">
        <v>76</v>
      </c>
    </row>
    <row r="65" spans="1:18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-5</v>
      </c>
      <c r="K65" s="41">
        <f t="shared" si="0"/>
        <v>-50</v>
      </c>
      <c r="L65" s="41"/>
      <c r="M65" s="43">
        <f t="shared" si="1"/>
        <v>0</v>
      </c>
      <c r="N65" s="211" t="s">
        <v>76</v>
      </c>
      <c r="O65" s="211" t="s">
        <v>76</v>
      </c>
      <c r="P65" s="212" t="s">
        <v>76</v>
      </c>
      <c r="Q65" s="213" t="s">
        <v>76</v>
      </c>
      <c r="R65" s="213" t="s">
        <v>76</v>
      </c>
    </row>
    <row r="66" spans="1:18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-5</v>
      </c>
      <c r="K66" s="35">
        <f t="shared" si="0"/>
        <v>-50</v>
      </c>
      <c r="L66" s="35"/>
      <c r="M66" s="37">
        <f t="shared" si="1"/>
        <v>0</v>
      </c>
      <c r="N66" s="211" t="s">
        <v>76</v>
      </c>
      <c r="O66" s="211" t="s">
        <v>76</v>
      </c>
      <c r="P66" s="212" t="s">
        <v>76</v>
      </c>
      <c r="Q66" s="213" t="s">
        <v>76</v>
      </c>
      <c r="R66" s="213" t="s">
        <v>76</v>
      </c>
    </row>
    <row r="67" spans="1:18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-5</v>
      </c>
      <c r="K67" s="35">
        <f t="shared" si="0"/>
        <v>-50</v>
      </c>
      <c r="L67" s="35"/>
      <c r="M67" s="37">
        <f t="shared" si="1"/>
        <v>0</v>
      </c>
      <c r="N67" s="211" t="s">
        <v>76</v>
      </c>
      <c r="O67" s="211" t="s">
        <v>76</v>
      </c>
      <c r="P67" s="212" t="s">
        <v>76</v>
      </c>
      <c r="Q67" s="213" t="s">
        <v>76</v>
      </c>
      <c r="R67" s="213" t="s">
        <v>76</v>
      </c>
    </row>
    <row r="68" spans="1:18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-5</v>
      </c>
      <c r="K68" s="35">
        <f t="shared" si="0"/>
        <v>-50</v>
      </c>
      <c r="L68" s="35"/>
      <c r="M68" s="37">
        <f t="shared" si="1"/>
        <v>0</v>
      </c>
      <c r="N68" s="211" t="s">
        <v>76</v>
      </c>
      <c r="O68" s="211" t="s">
        <v>76</v>
      </c>
      <c r="P68" s="212" t="s">
        <v>76</v>
      </c>
      <c r="Q68" s="213" t="s">
        <v>76</v>
      </c>
      <c r="R68" s="213" t="s">
        <v>76</v>
      </c>
    </row>
    <row r="69" spans="1:18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-5</v>
      </c>
      <c r="K69" s="35">
        <f t="shared" si="0"/>
        <v>-50</v>
      </c>
      <c r="L69" s="35"/>
      <c r="M69" s="37">
        <f t="shared" si="1"/>
        <v>0</v>
      </c>
      <c r="N69" s="211" t="s">
        <v>76</v>
      </c>
      <c r="O69" s="211" t="s">
        <v>76</v>
      </c>
      <c r="P69" s="212" t="s">
        <v>76</v>
      </c>
      <c r="Q69" s="213" t="s">
        <v>76</v>
      </c>
      <c r="R69" s="213" t="s">
        <v>76</v>
      </c>
    </row>
    <row r="70" spans="1:18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-6</v>
      </c>
      <c r="K70" s="35">
        <f t="shared" ref="K70:K133" si="8">J70*$J$2</f>
        <v>-60</v>
      </c>
      <c r="L70" s="35"/>
      <c r="M70" s="37">
        <f t="shared" ref="M70:M133" si="9">IF(I70&lt;&gt;"",K70+I70+L70,0)</f>
        <v>0</v>
      </c>
      <c r="N70" s="211" t="s">
        <v>76</v>
      </c>
      <c r="O70" s="211" t="s">
        <v>76</v>
      </c>
      <c r="P70" s="212" t="s">
        <v>76</v>
      </c>
      <c r="Q70" s="213" t="s">
        <v>76</v>
      </c>
      <c r="R70" s="213" t="s">
        <v>76</v>
      </c>
    </row>
    <row r="71" spans="1:18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-6</v>
      </c>
      <c r="K71" s="35">
        <f t="shared" si="8"/>
        <v>-60</v>
      </c>
      <c r="L71" s="35"/>
      <c r="M71" s="37">
        <f t="shared" si="9"/>
        <v>0</v>
      </c>
      <c r="N71" s="211" t="s">
        <v>76</v>
      </c>
      <c r="O71" s="211" t="s">
        <v>76</v>
      </c>
      <c r="P71" s="212" t="s">
        <v>76</v>
      </c>
      <c r="Q71" s="213" t="s">
        <v>76</v>
      </c>
      <c r="R71" s="213" t="s">
        <v>76</v>
      </c>
    </row>
    <row r="72" spans="1:18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-6</v>
      </c>
      <c r="K72" s="35">
        <f t="shared" si="8"/>
        <v>-60</v>
      </c>
      <c r="L72" s="35"/>
      <c r="M72" s="37">
        <f t="shared" si="9"/>
        <v>0</v>
      </c>
      <c r="N72" s="211" t="s">
        <v>76</v>
      </c>
      <c r="O72" s="211" t="s">
        <v>76</v>
      </c>
      <c r="P72" s="212" t="s">
        <v>76</v>
      </c>
      <c r="Q72" s="213" t="s">
        <v>76</v>
      </c>
      <c r="R72" s="213" t="s">
        <v>76</v>
      </c>
    </row>
    <row r="73" spans="1:18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-6</v>
      </c>
      <c r="K73" s="35">
        <f t="shared" si="8"/>
        <v>-60</v>
      </c>
      <c r="L73" s="35"/>
      <c r="M73" s="37">
        <f t="shared" si="9"/>
        <v>0</v>
      </c>
      <c r="N73" s="211" t="s">
        <v>76</v>
      </c>
      <c r="O73" s="211" t="s">
        <v>76</v>
      </c>
      <c r="P73" s="212" t="s">
        <v>76</v>
      </c>
      <c r="Q73" s="213" t="s">
        <v>76</v>
      </c>
      <c r="R73" s="213" t="s">
        <v>76</v>
      </c>
    </row>
    <row r="74" spans="1:18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-6</v>
      </c>
      <c r="K74" s="35">
        <f t="shared" si="8"/>
        <v>-60</v>
      </c>
      <c r="L74" s="35"/>
      <c r="M74" s="37">
        <f t="shared" si="9"/>
        <v>0</v>
      </c>
      <c r="N74" s="211" t="s">
        <v>76</v>
      </c>
      <c r="O74" s="211" t="s">
        <v>76</v>
      </c>
      <c r="P74" s="212" t="s">
        <v>76</v>
      </c>
      <c r="Q74" s="213" t="s">
        <v>76</v>
      </c>
      <c r="R74" s="213" t="s">
        <v>76</v>
      </c>
    </row>
    <row r="75" spans="1:18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-6</v>
      </c>
      <c r="K75" s="35">
        <f t="shared" si="8"/>
        <v>-60</v>
      </c>
      <c r="L75" s="35"/>
      <c r="M75" s="37">
        <f t="shared" si="9"/>
        <v>0</v>
      </c>
      <c r="N75" s="211" t="s">
        <v>76</v>
      </c>
      <c r="O75" s="211" t="s">
        <v>76</v>
      </c>
      <c r="P75" s="212" t="s">
        <v>76</v>
      </c>
      <c r="Q75" s="213" t="s">
        <v>76</v>
      </c>
      <c r="R75" s="213" t="s">
        <v>76</v>
      </c>
    </row>
    <row r="76" spans="1:18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-6</v>
      </c>
      <c r="K76" s="35">
        <f t="shared" si="8"/>
        <v>-60</v>
      </c>
      <c r="L76" s="35"/>
      <c r="M76" s="37">
        <f t="shared" si="9"/>
        <v>0</v>
      </c>
      <c r="N76" s="211" t="s">
        <v>76</v>
      </c>
      <c r="O76" s="211" t="s">
        <v>76</v>
      </c>
      <c r="P76" s="212" t="s">
        <v>76</v>
      </c>
      <c r="Q76" s="213" t="s">
        <v>76</v>
      </c>
      <c r="R76" s="213" t="s">
        <v>76</v>
      </c>
    </row>
    <row r="77" spans="1:18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-6</v>
      </c>
      <c r="K77" s="35">
        <f t="shared" si="8"/>
        <v>-60</v>
      </c>
      <c r="L77" s="35"/>
      <c r="M77" s="37">
        <f t="shared" si="9"/>
        <v>0</v>
      </c>
      <c r="N77" s="211" t="s">
        <v>76</v>
      </c>
      <c r="O77" s="211" t="s">
        <v>76</v>
      </c>
      <c r="P77" s="212" t="s">
        <v>76</v>
      </c>
      <c r="Q77" s="213" t="s">
        <v>76</v>
      </c>
      <c r="R77" s="213" t="s">
        <v>76</v>
      </c>
    </row>
    <row r="78" spans="1:18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-6</v>
      </c>
      <c r="K78" s="35">
        <f t="shared" si="8"/>
        <v>-60</v>
      </c>
      <c r="L78" s="35"/>
      <c r="M78" s="37">
        <f t="shared" si="9"/>
        <v>0</v>
      </c>
      <c r="N78" s="211" t="s">
        <v>76</v>
      </c>
      <c r="O78" s="211" t="s">
        <v>76</v>
      </c>
      <c r="P78" s="212" t="s">
        <v>76</v>
      </c>
      <c r="Q78" s="213" t="s">
        <v>76</v>
      </c>
      <c r="R78" s="213" t="s">
        <v>76</v>
      </c>
    </row>
    <row r="79" spans="1:18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-6</v>
      </c>
      <c r="K79" s="35">
        <f t="shared" si="8"/>
        <v>-60</v>
      </c>
      <c r="L79" s="35"/>
      <c r="M79" s="37">
        <f t="shared" si="9"/>
        <v>0</v>
      </c>
      <c r="N79" s="211" t="s">
        <v>76</v>
      </c>
      <c r="O79" s="211" t="s">
        <v>76</v>
      </c>
      <c r="P79" s="212" t="s">
        <v>76</v>
      </c>
      <c r="Q79" s="213" t="s">
        <v>76</v>
      </c>
      <c r="R79" s="213" t="s">
        <v>76</v>
      </c>
    </row>
    <row r="80" spans="1:18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-6</v>
      </c>
      <c r="K80" s="35">
        <f t="shared" si="8"/>
        <v>-60</v>
      </c>
      <c r="L80" s="35"/>
      <c r="M80" s="37">
        <f t="shared" si="9"/>
        <v>0</v>
      </c>
      <c r="N80" s="211" t="s">
        <v>76</v>
      </c>
      <c r="O80" s="211" t="s">
        <v>76</v>
      </c>
      <c r="P80" s="212" t="s">
        <v>76</v>
      </c>
      <c r="Q80" s="213" t="s">
        <v>76</v>
      </c>
      <c r="R80" s="213" t="s">
        <v>76</v>
      </c>
    </row>
    <row r="81" spans="1:18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-6</v>
      </c>
      <c r="K81" s="35">
        <f t="shared" si="8"/>
        <v>-60</v>
      </c>
      <c r="L81" s="35"/>
      <c r="M81" s="37">
        <f t="shared" si="9"/>
        <v>0</v>
      </c>
      <c r="N81" s="211" t="s">
        <v>76</v>
      </c>
      <c r="O81" s="211" t="s">
        <v>76</v>
      </c>
      <c r="P81" s="212" t="s">
        <v>76</v>
      </c>
      <c r="Q81" s="213" t="s">
        <v>76</v>
      </c>
      <c r="R81" s="213" t="s">
        <v>76</v>
      </c>
    </row>
    <row r="82" spans="1:18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-6</v>
      </c>
      <c r="K82" s="35">
        <f t="shared" si="8"/>
        <v>-60</v>
      </c>
      <c r="L82" s="35"/>
      <c r="M82" s="37">
        <f t="shared" si="9"/>
        <v>0</v>
      </c>
      <c r="N82" s="211" t="s">
        <v>76</v>
      </c>
      <c r="O82" s="211" t="s">
        <v>76</v>
      </c>
      <c r="P82" s="212" t="s">
        <v>76</v>
      </c>
      <c r="Q82" s="213" t="s">
        <v>76</v>
      </c>
      <c r="R82" s="213" t="s">
        <v>76</v>
      </c>
    </row>
    <row r="83" spans="1:18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-6</v>
      </c>
      <c r="K83" s="35">
        <f t="shared" si="8"/>
        <v>-60</v>
      </c>
      <c r="L83" s="35"/>
      <c r="M83" s="37">
        <f t="shared" si="9"/>
        <v>0</v>
      </c>
      <c r="N83" s="211" t="s">
        <v>76</v>
      </c>
      <c r="O83" s="211" t="s">
        <v>76</v>
      </c>
      <c r="P83" s="212" t="s">
        <v>76</v>
      </c>
      <c r="Q83" s="213" t="s">
        <v>76</v>
      </c>
      <c r="R83" s="213" t="s">
        <v>76</v>
      </c>
    </row>
    <row r="84" spans="1:18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-6</v>
      </c>
      <c r="K84" s="35">
        <f t="shared" si="8"/>
        <v>-60</v>
      </c>
      <c r="L84" s="35"/>
      <c r="M84" s="37">
        <f t="shared" si="9"/>
        <v>0</v>
      </c>
      <c r="N84" s="211" t="s">
        <v>76</v>
      </c>
      <c r="O84" s="211" t="s">
        <v>76</v>
      </c>
      <c r="P84" s="212" t="s">
        <v>76</v>
      </c>
      <c r="Q84" s="213" t="s">
        <v>76</v>
      </c>
      <c r="R84" s="213" t="s">
        <v>76</v>
      </c>
    </row>
    <row r="85" spans="1:18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-6</v>
      </c>
      <c r="K85" s="35">
        <f t="shared" si="8"/>
        <v>-60</v>
      </c>
      <c r="L85" s="35"/>
      <c r="M85" s="37">
        <f t="shared" si="9"/>
        <v>0</v>
      </c>
      <c r="N85" s="211" t="s">
        <v>76</v>
      </c>
      <c r="O85" s="211" t="s">
        <v>76</v>
      </c>
      <c r="P85" s="212" t="s">
        <v>76</v>
      </c>
      <c r="Q85" s="213" t="s">
        <v>76</v>
      </c>
      <c r="R85" s="213" t="s">
        <v>76</v>
      </c>
    </row>
    <row r="86" spans="1:18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-6</v>
      </c>
      <c r="K86" s="35">
        <f t="shared" si="8"/>
        <v>-60</v>
      </c>
      <c r="L86" s="35"/>
      <c r="M86" s="37">
        <f t="shared" si="9"/>
        <v>0</v>
      </c>
      <c r="N86" s="211" t="s">
        <v>76</v>
      </c>
      <c r="O86" s="211" t="s">
        <v>76</v>
      </c>
      <c r="P86" s="212" t="s">
        <v>76</v>
      </c>
      <c r="Q86" s="213" t="s">
        <v>76</v>
      </c>
      <c r="R86" s="213" t="s">
        <v>76</v>
      </c>
    </row>
    <row r="87" spans="1:18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-6</v>
      </c>
      <c r="K87" s="35">
        <f t="shared" si="8"/>
        <v>-60</v>
      </c>
      <c r="L87" s="35"/>
      <c r="M87" s="37">
        <f t="shared" si="9"/>
        <v>0</v>
      </c>
      <c r="N87" s="211" t="s">
        <v>76</v>
      </c>
      <c r="O87" s="211" t="s">
        <v>76</v>
      </c>
      <c r="P87" s="212" t="s">
        <v>76</v>
      </c>
      <c r="Q87" s="213" t="s">
        <v>76</v>
      </c>
      <c r="R87" s="213" t="s">
        <v>76</v>
      </c>
    </row>
    <row r="88" spans="1:18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-6</v>
      </c>
      <c r="K88" s="35">
        <f t="shared" si="8"/>
        <v>-60</v>
      </c>
      <c r="L88" s="35"/>
      <c r="M88" s="37">
        <f t="shared" si="9"/>
        <v>0</v>
      </c>
      <c r="N88" s="211" t="s">
        <v>76</v>
      </c>
      <c r="O88" s="211" t="s">
        <v>76</v>
      </c>
      <c r="P88" s="212" t="s">
        <v>76</v>
      </c>
      <c r="Q88" s="213" t="s">
        <v>76</v>
      </c>
      <c r="R88" s="213" t="s">
        <v>76</v>
      </c>
    </row>
    <row r="89" spans="1:18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-6</v>
      </c>
      <c r="K89" s="35">
        <f t="shared" si="8"/>
        <v>-60</v>
      </c>
      <c r="L89" s="35"/>
      <c r="M89" s="37">
        <f t="shared" si="9"/>
        <v>0</v>
      </c>
      <c r="N89" s="211" t="s">
        <v>76</v>
      </c>
      <c r="O89" s="211" t="s">
        <v>76</v>
      </c>
      <c r="P89" s="212" t="s">
        <v>76</v>
      </c>
      <c r="Q89" s="213" t="s">
        <v>76</v>
      </c>
      <c r="R89" s="213" t="s">
        <v>76</v>
      </c>
    </row>
    <row r="90" spans="1:18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-6</v>
      </c>
      <c r="K90" s="35">
        <f t="shared" si="8"/>
        <v>-60</v>
      </c>
      <c r="L90" s="35"/>
      <c r="M90" s="37">
        <f t="shared" si="9"/>
        <v>0</v>
      </c>
      <c r="N90" s="211" t="s">
        <v>76</v>
      </c>
      <c r="O90" s="211" t="s">
        <v>76</v>
      </c>
      <c r="P90" s="212" t="s">
        <v>76</v>
      </c>
      <c r="Q90" s="213" t="s">
        <v>76</v>
      </c>
      <c r="R90" s="213" t="s">
        <v>76</v>
      </c>
    </row>
    <row r="91" spans="1:18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-6</v>
      </c>
      <c r="K91" s="35">
        <f t="shared" si="8"/>
        <v>-60</v>
      </c>
      <c r="L91" s="35"/>
      <c r="M91" s="37">
        <f t="shared" si="9"/>
        <v>0</v>
      </c>
      <c r="N91" s="211" t="s">
        <v>76</v>
      </c>
      <c r="O91" s="211" t="s">
        <v>76</v>
      </c>
      <c r="P91" s="212" t="s">
        <v>76</v>
      </c>
      <c r="Q91" s="213" t="s">
        <v>76</v>
      </c>
      <c r="R91" s="213" t="s">
        <v>76</v>
      </c>
    </row>
    <row r="92" spans="1:18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-6</v>
      </c>
      <c r="K92" s="35">
        <f t="shared" si="8"/>
        <v>-60</v>
      </c>
      <c r="L92" s="35"/>
      <c r="M92" s="37">
        <f t="shared" si="9"/>
        <v>0</v>
      </c>
      <c r="N92" s="211" t="s">
        <v>76</v>
      </c>
      <c r="O92" s="211" t="s">
        <v>76</v>
      </c>
      <c r="P92" s="212" t="s">
        <v>76</v>
      </c>
      <c r="Q92" s="213" t="s">
        <v>76</v>
      </c>
      <c r="R92" s="213" t="s">
        <v>76</v>
      </c>
    </row>
    <row r="93" spans="1:18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-6</v>
      </c>
      <c r="K93" s="35">
        <f t="shared" si="8"/>
        <v>-60</v>
      </c>
      <c r="L93" s="35"/>
      <c r="M93" s="37">
        <f t="shared" si="9"/>
        <v>0</v>
      </c>
      <c r="N93" s="211" t="s">
        <v>76</v>
      </c>
      <c r="O93" s="211" t="s">
        <v>76</v>
      </c>
      <c r="P93" s="212" t="s">
        <v>76</v>
      </c>
      <c r="Q93" s="213" t="s">
        <v>76</v>
      </c>
      <c r="R93" s="213" t="s">
        <v>76</v>
      </c>
    </row>
    <row r="94" spans="1:18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-6</v>
      </c>
      <c r="K94" s="35">
        <f t="shared" si="8"/>
        <v>-60</v>
      </c>
      <c r="L94" s="35"/>
      <c r="M94" s="37">
        <f t="shared" si="9"/>
        <v>0</v>
      </c>
      <c r="N94" s="211" t="s">
        <v>76</v>
      </c>
      <c r="O94" s="211" t="s">
        <v>76</v>
      </c>
      <c r="P94" s="212" t="s">
        <v>76</v>
      </c>
      <c r="Q94" s="213" t="s">
        <v>76</v>
      </c>
      <c r="R94" s="213" t="s">
        <v>76</v>
      </c>
    </row>
    <row r="95" spans="1:18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-6</v>
      </c>
      <c r="K95" s="35">
        <f t="shared" si="8"/>
        <v>-60</v>
      </c>
      <c r="L95" s="35"/>
      <c r="M95" s="37">
        <f t="shared" si="9"/>
        <v>0</v>
      </c>
      <c r="N95" s="211" t="s">
        <v>76</v>
      </c>
      <c r="O95" s="211" t="s">
        <v>76</v>
      </c>
      <c r="P95" s="212" t="s">
        <v>76</v>
      </c>
      <c r="Q95" s="213" t="s">
        <v>76</v>
      </c>
      <c r="R95" s="213" t="s">
        <v>76</v>
      </c>
    </row>
    <row r="96" spans="1:18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-6</v>
      </c>
      <c r="K96" s="35">
        <f t="shared" si="8"/>
        <v>-60</v>
      </c>
      <c r="L96" s="35"/>
      <c r="M96" s="37">
        <f t="shared" si="9"/>
        <v>0</v>
      </c>
      <c r="N96" s="211" t="s">
        <v>76</v>
      </c>
      <c r="O96" s="211" t="s">
        <v>76</v>
      </c>
      <c r="P96" s="212" t="s">
        <v>76</v>
      </c>
      <c r="Q96" s="213" t="s">
        <v>76</v>
      </c>
      <c r="R96" s="213" t="s">
        <v>76</v>
      </c>
    </row>
    <row r="97" spans="1:18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-6</v>
      </c>
      <c r="K97" s="35">
        <f t="shared" si="8"/>
        <v>-60</v>
      </c>
      <c r="L97" s="35"/>
      <c r="M97" s="37">
        <f t="shared" si="9"/>
        <v>0</v>
      </c>
      <c r="N97" s="211" t="s">
        <v>76</v>
      </c>
      <c r="O97" s="211" t="s">
        <v>76</v>
      </c>
      <c r="P97" s="212" t="s">
        <v>76</v>
      </c>
      <c r="Q97" s="213" t="s">
        <v>76</v>
      </c>
      <c r="R97" s="213" t="s">
        <v>76</v>
      </c>
    </row>
    <row r="98" spans="1:18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-6</v>
      </c>
      <c r="K98" s="35">
        <f t="shared" si="8"/>
        <v>-60</v>
      </c>
      <c r="L98" s="35"/>
      <c r="M98" s="37">
        <f t="shared" si="9"/>
        <v>0</v>
      </c>
      <c r="N98" s="211" t="s">
        <v>76</v>
      </c>
      <c r="O98" s="211" t="s">
        <v>76</v>
      </c>
      <c r="P98" s="212" t="s">
        <v>76</v>
      </c>
      <c r="Q98" s="213" t="s">
        <v>76</v>
      </c>
      <c r="R98" s="213" t="s">
        <v>76</v>
      </c>
    </row>
    <row r="99" spans="1:18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-6</v>
      </c>
      <c r="K99" s="35">
        <f t="shared" si="8"/>
        <v>-60</v>
      </c>
      <c r="L99" s="35"/>
      <c r="M99" s="37">
        <f t="shared" si="9"/>
        <v>0</v>
      </c>
      <c r="N99" s="211" t="s">
        <v>76</v>
      </c>
      <c r="O99" s="211" t="s">
        <v>76</v>
      </c>
      <c r="P99" s="212" t="s">
        <v>76</v>
      </c>
      <c r="Q99" s="213" t="s">
        <v>76</v>
      </c>
      <c r="R99" s="213" t="s">
        <v>76</v>
      </c>
    </row>
    <row r="100" spans="1:18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-6</v>
      </c>
      <c r="K100" s="35">
        <f t="shared" si="8"/>
        <v>-60</v>
      </c>
      <c r="L100" s="35"/>
      <c r="M100" s="37">
        <f t="shared" si="9"/>
        <v>0</v>
      </c>
      <c r="N100" s="211" t="s">
        <v>76</v>
      </c>
      <c r="O100" s="211" t="s">
        <v>76</v>
      </c>
      <c r="P100" s="212" t="s">
        <v>76</v>
      </c>
      <c r="Q100" s="213" t="s">
        <v>76</v>
      </c>
      <c r="R100" s="213" t="s">
        <v>76</v>
      </c>
    </row>
    <row r="101" spans="1:18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-6</v>
      </c>
      <c r="K101" s="35">
        <f t="shared" si="8"/>
        <v>-60</v>
      </c>
      <c r="L101" s="35"/>
      <c r="M101" s="37">
        <f t="shared" si="9"/>
        <v>0</v>
      </c>
      <c r="N101" s="211" t="s">
        <v>76</v>
      </c>
      <c r="O101" s="211" t="s">
        <v>76</v>
      </c>
      <c r="P101" s="212" t="s">
        <v>76</v>
      </c>
      <c r="Q101" s="213" t="s">
        <v>76</v>
      </c>
      <c r="R101" s="213" t="s">
        <v>76</v>
      </c>
    </row>
    <row r="102" spans="1:18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-6</v>
      </c>
      <c r="K102" s="35">
        <f t="shared" si="8"/>
        <v>-60</v>
      </c>
      <c r="L102" s="35"/>
      <c r="M102" s="37">
        <f t="shared" si="9"/>
        <v>0</v>
      </c>
      <c r="N102" s="211" t="s">
        <v>76</v>
      </c>
      <c r="O102" s="211" t="s">
        <v>76</v>
      </c>
      <c r="P102" s="212" t="s">
        <v>76</v>
      </c>
      <c r="Q102" s="213" t="s">
        <v>76</v>
      </c>
      <c r="R102" s="213" t="s">
        <v>76</v>
      </c>
    </row>
    <row r="103" spans="1:18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-6</v>
      </c>
      <c r="K103" s="35">
        <f t="shared" si="8"/>
        <v>-60</v>
      </c>
      <c r="L103" s="35"/>
      <c r="M103" s="37">
        <f t="shared" si="9"/>
        <v>0</v>
      </c>
      <c r="N103" s="211" t="s">
        <v>76</v>
      </c>
      <c r="O103" s="211" t="s">
        <v>76</v>
      </c>
      <c r="P103" s="212" t="s">
        <v>76</v>
      </c>
      <c r="Q103" s="213" t="s">
        <v>76</v>
      </c>
      <c r="R103" s="213" t="s">
        <v>76</v>
      </c>
    </row>
    <row r="104" spans="1:18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-6</v>
      </c>
      <c r="K104" s="35">
        <f t="shared" si="8"/>
        <v>-60</v>
      </c>
      <c r="L104" s="35"/>
      <c r="M104" s="37">
        <f t="shared" si="9"/>
        <v>0</v>
      </c>
      <c r="N104" s="211" t="s">
        <v>76</v>
      </c>
      <c r="O104" s="211" t="s">
        <v>76</v>
      </c>
      <c r="P104" s="212" t="s">
        <v>76</v>
      </c>
      <c r="Q104" s="213" t="s">
        <v>76</v>
      </c>
      <c r="R104" s="213" t="s">
        <v>76</v>
      </c>
    </row>
    <row r="105" spans="1:18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-6</v>
      </c>
      <c r="K105" s="35">
        <f t="shared" si="8"/>
        <v>-60</v>
      </c>
      <c r="L105" s="35"/>
      <c r="M105" s="37">
        <f t="shared" si="9"/>
        <v>0</v>
      </c>
      <c r="N105" s="211" t="s">
        <v>76</v>
      </c>
      <c r="O105" s="211" t="s">
        <v>76</v>
      </c>
      <c r="P105" s="212" t="s">
        <v>76</v>
      </c>
      <c r="Q105" s="213" t="s">
        <v>76</v>
      </c>
      <c r="R105" s="213" t="s">
        <v>76</v>
      </c>
    </row>
    <row r="106" spans="1:18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-6</v>
      </c>
      <c r="K106" s="35">
        <f t="shared" si="8"/>
        <v>-60</v>
      </c>
      <c r="L106" s="35"/>
      <c r="M106" s="37">
        <f t="shared" si="9"/>
        <v>0</v>
      </c>
      <c r="N106" s="211" t="s">
        <v>76</v>
      </c>
      <c r="O106" s="211" t="s">
        <v>76</v>
      </c>
      <c r="P106" s="212" t="s">
        <v>76</v>
      </c>
      <c r="Q106" s="213" t="s">
        <v>76</v>
      </c>
      <c r="R106" s="213" t="s">
        <v>76</v>
      </c>
    </row>
    <row r="107" spans="1:18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-6</v>
      </c>
      <c r="K107" s="35">
        <f t="shared" si="8"/>
        <v>-60</v>
      </c>
      <c r="L107" s="35"/>
      <c r="M107" s="37">
        <f t="shared" si="9"/>
        <v>0</v>
      </c>
      <c r="N107" s="211" t="s">
        <v>76</v>
      </c>
      <c r="O107" s="211" t="s">
        <v>76</v>
      </c>
      <c r="P107" s="212" t="s">
        <v>76</v>
      </c>
      <c r="Q107" s="213" t="s">
        <v>76</v>
      </c>
      <c r="R107" s="213" t="s">
        <v>76</v>
      </c>
    </row>
    <row r="108" spans="1:18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-6</v>
      </c>
      <c r="K108" s="35">
        <f t="shared" si="8"/>
        <v>-60</v>
      </c>
      <c r="L108" s="35"/>
      <c r="M108" s="37">
        <f t="shared" si="9"/>
        <v>0</v>
      </c>
      <c r="N108" s="211" t="s">
        <v>76</v>
      </c>
      <c r="O108" s="211" t="s">
        <v>76</v>
      </c>
      <c r="P108" s="212" t="s">
        <v>76</v>
      </c>
      <c r="Q108" s="213" t="s">
        <v>76</v>
      </c>
      <c r="R108" s="213" t="s">
        <v>76</v>
      </c>
    </row>
    <row r="109" spans="1:18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-6</v>
      </c>
      <c r="K109" s="35">
        <f t="shared" si="8"/>
        <v>-60</v>
      </c>
      <c r="L109" s="35"/>
      <c r="M109" s="37">
        <f t="shared" si="9"/>
        <v>0</v>
      </c>
      <c r="N109" s="211" t="s">
        <v>76</v>
      </c>
      <c r="O109" s="211" t="s">
        <v>76</v>
      </c>
      <c r="P109" s="212" t="s">
        <v>76</v>
      </c>
      <c r="Q109" s="213" t="s">
        <v>76</v>
      </c>
      <c r="R109" s="213" t="s">
        <v>76</v>
      </c>
    </row>
    <row r="110" spans="1:18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-6</v>
      </c>
      <c r="K110" s="35">
        <f t="shared" si="8"/>
        <v>-60</v>
      </c>
      <c r="L110" s="35"/>
      <c r="M110" s="37">
        <f t="shared" si="9"/>
        <v>0</v>
      </c>
      <c r="N110" s="211" t="s">
        <v>76</v>
      </c>
      <c r="O110" s="211" t="s">
        <v>76</v>
      </c>
      <c r="P110" s="212" t="s">
        <v>76</v>
      </c>
      <c r="Q110" s="213" t="s">
        <v>76</v>
      </c>
      <c r="R110" s="213" t="s">
        <v>76</v>
      </c>
    </row>
    <row r="111" spans="1:18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-6</v>
      </c>
      <c r="K111" s="35">
        <f t="shared" si="8"/>
        <v>-60</v>
      </c>
      <c r="L111" s="35"/>
      <c r="M111" s="37">
        <f t="shared" si="9"/>
        <v>0</v>
      </c>
      <c r="N111" s="211" t="s">
        <v>76</v>
      </c>
      <c r="O111" s="211" t="s">
        <v>76</v>
      </c>
      <c r="P111" s="212" t="s">
        <v>76</v>
      </c>
      <c r="Q111" s="213" t="s">
        <v>76</v>
      </c>
      <c r="R111" s="213" t="s">
        <v>76</v>
      </c>
    </row>
    <row r="112" spans="1:18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-6</v>
      </c>
      <c r="K112" s="35">
        <f t="shared" si="8"/>
        <v>-60</v>
      </c>
      <c r="L112" s="35"/>
      <c r="M112" s="37">
        <f t="shared" si="9"/>
        <v>0</v>
      </c>
      <c r="N112" s="211" t="s">
        <v>76</v>
      </c>
      <c r="O112" s="211" t="s">
        <v>76</v>
      </c>
      <c r="P112" s="212" t="s">
        <v>76</v>
      </c>
      <c r="Q112" s="213" t="s">
        <v>76</v>
      </c>
      <c r="R112" s="213" t="s">
        <v>76</v>
      </c>
    </row>
    <row r="113" spans="1:18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-6</v>
      </c>
      <c r="K113" s="35">
        <f t="shared" si="8"/>
        <v>-60</v>
      </c>
      <c r="L113" s="35"/>
      <c r="M113" s="37">
        <f t="shared" si="9"/>
        <v>0</v>
      </c>
      <c r="N113" s="211" t="s">
        <v>76</v>
      </c>
      <c r="O113" s="211" t="s">
        <v>76</v>
      </c>
      <c r="P113" s="212" t="s">
        <v>76</v>
      </c>
      <c r="Q113" s="213" t="s">
        <v>76</v>
      </c>
      <c r="R113" s="213" t="s">
        <v>76</v>
      </c>
    </row>
    <row r="114" spans="1:18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-6</v>
      </c>
      <c r="K114" s="35">
        <f t="shared" si="8"/>
        <v>-60</v>
      </c>
      <c r="L114" s="35"/>
      <c r="M114" s="37">
        <f t="shared" si="9"/>
        <v>0</v>
      </c>
      <c r="N114" s="211" t="s">
        <v>76</v>
      </c>
      <c r="O114" s="211" t="s">
        <v>76</v>
      </c>
      <c r="P114" s="212" t="s">
        <v>76</v>
      </c>
      <c r="Q114" s="213" t="s">
        <v>76</v>
      </c>
      <c r="R114" s="213" t="s">
        <v>76</v>
      </c>
    </row>
    <row r="115" spans="1:18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-6</v>
      </c>
      <c r="K115" s="35">
        <f t="shared" si="8"/>
        <v>-60</v>
      </c>
      <c r="L115" s="35"/>
      <c r="M115" s="37">
        <f t="shared" si="9"/>
        <v>0</v>
      </c>
      <c r="N115" s="211" t="s">
        <v>76</v>
      </c>
      <c r="O115" s="211" t="s">
        <v>76</v>
      </c>
      <c r="P115" s="212" t="s">
        <v>76</v>
      </c>
      <c r="Q115" s="213" t="s">
        <v>76</v>
      </c>
      <c r="R115" s="213" t="s">
        <v>76</v>
      </c>
    </row>
    <row r="116" spans="1:18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-6</v>
      </c>
      <c r="K116" s="35">
        <f t="shared" si="8"/>
        <v>-60</v>
      </c>
      <c r="L116" s="35"/>
      <c r="M116" s="37">
        <f t="shared" si="9"/>
        <v>0</v>
      </c>
      <c r="N116" s="211" t="s">
        <v>76</v>
      </c>
      <c r="O116" s="211" t="s">
        <v>76</v>
      </c>
      <c r="P116" s="212" t="s">
        <v>76</v>
      </c>
      <c r="Q116" s="213" t="s">
        <v>76</v>
      </c>
      <c r="R116" s="213" t="s">
        <v>76</v>
      </c>
    </row>
    <row r="117" spans="1:18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-6</v>
      </c>
      <c r="K117" s="35">
        <f t="shared" si="8"/>
        <v>-60</v>
      </c>
      <c r="L117" s="35"/>
      <c r="M117" s="37">
        <f t="shared" si="9"/>
        <v>0</v>
      </c>
      <c r="N117" s="211" t="s">
        <v>76</v>
      </c>
      <c r="O117" s="211" t="s">
        <v>76</v>
      </c>
      <c r="P117" s="212" t="s">
        <v>76</v>
      </c>
      <c r="Q117" s="213" t="s">
        <v>76</v>
      </c>
      <c r="R117" s="213" t="s">
        <v>76</v>
      </c>
    </row>
    <row r="118" spans="1:18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-6</v>
      </c>
      <c r="K118" s="35">
        <f t="shared" si="8"/>
        <v>-60</v>
      </c>
      <c r="L118" s="35"/>
      <c r="M118" s="37">
        <f t="shared" si="9"/>
        <v>0</v>
      </c>
      <c r="N118" s="211" t="s">
        <v>76</v>
      </c>
      <c r="O118" s="211" t="s">
        <v>76</v>
      </c>
      <c r="P118" s="212" t="s">
        <v>76</v>
      </c>
      <c r="Q118" s="213" t="s">
        <v>76</v>
      </c>
      <c r="R118" s="213" t="s">
        <v>76</v>
      </c>
    </row>
    <row r="119" spans="1:18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-6</v>
      </c>
      <c r="K119" s="35">
        <f t="shared" si="8"/>
        <v>-60</v>
      </c>
      <c r="L119" s="35"/>
      <c r="M119" s="37">
        <f t="shared" si="9"/>
        <v>0</v>
      </c>
      <c r="N119" s="211" t="s">
        <v>76</v>
      </c>
      <c r="O119" s="211" t="s">
        <v>76</v>
      </c>
      <c r="P119" s="212" t="s">
        <v>76</v>
      </c>
      <c r="Q119" s="213" t="s">
        <v>76</v>
      </c>
      <c r="R119" s="213" t="s">
        <v>76</v>
      </c>
    </row>
    <row r="120" spans="1:18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-6</v>
      </c>
      <c r="K120" s="35">
        <f t="shared" si="8"/>
        <v>-60</v>
      </c>
      <c r="L120" s="35"/>
      <c r="M120" s="37">
        <f t="shared" si="9"/>
        <v>0</v>
      </c>
      <c r="N120" s="211" t="s">
        <v>76</v>
      </c>
      <c r="O120" s="211" t="s">
        <v>76</v>
      </c>
      <c r="P120" s="212" t="s">
        <v>76</v>
      </c>
      <c r="Q120" s="213" t="s">
        <v>76</v>
      </c>
      <c r="R120" s="213" t="s">
        <v>76</v>
      </c>
    </row>
    <row r="121" spans="1:18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-6</v>
      </c>
      <c r="K121" s="35">
        <f t="shared" si="8"/>
        <v>-60</v>
      </c>
      <c r="L121" s="35"/>
      <c r="M121" s="37">
        <f t="shared" si="9"/>
        <v>0</v>
      </c>
      <c r="N121" s="211" t="s">
        <v>76</v>
      </c>
      <c r="O121" s="211" t="s">
        <v>76</v>
      </c>
      <c r="P121" s="212" t="s">
        <v>76</v>
      </c>
      <c r="Q121" s="213" t="s">
        <v>76</v>
      </c>
      <c r="R121" s="213" t="s">
        <v>76</v>
      </c>
    </row>
    <row r="122" spans="1:18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-6</v>
      </c>
      <c r="K122" s="35">
        <f t="shared" si="8"/>
        <v>-60</v>
      </c>
      <c r="L122" s="35"/>
      <c r="M122" s="37">
        <f t="shared" si="9"/>
        <v>0</v>
      </c>
      <c r="N122" s="211" t="s">
        <v>76</v>
      </c>
      <c r="O122" s="211" t="s">
        <v>76</v>
      </c>
      <c r="P122" s="212" t="s">
        <v>76</v>
      </c>
      <c r="Q122" s="213" t="s">
        <v>76</v>
      </c>
      <c r="R122" s="213" t="s">
        <v>76</v>
      </c>
    </row>
    <row r="123" spans="1:18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-6</v>
      </c>
      <c r="K123" s="35">
        <f t="shared" si="8"/>
        <v>-60</v>
      </c>
      <c r="L123" s="35"/>
      <c r="M123" s="37">
        <f t="shared" si="9"/>
        <v>0</v>
      </c>
      <c r="N123" s="211" t="s">
        <v>76</v>
      </c>
      <c r="O123" s="211" t="s">
        <v>76</v>
      </c>
      <c r="P123" s="212" t="s">
        <v>76</v>
      </c>
      <c r="Q123" s="213" t="s">
        <v>76</v>
      </c>
      <c r="R123" s="213" t="s">
        <v>76</v>
      </c>
    </row>
    <row r="124" spans="1:18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-6</v>
      </c>
      <c r="K124" s="35">
        <f t="shared" si="8"/>
        <v>-60</v>
      </c>
      <c r="L124" s="35"/>
      <c r="M124" s="37">
        <f t="shared" si="9"/>
        <v>0</v>
      </c>
      <c r="N124" s="211" t="s">
        <v>76</v>
      </c>
      <c r="O124" s="211" t="s">
        <v>76</v>
      </c>
      <c r="P124" s="212" t="s">
        <v>76</v>
      </c>
      <c r="Q124" s="213" t="s">
        <v>76</v>
      </c>
      <c r="R124" s="213" t="s">
        <v>76</v>
      </c>
    </row>
    <row r="125" spans="1:18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-6</v>
      </c>
      <c r="K125" s="35">
        <f t="shared" si="8"/>
        <v>-60</v>
      </c>
      <c r="L125" s="35"/>
      <c r="M125" s="37">
        <f t="shared" si="9"/>
        <v>0</v>
      </c>
      <c r="N125" s="211" t="s">
        <v>76</v>
      </c>
      <c r="O125" s="211" t="s">
        <v>76</v>
      </c>
      <c r="P125" s="212" t="s">
        <v>76</v>
      </c>
      <c r="Q125" s="213" t="s">
        <v>76</v>
      </c>
      <c r="R125" s="213" t="s">
        <v>76</v>
      </c>
    </row>
    <row r="126" spans="1:18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-6</v>
      </c>
      <c r="K126" s="35">
        <f t="shared" si="8"/>
        <v>-60</v>
      </c>
      <c r="L126" s="35"/>
      <c r="M126" s="37">
        <f t="shared" si="9"/>
        <v>0</v>
      </c>
      <c r="N126" s="211" t="s">
        <v>76</v>
      </c>
      <c r="O126" s="211" t="s">
        <v>76</v>
      </c>
      <c r="P126" s="212" t="s">
        <v>76</v>
      </c>
      <c r="Q126" s="213" t="s">
        <v>76</v>
      </c>
      <c r="R126" s="213" t="s">
        <v>76</v>
      </c>
    </row>
    <row r="127" spans="1:18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-6</v>
      </c>
      <c r="K127" s="35">
        <f t="shared" si="8"/>
        <v>-60</v>
      </c>
      <c r="L127" s="35"/>
      <c r="M127" s="37">
        <f t="shared" si="9"/>
        <v>0</v>
      </c>
      <c r="N127" s="211" t="s">
        <v>76</v>
      </c>
      <c r="O127" s="211" t="s">
        <v>76</v>
      </c>
      <c r="P127" s="212" t="s">
        <v>76</v>
      </c>
      <c r="Q127" s="213" t="s">
        <v>76</v>
      </c>
      <c r="R127" s="213" t="s">
        <v>76</v>
      </c>
    </row>
    <row r="128" spans="1:18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-6</v>
      </c>
      <c r="K128" s="35">
        <f t="shared" si="8"/>
        <v>-60</v>
      </c>
      <c r="L128" s="35"/>
      <c r="M128" s="37">
        <f t="shared" si="9"/>
        <v>0</v>
      </c>
      <c r="N128" s="211" t="s">
        <v>76</v>
      </c>
      <c r="O128" s="211" t="s">
        <v>76</v>
      </c>
      <c r="P128" s="212" t="s">
        <v>76</v>
      </c>
      <c r="Q128" s="213" t="s">
        <v>76</v>
      </c>
      <c r="R128" s="213" t="s">
        <v>76</v>
      </c>
    </row>
    <row r="129" spans="1:18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-6</v>
      </c>
      <c r="K129" s="35">
        <f t="shared" si="8"/>
        <v>-60</v>
      </c>
      <c r="L129" s="35"/>
      <c r="M129" s="37">
        <f t="shared" si="9"/>
        <v>0</v>
      </c>
      <c r="N129" s="211" t="s">
        <v>76</v>
      </c>
      <c r="O129" s="211" t="s">
        <v>76</v>
      </c>
      <c r="P129" s="212" t="s">
        <v>76</v>
      </c>
      <c r="Q129" s="213" t="s">
        <v>76</v>
      </c>
      <c r="R129" s="213" t="s">
        <v>76</v>
      </c>
    </row>
    <row r="130" spans="1:18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-6</v>
      </c>
      <c r="K130" s="35">
        <f t="shared" si="8"/>
        <v>-60</v>
      </c>
      <c r="L130" s="35"/>
      <c r="M130" s="37">
        <f t="shared" si="9"/>
        <v>0</v>
      </c>
      <c r="N130" s="211" t="s">
        <v>76</v>
      </c>
      <c r="O130" s="211" t="s">
        <v>76</v>
      </c>
      <c r="P130" s="212" t="s">
        <v>76</v>
      </c>
      <c r="Q130" s="213" t="s">
        <v>76</v>
      </c>
      <c r="R130" s="213" t="s">
        <v>76</v>
      </c>
    </row>
    <row r="131" spans="1:18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-6</v>
      </c>
      <c r="K131" s="35">
        <f t="shared" si="8"/>
        <v>-60</v>
      </c>
      <c r="L131" s="35"/>
      <c r="M131" s="37">
        <f t="shared" si="9"/>
        <v>0</v>
      </c>
      <c r="N131" s="211" t="s">
        <v>76</v>
      </c>
      <c r="O131" s="211" t="s">
        <v>76</v>
      </c>
      <c r="P131" s="212" t="s">
        <v>76</v>
      </c>
      <c r="Q131" s="213" t="s">
        <v>76</v>
      </c>
      <c r="R131" s="213" t="s">
        <v>76</v>
      </c>
    </row>
    <row r="132" spans="1:18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-6</v>
      </c>
      <c r="K132" s="35">
        <f t="shared" si="8"/>
        <v>-60</v>
      </c>
      <c r="L132" s="35"/>
      <c r="M132" s="37">
        <f t="shared" si="9"/>
        <v>0</v>
      </c>
      <c r="N132" s="211" t="s">
        <v>76</v>
      </c>
      <c r="O132" s="211" t="s">
        <v>76</v>
      </c>
      <c r="P132" s="212" t="s">
        <v>76</v>
      </c>
      <c r="Q132" s="213" t="s">
        <v>76</v>
      </c>
      <c r="R132" s="213" t="s">
        <v>76</v>
      </c>
    </row>
    <row r="133" spans="1:18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-6</v>
      </c>
      <c r="K133" s="35">
        <f t="shared" si="8"/>
        <v>-60</v>
      </c>
      <c r="L133" s="35"/>
      <c r="M133" s="37">
        <f t="shared" si="9"/>
        <v>0</v>
      </c>
      <c r="N133" s="211" t="s">
        <v>76</v>
      </c>
      <c r="O133" s="211" t="s">
        <v>76</v>
      </c>
      <c r="P133" s="212" t="s">
        <v>76</v>
      </c>
      <c r="Q133" s="213" t="s">
        <v>76</v>
      </c>
      <c r="R133" s="213" t="s">
        <v>76</v>
      </c>
    </row>
    <row r="134" spans="1:18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-7</v>
      </c>
      <c r="K134" s="35">
        <f t="shared" ref="K134:K197" si="12">J134*$J$2</f>
        <v>-70</v>
      </c>
      <c r="L134" s="35"/>
      <c r="M134" s="37">
        <f t="shared" ref="M134:M197" si="13">IF(I134&lt;&gt;"",K134+I134+L134,0)</f>
        <v>0</v>
      </c>
      <c r="N134" s="211" t="s">
        <v>76</v>
      </c>
      <c r="O134" s="211" t="s">
        <v>76</v>
      </c>
      <c r="P134" s="212" t="s">
        <v>76</v>
      </c>
      <c r="Q134" s="213" t="s">
        <v>76</v>
      </c>
      <c r="R134" s="213" t="s">
        <v>76</v>
      </c>
    </row>
    <row r="135" spans="1:18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-7</v>
      </c>
      <c r="K135" s="35">
        <f t="shared" si="12"/>
        <v>-70</v>
      </c>
      <c r="L135" s="35"/>
      <c r="M135" s="37">
        <f t="shared" si="13"/>
        <v>0</v>
      </c>
      <c r="N135" s="211" t="s">
        <v>76</v>
      </c>
      <c r="O135" s="211" t="s">
        <v>76</v>
      </c>
      <c r="P135" s="212" t="s">
        <v>76</v>
      </c>
      <c r="Q135" s="213" t="s">
        <v>76</v>
      </c>
      <c r="R135" s="213" t="s">
        <v>76</v>
      </c>
    </row>
    <row r="136" spans="1:18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-7</v>
      </c>
      <c r="K136" s="35">
        <f t="shared" si="12"/>
        <v>-70</v>
      </c>
      <c r="L136" s="35"/>
      <c r="M136" s="37">
        <f t="shared" si="13"/>
        <v>0</v>
      </c>
      <c r="N136" s="211" t="s">
        <v>76</v>
      </c>
      <c r="O136" s="211" t="s">
        <v>76</v>
      </c>
      <c r="P136" s="212" t="s">
        <v>76</v>
      </c>
      <c r="Q136" s="213" t="s">
        <v>76</v>
      </c>
      <c r="R136" s="213" t="s">
        <v>76</v>
      </c>
    </row>
    <row r="137" spans="1:18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-7</v>
      </c>
      <c r="K137" s="35">
        <f t="shared" si="12"/>
        <v>-70</v>
      </c>
      <c r="L137" s="35"/>
      <c r="M137" s="37">
        <f t="shared" si="13"/>
        <v>0</v>
      </c>
      <c r="N137" s="211" t="s">
        <v>76</v>
      </c>
      <c r="O137" s="211" t="s">
        <v>76</v>
      </c>
      <c r="P137" s="212" t="s">
        <v>76</v>
      </c>
      <c r="Q137" s="213" t="s">
        <v>76</v>
      </c>
      <c r="R137" s="213" t="s">
        <v>76</v>
      </c>
    </row>
    <row r="138" spans="1:18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-7</v>
      </c>
      <c r="K138" s="35">
        <f t="shared" si="12"/>
        <v>-70</v>
      </c>
      <c r="L138" s="35"/>
      <c r="M138" s="37">
        <f t="shared" si="13"/>
        <v>0</v>
      </c>
      <c r="N138" s="211" t="s">
        <v>76</v>
      </c>
      <c r="O138" s="211" t="s">
        <v>76</v>
      </c>
      <c r="P138" s="212" t="s">
        <v>76</v>
      </c>
      <c r="Q138" s="213" t="s">
        <v>76</v>
      </c>
      <c r="R138" s="213" t="s">
        <v>76</v>
      </c>
    </row>
    <row r="139" spans="1:18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-7</v>
      </c>
      <c r="K139" s="35">
        <f t="shared" si="12"/>
        <v>-70</v>
      </c>
      <c r="L139" s="35"/>
      <c r="M139" s="37">
        <f t="shared" si="13"/>
        <v>0</v>
      </c>
      <c r="N139" s="211" t="s">
        <v>76</v>
      </c>
      <c r="O139" s="211" t="s">
        <v>76</v>
      </c>
      <c r="P139" s="212" t="s">
        <v>76</v>
      </c>
      <c r="Q139" s="213" t="s">
        <v>76</v>
      </c>
      <c r="R139" s="213" t="s">
        <v>76</v>
      </c>
    </row>
    <row r="140" spans="1:18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-7</v>
      </c>
      <c r="K140" s="35">
        <f t="shared" si="12"/>
        <v>-70</v>
      </c>
      <c r="L140" s="35"/>
      <c r="M140" s="37">
        <f t="shared" si="13"/>
        <v>0</v>
      </c>
      <c r="N140" s="211" t="s">
        <v>76</v>
      </c>
      <c r="O140" s="211" t="s">
        <v>76</v>
      </c>
      <c r="P140" s="212" t="s">
        <v>76</v>
      </c>
      <c r="Q140" s="213" t="s">
        <v>76</v>
      </c>
      <c r="R140" s="213" t="s">
        <v>76</v>
      </c>
    </row>
    <row r="141" spans="1:18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-7</v>
      </c>
      <c r="K141" s="35">
        <f t="shared" si="12"/>
        <v>-70</v>
      </c>
      <c r="L141" s="35"/>
      <c r="M141" s="37">
        <f t="shared" si="13"/>
        <v>0</v>
      </c>
      <c r="N141" s="211" t="s">
        <v>76</v>
      </c>
      <c r="O141" s="211" t="s">
        <v>76</v>
      </c>
      <c r="P141" s="212" t="s">
        <v>76</v>
      </c>
      <c r="Q141" s="213" t="s">
        <v>76</v>
      </c>
      <c r="R141" s="213" t="s">
        <v>76</v>
      </c>
    </row>
    <row r="142" spans="1:18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-7</v>
      </c>
      <c r="K142" s="35">
        <f t="shared" si="12"/>
        <v>-70</v>
      </c>
      <c r="L142" s="35"/>
      <c r="M142" s="37">
        <f t="shared" si="13"/>
        <v>0</v>
      </c>
      <c r="N142" s="211" t="s">
        <v>76</v>
      </c>
      <c r="O142" s="211" t="s">
        <v>76</v>
      </c>
      <c r="P142" s="212" t="s">
        <v>76</v>
      </c>
      <c r="Q142" s="213" t="s">
        <v>76</v>
      </c>
      <c r="R142" s="213" t="s">
        <v>76</v>
      </c>
    </row>
    <row r="143" spans="1:18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-7</v>
      </c>
      <c r="K143" s="35">
        <f t="shared" si="12"/>
        <v>-70</v>
      </c>
      <c r="L143" s="35"/>
      <c r="M143" s="37">
        <f t="shared" si="13"/>
        <v>0</v>
      </c>
      <c r="N143" s="211" t="s">
        <v>76</v>
      </c>
      <c r="O143" s="211" t="s">
        <v>76</v>
      </c>
      <c r="P143" s="212" t="s">
        <v>76</v>
      </c>
      <c r="Q143" s="213" t="s">
        <v>76</v>
      </c>
      <c r="R143" s="213" t="s">
        <v>76</v>
      </c>
    </row>
    <row r="144" spans="1:18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-7</v>
      </c>
      <c r="K144" s="35">
        <f t="shared" si="12"/>
        <v>-70</v>
      </c>
      <c r="L144" s="35"/>
      <c r="M144" s="37">
        <f t="shared" si="13"/>
        <v>0</v>
      </c>
      <c r="N144" s="211" t="s">
        <v>76</v>
      </c>
      <c r="O144" s="211" t="s">
        <v>76</v>
      </c>
      <c r="P144" s="212" t="s">
        <v>76</v>
      </c>
      <c r="Q144" s="213" t="s">
        <v>76</v>
      </c>
      <c r="R144" s="213" t="s">
        <v>76</v>
      </c>
    </row>
    <row r="145" spans="1:18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-7</v>
      </c>
      <c r="K145" s="35">
        <f t="shared" si="12"/>
        <v>-70</v>
      </c>
      <c r="L145" s="35"/>
      <c r="M145" s="37">
        <f t="shared" si="13"/>
        <v>0</v>
      </c>
      <c r="N145" s="211" t="s">
        <v>76</v>
      </c>
      <c r="O145" s="211" t="s">
        <v>76</v>
      </c>
      <c r="P145" s="212" t="s">
        <v>76</v>
      </c>
      <c r="Q145" s="213" t="s">
        <v>76</v>
      </c>
      <c r="R145" s="213" t="s">
        <v>76</v>
      </c>
    </row>
    <row r="146" spans="1:18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-7</v>
      </c>
      <c r="K146" s="35">
        <f t="shared" si="12"/>
        <v>-70</v>
      </c>
      <c r="L146" s="35"/>
      <c r="M146" s="37">
        <f t="shared" si="13"/>
        <v>0</v>
      </c>
      <c r="N146" s="211" t="s">
        <v>76</v>
      </c>
      <c r="O146" s="211" t="s">
        <v>76</v>
      </c>
      <c r="P146" s="212" t="s">
        <v>76</v>
      </c>
      <c r="Q146" s="213" t="s">
        <v>76</v>
      </c>
      <c r="R146" s="213" t="s">
        <v>76</v>
      </c>
    </row>
    <row r="147" spans="1:18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-7</v>
      </c>
      <c r="K147" s="35">
        <f t="shared" si="12"/>
        <v>-70</v>
      </c>
      <c r="L147" s="35"/>
      <c r="M147" s="37">
        <f t="shared" si="13"/>
        <v>0</v>
      </c>
      <c r="N147" s="211" t="s">
        <v>76</v>
      </c>
      <c r="O147" s="211" t="s">
        <v>76</v>
      </c>
      <c r="P147" s="212" t="s">
        <v>76</v>
      </c>
      <c r="Q147" s="213" t="s">
        <v>76</v>
      </c>
      <c r="R147" s="213" t="s">
        <v>76</v>
      </c>
    </row>
    <row r="148" spans="1:18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-7</v>
      </c>
      <c r="K148" s="35">
        <f t="shared" si="12"/>
        <v>-70</v>
      </c>
      <c r="L148" s="35"/>
      <c r="M148" s="37">
        <f t="shared" si="13"/>
        <v>0</v>
      </c>
      <c r="N148" s="211" t="s">
        <v>76</v>
      </c>
      <c r="O148" s="211" t="s">
        <v>76</v>
      </c>
      <c r="P148" s="212" t="s">
        <v>76</v>
      </c>
      <c r="Q148" s="213" t="s">
        <v>76</v>
      </c>
      <c r="R148" s="213" t="s">
        <v>76</v>
      </c>
    </row>
    <row r="149" spans="1:18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-7</v>
      </c>
      <c r="K149" s="35">
        <f t="shared" si="12"/>
        <v>-70</v>
      </c>
      <c r="L149" s="35"/>
      <c r="M149" s="37">
        <f t="shared" si="13"/>
        <v>0</v>
      </c>
      <c r="N149" s="211" t="s">
        <v>76</v>
      </c>
      <c r="O149" s="211" t="s">
        <v>76</v>
      </c>
      <c r="P149" s="212" t="s">
        <v>76</v>
      </c>
      <c r="Q149" s="213" t="s">
        <v>76</v>
      </c>
      <c r="R149" s="213" t="s">
        <v>76</v>
      </c>
    </row>
    <row r="150" spans="1:18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-7</v>
      </c>
      <c r="K150" s="35">
        <f t="shared" si="12"/>
        <v>-70</v>
      </c>
      <c r="L150" s="35"/>
      <c r="M150" s="37">
        <f t="shared" si="13"/>
        <v>0</v>
      </c>
      <c r="N150" s="211" t="s">
        <v>76</v>
      </c>
      <c r="O150" s="211" t="s">
        <v>76</v>
      </c>
      <c r="P150" s="212" t="s">
        <v>76</v>
      </c>
      <c r="Q150" s="213" t="s">
        <v>76</v>
      </c>
      <c r="R150" s="213" t="s">
        <v>76</v>
      </c>
    </row>
    <row r="151" spans="1:18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-7</v>
      </c>
      <c r="K151" s="35">
        <f t="shared" si="12"/>
        <v>-70</v>
      </c>
      <c r="L151" s="35"/>
      <c r="M151" s="37">
        <f t="shared" si="13"/>
        <v>0</v>
      </c>
      <c r="N151" s="211" t="s">
        <v>76</v>
      </c>
      <c r="O151" s="211" t="s">
        <v>76</v>
      </c>
      <c r="P151" s="212" t="s">
        <v>76</v>
      </c>
      <c r="Q151" s="213" t="s">
        <v>76</v>
      </c>
      <c r="R151" s="213" t="s">
        <v>76</v>
      </c>
    </row>
    <row r="152" spans="1:18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-7</v>
      </c>
      <c r="K152" s="35">
        <f t="shared" si="12"/>
        <v>-70</v>
      </c>
      <c r="L152" s="35"/>
      <c r="M152" s="37">
        <f t="shared" si="13"/>
        <v>0</v>
      </c>
      <c r="N152" s="211" t="s">
        <v>76</v>
      </c>
      <c r="O152" s="211" t="s">
        <v>76</v>
      </c>
      <c r="P152" s="212" t="s">
        <v>76</v>
      </c>
      <c r="Q152" s="213" t="s">
        <v>76</v>
      </c>
      <c r="R152" s="213" t="s">
        <v>76</v>
      </c>
    </row>
    <row r="153" spans="1:18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-7</v>
      </c>
      <c r="K153" s="35">
        <f t="shared" si="12"/>
        <v>-70</v>
      </c>
      <c r="L153" s="35"/>
      <c r="M153" s="37">
        <f t="shared" si="13"/>
        <v>0</v>
      </c>
      <c r="N153" s="211" t="s">
        <v>76</v>
      </c>
      <c r="O153" s="211" t="s">
        <v>76</v>
      </c>
      <c r="P153" s="212" t="s">
        <v>76</v>
      </c>
      <c r="Q153" s="213" t="s">
        <v>76</v>
      </c>
      <c r="R153" s="213" t="s">
        <v>76</v>
      </c>
    </row>
    <row r="154" spans="1:18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-7</v>
      </c>
      <c r="K154" s="35">
        <f t="shared" si="12"/>
        <v>-70</v>
      </c>
      <c r="L154" s="35"/>
      <c r="M154" s="37">
        <f t="shared" si="13"/>
        <v>0</v>
      </c>
      <c r="N154" s="211" t="s">
        <v>76</v>
      </c>
      <c r="O154" s="211" t="s">
        <v>76</v>
      </c>
      <c r="P154" s="212" t="s">
        <v>76</v>
      </c>
      <c r="Q154" s="213" t="s">
        <v>76</v>
      </c>
      <c r="R154" s="213" t="s">
        <v>76</v>
      </c>
    </row>
    <row r="155" spans="1:18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-7</v>
      </c>
      <c r="K155" s="35">
        <f t="shared" si="12"/>
        <v>-70</v>
      </c>
      <c r="L155" s="35"/>
      <c r="M155" s="37">
        <f t="shared" si="13"/>
        <v>0</v>
      </c>
      <c r="N155" s="211" t="s">
        <v>76</v>
      </c>
      <c r="O155" s="211" t="s">
        <v>76</v>
      </c>
      <c r="P155" s="212" t="s">
        <v>76</v>
      </c>
      <c r="Q155" s="213" t="s">
        <v>76</v>
      </c>
      <c r="R155" s="213" t="s">
        <v>76</v>
      </c>
    </row>
    <row r="156" spans="1:18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-7</v>
      </c>
      <c r="K156" s="35">
        <f t="shared" si="12"/>
        <v>-70</v>
      </c>
      <c r="L156" s="35"/>
      <c r="M156" s="37">
        <f t="shared" si="13"/>
        <v>0</v>
      </c>
      <c r="N156" s="211" t="s">
        <v>76</v>
      </c>
      <c r="O156" s="211" t="s">
        <v>76</v>
      </c>
      <c r="P156" s="212" t="s">
        <v>76</v>
      </c>
      <c r="Q156" s="213" t="s">
        <v>76</v>
      </c>
      <c r="R156" s="213" t="s">
        <v>76</v>
      </c>
    </row>
    <row r="157" spans="1:18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-7</v>
      </c>
      <c r="K157" s="35">
        <f t="shared" si="12"/>
        <v>-70</v>
      </c>
      <c r="L157" s="35"/>
      <c r="M157" s="37">
        <f t="shared" si="13"/>
        <v>0</v>
      </c>
      <c r="N157" s="211" t="s">
        <v>76</v>
      </c>
      <c r="O157" s="211" t="s">
        <v>76</v>
      </c>
      <c r="P157" s="212" t="s">
        <v>76</v>
      </c>
      <c r="Q157" s="213" t="s">
        <v>76</v>
      </c>
      <c r="R157" s="213" t="s">
        <v>76</v>
      </c>
    </row>
    <row r="158" spans="1:18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-7</v>
      </c>
      <c r="K158" s="35">
        <f t="shared" si="12"/>
        <v>-70</v>
      </c>
      <c r="L158" s="35"/>
      <c r="M158" s="37">
        <f t="shared" si="13"/>
        <v>0</v>
      </c>
      <c r="N158" s="211" t="s">
        <v>76</v>
      </c>
      <c r="O158" s="211" t="s">
        <v>76</v>
      </c>
      <c r="P158" s="212" t="s">
        <v>76</v>
      </c>
      <c r="Q158" s="213" t="s">
        <v>76</v>
      </c>
      <c r="R158" s="213" t="s">
        <v>76</v>
      </c>
    </row>
    <row r="159" spans="1:18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-7</v>
      </c>
      <c r="K159" s="35">
        <f t="shared" si="12"/>
        <v>-70</v>
      </c>
      <c r="L159" s="35"/>
      <c r="M159" s="37">
        <f t="shared" si="13"/>
        <v>0</v>
      </c>
      <c r="N159" s="211" t="s">
        <v>76</v>
      </c>
      <c r="O159" s="211" t="s">
        <v>76</v>
      </c>
      <c r="P159" s="212" t="s">
        <v>76</v>
      </c>
      <c r="Q159" s="213" t="s">
        <v>76</v>
      </c>
      <c r="R159" s="213" t="s">
        <v>76</v>
      </c>
    </row>
    <row r="160" spans="1:18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-7</v>
      </c>
      <c r="K160" s="35">
        <f t="shared" si="12"/>
        <v>-70</v>
      </c>
      <c r="L160" s="35"/>
      <c r="M160" s="37">
        <f t="shared" si="13"/>
        <v>0</v>
      </c>
      <c r="N160" s="211" t="s">
        <v>76</v>
      </c>
      <c r="O160" s="211" t="s">
        <v>76</v>
      </c>
      <c r="P160" s="212" t="s">
        <v>76</v>
      </c>
      <c r="Q160" s="213" t="s">
        <v>76</v>
      </c>
      <c r="R160" s="213" t="s">
        <v>76</v>
      </c>
    </row>
    <row r="161" spans="1:18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-7</v>
      </c>
      <c r="K161" s="35">
        <f t="shared" si="12"/>
        <v>-70</v>
      </c>
      <c r="L161" s="35"/>
      <c r="M161" s="37">
        <f t="shared" si="13"/>
        <v>0</v>
      </c>
      <c r="N161" s="211" t="s">
        <v>76</v>
      </c>
      <c r="O161" s="211" t="s">
        <v>76</v>
      </c>
      <c r="P161" s="212" t="s">
        <v>76</v>
      </c>
      <c r="Q161" s="213" t="s">
        <v>76</v>
      </c>
      <c r="R161" s="213" t="s">
        <v>76</v>
      </c>
    </row>
    <row r="162" spans="1:18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-7</v>
      </c>
      <c r="K162" s="35">
        <f t="shared" si="12"/>
        <v>-70</v>
      </c>
      <c r="L162" s="35"/>
      <c r="M162" s="37">
        <f t="shared" si="13"/>
        <v>0</v>
      </c>
      <c r="N162" s="211" t="s">
        <v>76</v>
      </c>
      <c r="O162" s="211" t="s">
        <v>76</v>
      </c>
      <c r="P162" s="212" t="s">
        <v>76</v>
      </c>
      <c r="Q162" s="213" t="s">
        <v>76</v>
      </c>
      <c r="R162" s="213" t="s">
        <v>76</v>
      </c>
    </row>
    <row r="163" spans="1:18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-7</v>
      </c>
      <c r="K163" s="35">
        <f t="shared" si="12"/>
        <v>-70</v>
      </c>
      <c r="L163" s="35"/>
      <c r="M163" s="37">
        <f t="shared" si="13"/>
        <v>0</v>
      </c>
      <c r="N163" s="211" t="s">
        <v>76</v>
      </c>
      <c r="O163" s="211" t="s">
        <v>76</v>
      </c>
      <c r="P163" s="212" t="s">
        <v>76</v>
      </c>
      <c r="Q163" s="213" t="s">
        <v>76</v>
      </c>
      <c r="R163" s="213" t="s">
        <v>76</v>
      </c>
    </row>
    <row r="164" spans="1:18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-7</v>
      </c>
      <c r="K164" s="35">
        <f t="shared" si="12"/>
        <v>-70</v>
      </c>
      <c r="L164" s="35"/>
      <c r="M164" s="37">
        <f t="shared" si="13"/>
        <v>0</v>
      </c>
      <c r="N164" s="211" t="s">
        <v>76</v>
      </c>
      <c r="O164" s="211" t="s">
        <v>76</v>
      </c>
      <c r="P164" s="212" t="s">
        <v>76</v>
      </c>
      <c r="Q164" s="213" t="s">
        <v>76</v>
      </c>
      <c r="R164" s="213" t="s">
        <v>76</v>
      </c>
    </row>
    <row r="165" spans="1:18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-7</v>
      </c>
      <c r="K165" s="35">
        <f t="shared" si="12"/>
        <v>-70</v>
      </c>
      <c r="L165" s="35"/>
      <c r="M165" s="37">
        <f t="shared" si="13"/>
        <v>0</v>
      </c>
      <c r="N165" s="211" t="s">
        <v>76</v>
      </c>
      <c r="O165" s="211" t="s">
        <v>76</v>
      </c>
      <c r="P165" s="212" t="s">
        <v>76</v>
      </c>
      <c r="Q165" s="213" t="s">
        <v>76</v>
      </c>
      <c r="R165" s="213" t="s">
        <v>76</v>
      </c>
    </row>
    <row r="166" spans="1:18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-7</v>
      </c>
      <c r="K166" s="35">
        <f t="shared" si="12"/>
        <v>-70</v>
      </c>
      <c r="L166" s="35"/>
      <c r="M166" s="37">
        <f t="shared" si="13"/>
        <v>0</v>
      </c>
      <c r="N166" s="211" t="s">
        <v>76</v>
      </c>
      <c r="O166" s="211" t="s">
        <v>76</v>
      </c>
      <c r="P166" s="212" t="s">
        <v>76</v>
      </c>
      <c r="Q166" s="213" t="s">
        <v>76</v>
      </c>
      <c r="R166" s="213" t="s">
        <v>76</v>
      </c>
    </row>
    <row r="167" spans="1:18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-7</v>
      </c>
      <c r="K167" s="35">
        <f t="shared" si="12"/>
        <v>-70</v>
      </c>
      <c r="L167" s="35"/>
      <c r="M167" s="37">
        <f t="shared" si="13"/>
        <v>0</v>
      </c>
      <c r="N167" s="211" t="s">
        <v>76</v>
      </c>
      <c r="O167" s="211" t="s">
        <v>76</v>
      </c>
      <c r="P167" s="212" t="s">
        <v>76</v>
      </c>
      <c r="Q167" s="213" t="s">
        <v>76</v>
      </c>
      <c r="R167" s="213" t="s">
        <v>76</v>
      </c>
    </row>
    <row r="168" spans="1:18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-7</v>
      </c>
      <c r="K168" s="35">
        <f t="shared" si="12"/>
        <v>-70</v>
      </c>
      <c r="L168" s="35"/>
      <c r="M168" s="37">
        <f t="shared" si="13"/>
        <v>0</v>
      </c>
      <c r="N168" s="211" t="s">
        <v>76</v>
      </c>
      <c r="O168" s="211" t="s">
        <v>76</v>
      </c>
      <c r="P168" s="212" t="s">
        <v>76</v>
      </c>
      <c r="Q168" s="213" t="s">
        <v>76</v>
      </c>
      <c r="R168" s="213" t="s">
        <v>76</v>
      </c>
    </row>
    <row r="169" spans="1:18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-7</v>
      </c>
      <c r="K169" s="35">
        <f t="shared" si="12"/>
        <v>-70</v>
      </c>
      <c r="L169" s="35"/>
      <c r="M169" s="37">
        <f t="shared" si="13"/>
        <v>0</v>
      </c>
      <c r="N169" s="211" t="s">
        <v>76</v>
      </c>
      <c r="O169" s="211" t="s">
        <v>76</v>
      </c>
      <c r="P169" s="212" t="s">
        <v>76</v>
      </c>
      <c r="Q169" s="213" t="s">
        <v>76</v>
      </c>
      <c r="R169" s="213" t="s">
        <v>76</v>
      </c>
    </row>
    <row r="170" spans="1:18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-7</v>
      </c>
      <c r="K170" s="35">
        <f t="shared" si="12"/>
        <v>-70</v>
      </c>
      <c r="L170" s="35"/>
      <c r="M170" s="37">
        <f t="shared" si="13"/>
        <v>0</v>
      </c>
      <c r="N170" s="211" t="s">
        <v>76</v>
      </c>
      <c r="O170" s="211" t="s">
        <v>76</v>
      </c>
      <c r="P170" s="212" t="s">
        <v>76</v>
      </c>
      <c r="Q170" s="213" t="s">
        <v>76</v>
      </c>
      <c r="R170" s="213" t="s">
        <v>76</v>
      </c>
    </row>
    <row r="171" spans="1:18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-7</v>
      </c>
      <c r="K171" s="35">
        <f t="shared" si="12"/>
        <v>-70</v>
      </c>
      <c r="L171" s="35"/>
      <c r="M171" s="37">
        <f t="shared" si="13"/>
        <v>0</v>
      </c>
      <c r="N171" s="211" t="s">
        <v>76</v>
      </c>
      <c r="O171" s="211" t="s">
        <v>76</v>
      </c>
      <c r="P171" s="212" t="s">
        <v>76</v>
      </c>
      <c r="Q171" s="213" t="s">
        <v>76</v>
      </c>
      <c r="R171" s="213" t="s">
        <v>76</v>
      </c>
    </row>
    <row r="172" spans="1:18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-7</v>
      </c>
      <c r="K172" s="35">
        <f t="shared" si="12"/>
        <v>-70</v>
      </c>
      <c r="L172" s="35"/>
      <c r="M172" s="37">
        <f t="shared" si="13"/>
        <v>0</v>
      </c>
      <c r="N172" s="211" t="s">
        <v>76</v>
      </c>
      <c r="O172" s="211" t="s">
        <v>76</v>
      </c>
      <c r="P172" s="212" t="s">
        <v>76</v>
      </c>
      <c r="Q172" s="213" t="s">
        <v>76</v>
      </c>
      <c r="R172" s="213" t="s">
        <v>76</v>
      </c>
    </row>
    <row r="173" spans="1:18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-7</v>
      </c>
      <c r="K173" s="35">
        <f t="shared" si="12"/>
        <v>-70</v>
      </c>
      <c r="L173" s="35"/>
      <c r="M173" s="37">
        <f t="shared" si="13"/>
        <v>0</v>
      </c>
      <c r="N173" s="211" t="s">
        <v>76</v>
      </c>
      <c r="O173" s="211" t="s">
        <v>76</v>
      </c>
      <c r="P173" s="212" t="s">
        <v>76</v>
      </c>
      <c r="Q173" s="213" t="s">
        <v>76</v>
      </c>
      <c r="R173" s="213" t="s">
        <v>76</v>
      </c>
    </row>
    <row r="174" spans="1:18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-7</v>
      </c>
      <c r="K174" s="35">
        <f t="shared" si="12"/>
        <v>-70</v>
      </c>
      <c r="L174" s="35"/>
      <c r="M174" s="37">
        <f t="shared" si="13"/>
        <v>0</v>
      </c>
      <c r="N174" s="211" t="s">
        <v>76</v>
      </c>
      <c r="O174" s="211" t="s">
        <v>76</v>
      </c>
      <c r="P174" s="212" t="s">
        <v>76</v>
      </c>
      <c r="Q174" s="213" t="s">
        <v>76</v>
      </c>
      <c r="R174" s="213" t="s">
        <v>76</v>
      </c>
    </row>
    <row r="175" spans="1:18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-7</v>
      </c>
      <c r="K175" s="35">
        <f t="shared" si="12"/>
        <v>-70</v>
      </c>
      <c r="L175" s="35"/>
      <c r="M175" s="37">
        <f t="shared" si="13"/>
        <v>0</v>
      </c>
      <c r="N175" s="211" t="s">
        <v>76</v>
      </c>
      <c r="O175" s="211" t="s">
        <v>76</v>
      </c>
      <c r="P175" s="212" t="s">
        <v>76</v>
      </c>
      <c r="Q175" s="213" t="s">
        <v>76</v>
      </c>
      <c r="R175" s="213" t="s">
        <v>76</v>
      </c>
    </row>
    <row r="176" spans="1:18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-7</v>
      </c>
      <c r="K176" s="35">
        <f t="shared" si="12"/>
        <v>-70</v>
      </c>
      <c r="L176" s="35"/>
      <c r="M176" s="37">
        <f t="shared" si="13"/>
        <v>0</v>
      </c>
      <c r="N176" s="211" t="s">
        <v>76</v>
      </c>
      <c r="O176" s="211" t="s">
        <v>76</v>
      </c>
      <c r="P176" s="212" t="s">
        <v>76</v>
      </c>
      <c r="Q176" s="213" t="s">
        <v>76</v>
      </c>
      <c r="R176" s="213" t="s">
        <v>76</v>
      </c>
    </row>
    <row r="177" spans="1:18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-7</v>
      </c>
      <c r="K177" s="35">
        <f t="shared" si="12"/>
        <v>-70</v>
      </c>
      <c r="L177" s="35"/>
      <c r="M177" s="37">
        <f t="shared" si="13"/>
        <v>0</v>
      </c>
      <c r="N177" s="211" t="s">
        <v>76</v>
      </c>
      <c r="O177" s="211" t="s">
        <v>76</v>
      </c>
      <c r="P177" s="212" t="s">
        <v>76</v>
      </c>
      <c r="Q177" s="213" t="s">
        <v>76</v>
      </c>
      <c r="R177" s="213" t="s">
        <v>76</v>
      </c>
    </row>
    <row r="178" spans="1:18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-7</v>
      </c>
      <c r="K178" s="35">
        <f t="shared" si="12"/>
        <v>-70</v>
      </c>
      <c r="L178" s="35"/>
      <c r="M178" s="37">
        <f t="shared" si="13"/>
        <v>0</v>
      </c>
      <c r="N178" s="211" t="s">
        <v>76</v>
      </c>
      <c r="O178" s="211" t="s">
        <v>76</v>
      </c>
      <c r="P178" s="212" t="s">
        <v>76</v>
      </c>
      <c r="Q178" s="213" t="s">
        <v>76</v>
      </c>
      <c r="R178" s="213" t="s">
        <v>76</v>
      </c>
    </row>
    <row r="179" spans="1:18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-7</v>
      </c>
      <c r="K179" s="35">
        <f t="shared" si="12"/>
        <v>-70</v>
      </c>
      <c r="L179" s="35"/>
      <c r="M179" s="37">
        <f t="shared" si="13"/>
        <v>0</v>
      </c>
      <c r="N179" s="211" t="s">
        <v>76</v>
      </c>
      <c r="O179" s="211" t="s">
        <v>76</v>
      </c>
      <c r="P179" s="212" t="s">
        <v>76</v>
      </c>
      <c r="Q179" s="213" t="s">
        <v>76</v>
      </c>
      <c r="R179" s="213" t="s">
        <v>76</v>
      </c>
    </row>
    <row r="180" spans="1:18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-7</v>
      </c>
      <c r="K180" s="35">
        <f t="shared" si="12"/>
        <v>-70</v>
      </c>
      <c r="L180" s="35"/>
      <c r="M180" s="37">
        <f t="shared" si="13"/>
        <v>0</v>
      </c>
      <c r="N180" s="211" t="s">
        <v>76</v>
      </c>
      <c r="O180" s="211" t="s">
        <v>76</v>
      </c>
      <c r="P180" s="212" t="s">
        <v>76</v>
      </c>
      <c r="Q180" s="213" t="s">
        <v>76</v>
      </c>
      <c r="R180" s="213" t="s">
        <v>76</v>
      </c>
    </row>
    <row r="181" spans="1:18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-7</v>
      </c>
      <c r="K181" s="35">
        <f t="shared" si="12"/>
        <v>-70</v>
      </c>
      <c r="L181" s="35"/>
      <c r="M181" s="37">
        <f t="shared" si="13"/>
        <v>0</v>
      </c>
      <c r="N181" s="211" t="s">
        <v>76</v>
      </c>
      <c r="O181" s="211" t="s">
        <v>76</v>
      </c>
      <c r="P181" s="212" t="s">
        <v>76</v>
      </c>
      <c r="Q181" s="213" t="s">
        <v>76</v>
      </c>
      <c r="R181" s="213" t="s">
        <v>76</v>
      </c>
    </row>
    <row r="182" spans="1:18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-7</v>
      </c>
      <c r="K182" s="35">
        <f t="shared" si="12"/>
        <v>-70</v>
      </c>
      <c r="L182" s="35"/>
      <c r="M182" s="37">
        <f t="shared" si="13"/>
        <v>0</v>
      </c>
      <c r="N182" s="211" t="s">
        <v>76</v>
      </c>
      <c r="O182" s="211" t="s">
        <v>76</v>
      </c>
      <c r="P182" s="212" t="s">
        <v>76</v>
      </c>
      <c r="Q182" s="213" t="s">
        <v>76</v>
      </c>
      <c r="R182" s="213" t="s">
        <v>76</v>
      </c>
    </row>
    <row r="183" spans="1:18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-7</v>
      </c>
      <c r="K183" s="35">
        <f t="shared" si="12"/>
        <v>-70</v>
      </c>
      <c r="L183" s="35"/>
      <c r="M183" s="37">
        <f t="shared" si="13"/>
        <v>0</v>
      </c>
      <c r="N183" s="211" t="s">
        <v>76</v>
      </c>
      <c r="O183" s="211" t="s">
        <v>76</v>
      </c>
      <c r="P183" s="212" t="s">
        <v>76</v>
      </c>
      <c r="Q183" s="213" t="s">
        <v>76</v>
      </c>
      <c r="R183" s="213" t="s">
        <v>76</v>
      </c>
    </row>
    <row r="184" spans="1:18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-7</v>
      </c>
      <c r="K184" s="35">
        <f t="shared" si="12"/>
        <v>-70</v>
      </c>
      <c r="L184" s="35"/>
      <c r="M184" s="37">
        <f t="shared" si="13"/>
        <v>0</v>
      </c>
      <c r="N184" s="211" t="s">
        <v>76</v>
      </c>
      <c r="O184" s="211" t="s">
        <v>76</v>
      </c>
      <c r="P184" s="212" t="s">
        <v>76</v>
      </c>
      <c r="Q184" s="213" t="s">
        <v>76</v>
      </c>
      <c r="R184" s="213" t="s">
        <v>76</v>
      </c>
    </row>
    <row r="185" spans="1:18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-7</v>
      </c>
      <c r="K185" s="35">
        <f t="shared" si="12"/>
        <v>-70</v>
      </c>
      <c r="L185" s="35"/>
      <c r="M185" s="37">
        <f t="shared" si="13"/>
        <v>0</v>
      </c>
      <c r="N185" s="211" t="s">
        <v>76</v>
      </c>
      <c r="O185" s="211" t="s">
        <v>76</v>
      </c>
      <c r="P185" s="212" t="s">
        <v>76</v>
      </c>
      <c r="Q185" s="213" t="s">
        <v>76</v>
      </c>
      <c r="R185" s="213" t="s">
        <v>76</v>
      </c>
    </row>
    <row r="186" spans="1:18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-7</v>
      </c>
      <c r="K186" s="35">
        <f t="shared" si="12"/>
        <v>-70</v>
      </c>
      <c r="L186" s="35"/>
      <c r="M186" s="37">
        <f t="shared" si="13"/>
        <v>0</v>
      </c>
      <c r="N186" s="211" t="s">
        <v>76</v>
      </c>
      <c r="O186" s="211" t="s">
        <v>76</v>
      </c>
      <c r="P186" s="212" t="s">
        <v>76</v>
      </c>
      <c r="Q186" s="213" t="s">
        <v>76</v>
      </c>
      <c r="R186" s="213" t="s">
        <v>76</v>
      </c>
    </row>
    <row r="187" spans="1:18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-7</v>
      </c>
      <c r="K187" s="35">
        <f t="shared" si="12"/>
        <v>-70</v>
      </c>
      <c r="L187" s="35"/>
      <c r="M187" s="37">
        <f t="shared" si="13"/>
        <v>0</v>
      </c>
      <c r="N187" s="211" t="s">
        <v>76</v>
      </c>
      <c r="O187" s="211" t="s">
        <v>76</v>
      </c>
      <c r="P187" s="212" t="s">
        <v>76</v>
      </c>
      <c r="Q187" s="213" t="s">
        <v>76</v>
      </c>
      <c r="R187" s="213" t="s">
        <v>76</v>
      </c>
    </row>
    <row r="188" spans="1:18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-7</v>
      </c>
      <c r="K188" s="35">
        <f t="shared" si="12"/>
        <v>-70</v>
      </c>
      <c r="L188" s="35"/>
      <c r="M188" s="37">
        <f t="shared" si="13"/>
        <v>0</v>
      </c>
      <c r="N188" s="211" t="s">
        <v>76</v>
      </c>
      <c r="O188" s="211" t="s">
        <v>76</v>
      </c>
      <c r="P188" s="212" t="s">
        <v>76</v>
      </c>
      <c r="Q188" s="213" t="s">
        <v>76</v>
      </c>
      <c r="R188" s="213" t="s">
        <v>76</v>
      </c>
    </row>
    <row r="189" spans="1:18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-7</v>
      </c>
      <c r="K189" s="35">
        <f t="shared" si="12"/>
        <v>-70</v>
      </c>
      <c r="L189" s="35"/>
      <c r="M189" s="37">
        <f t="shared" si="13"/>
        <v>0</v>
      </c>
      <c r="N189" s="211" t="s">
        <v>76</v>
      </c>
      <c r="O189" s="211" t="s">
        <v>76</v>
      </c>
      <c r="P189" s="212" t="s">
        <v>76</v>
      </c>
      <c r="Q189" s="213" t="s">
        <v>76</v>
      </c>
      <c r="R189" s="213" t="s">
        <v>76</v>
      </c>
    </row>
    <row r="190" spans="1:18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-7</v>
      </c>
      <c r="K190" s="35">
        <f t="shared" si="12"/>
        <v>-70</v>
      </c>
      <c r="L190" s="35"/>
      <c r="M190" s="37">
        <f t="shared" si="13"/>
        <v>0</v>
      </c>
      <c r="N190" s="211" t="s">
        <v>76</v>
      </c>
      <c r="O190" s="211" t="s">
        <v>76</v>
      </c>
      <c r="P190" s="212" t="s">
        <v>76</v>
      </c>
      <c r="Q190" s="213" t="s">
        <v>76</v>
      </c>
      <c r="R190" s="213" t="s">
        <v>76</v>
      </c>
    </row>
    <row r="191" spans="1:18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-7</v>
      </c>
      <c r="K191" s="35">
        <f t="shared" si="12"/>
        <v>-70</v>
      </c>
      <c r="L191" s="35"/>
      <c r="M191" s="37">
        <f t="shared" si="13"/>
        <v>0</v>
      </c>
      <c r="N191" s="211" t="s">
        <v>76</v>
      </c>
      <c r="O191" s="211" t="s">
        <v>76</v>
      </c>
      <c r="P191" s="212" t="s">
        <v>76</v>
      </c>
      <c r="Q191" s="213" t="s">
        <v>76</v>
      </c>
      <c r="R191" s="213" t="s">
        <v>76</v>
      </c>
    </row>
    <row r="192" spans="1:18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-7</v>
      </c>
      <c r="K192" s="35">
        <f t="shared" si="12"/>
        <v>-70</v>
      </c>
      <c r="L192" s="35"/>
      <c r="M192" s="37">
        <f t="shared" si="13"/>
        <v>0</v>
      </c>
      <c r="N192" s="211" t="s">
        <v>76</v>
      </c>
      <c r="O192" s="211" t="s">
        <v>76</v>
      </c>
      <c r="P192" s="212" t="s">
        <v>76</v>
      </c>
      <c r="Q192" s="213" t="s">
        <v>76</v>
      </c>
      <c r="R192" s="213" t="s">
        <v>76</v>
      </c>
    </row>
    <row r="193" spans="1:18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-7</v>
      </c>
      <c r="K193" s="35">
        <f t="shared" si="12"/>
        <v>-70</v>
      </c>
      <c r="L193" s="35"/>
      <c r="M193" s="37">
        <f t="shared" si="13"/>
        <v>0</v>
      </c>
      <c r="N193" s="211" t="s">
        <v>76</v>
      </c>
      <c r="O193" s="211" t="s">
        <v>76</v>
      </c>
      <c r="P193" s="212" t="s">
        <v>76</v>
      </c>
      <c r="Q193" s="213" t="s">
        <v>76</v>
      </c>
      <c r="R193" s="213" t="s">
        <v>76</v>
      </c>
    </row>
    <row r="194" spans="1:18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-7</v>
      </c>
      <c r="K194" s="35">
        <f t="shared" si="12"/>
        <v>-70</v>
      </c>
      <c r="L194" s="35"/>
      <c r="M194" s="37">
        <f t="shared" si="13"/>
        <v>0</v>
      </c>
      <c r="N194" s="211" t="s">
        <v>76</v>
      </c>
      <c r="O194" s="211" t="s">
        <v>76</v>
      </c>
      <c r="P194" s="212" t="s">
        <v>76</v>
      </c>
      <c r="Q194" s="213" t="s">
        <v>76</v>
      </c>
      <c r="R194" s="213" t="s">
        <v>76</v>
      </c>
    </row>
    <row r="195" spans="1:18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-7</v>
      </c>
      <c r="K195" s="35">
        <f t="shared" si="12"/>
        <v>-70</v>
      </c>
      <c r="L195" s="35"/>
      <c r="M195" s="37">
        <f t="shared" si="13"/>
        <v>0</v>
      </c>
      <c r="N195" s="211" t="s">
        <v>76</v>
      </c>
      <c r="O195" s="211" t="s">
        <v>76</v>
      </c>
      <c r="P195" s="212" t="s">
        <v>76</v>
      </c>
      <c r="Q195" s="213" t="s">
        <v>76</v>
      </c>
      <c r="R195" s="213" t="s">
        <v>76</v>
      </c>
    </row>
    <row r="196" spans="1:18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-7</v>
      </c>
      <c r="K196" s="35">
        <f t="shared" si="12"/>
        <v>-70</v>
      </c>
      <c r="L196" s="35"/>
      <c r="M196" s="37">
        <f t="shared" si="13"/>
        <v>0</v>
      </c>
      <c r="N196" s="211" t="s">
        <v>76</v>
      </c>
      <c r="O196" s="211" t="s">
        <v>76</v>
      </c>
      <c r="P196" s="212" t="s">
        <v>76</v>
      </c>
      <c r="Q196" s="213" t="s">
        <v>76</v>
      </c>
      <c r="R196" s="213" t="s">
        <v>76</v>
      </c>
    </row>
    <row r="197" spans="1:18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-7</v>
      </c>
      <c r="K197" s="35">
        <f t="shared" si="12"/>
        <v>-70</v>
      </c>
      <c r="L197" s="35"/>
      <c r="M197" s="37">
        <f t="shared" si="13"/>
        <v>0</v>
      </c>
      <c r="N197" s="211" t="s">
        <v>76</v>
      </c>
      <c r="O197" s="211" t="s">
        <v>76</v>
      </c>
      <c r="P197" s="212" t="s">
        <v>76</v>
      </c>
      <c r="Q197" s="213" t="s">
        <v>76</v>
      </c>
      <c r="R197" s="213" t="s">
        <v>76</v>
      </c>
    </row>
    <row r="198" spans="1:18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-7</v>
      </c>
      <c r="K198" s="35">
        <f t="shared" ref="K198:K261" si="16">J198*$J$2</f>
        <v>-70</v>
      </c>
      <c r="L198" s="35"/>
      <c r="M198" s="37">
        <f t="shared" ref="M198:M261" si="17">IF(I198&lt;&gt;"",K198+I198+L198,0)</f>
        <v>0</v>
      </c>
      <c r="N198" s="211" t="s">
        <v>76</v>
      </c>
      <c r="O198" s="211" t="s">
        <v>76</v>
      </c>
      <c r="P198" s="212" t="s">
        <v>76</v>
      </c>
      <c r="Q198" s="213" t="s">
        <v>76</v>
      </c>
      <c r="R198" s="213" t="s">
        <v>76</v>
      </c>
    </row>
    <row r="199" spans="1:18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-7</v>
      </c>
      <c r="K199" s="35">
        <f t="shared" si="16"/>
        <v>-70</v>
      </c>
      <c r="L199" s="35"/>
      <c r="M199" s="37">
        <f t="shared" si="17"/>
        <v>0</v>
      </c>
      <c r="N199" s="211" t="s">
        <v>76</v>
      </c>
      <c r="O199" s="211" t="s">
        <v>76</v>
      </c>
      <c r="P199" s="212" t="s">
        <v>76</v>
      </c>
      <c r="Q199" s="213" t="s">
        <v>76</v>
      </c>
      <c r="R199" s="213" t="s">
        <v>76</v>
      </c>
    </row>
    <row r="200" spans="1:18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-7</v>
      </c>
      <c r="K200" s="35">
        <f t="shared" si="16"/>
        <v>-70</v>
      </c>
      <c r="L200" s="35"/>
      <c r="M200" s="37">
        <f t="shared" si="17"/>
        <v>0</v>
      </c>
      <c r="N200" s="211" t="s">
        <v>76</v>
      </c>
      <c r="O200" s="211" t="s">
        <v>76</v>
      </c>
      <c r="P200" s="212" t="s">
        <v>76</v>
      </c>
      <c r="Q200" s="213" t="s">
        <v>76</v>
      </c>
      <c r="R200" s="213" t="s">
        <v>76</v>
      </c>
    </row>
    <row r="201" spans="1:18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-7</v>
      </c>
      <c r="K201" s="35">
        <f t="shared" si="16"/>
        <v>-70</v>
      </c>
      <c r="L201" s="35"/>
      <c r="M201" s="37">
        <f t="shared" si="17"/>
        <v>0</v>
      </c>
      <c r="N201" s="211" t="s">
        <v>76</v>
      </c>
      <c r="O201" s="211" t="s">
        <v>76</v>
      </c>
      <c r="P201" s="212" t="s">
        <v>76</v>
      </c>
      <c r="Q201" s="213" t="s">
        <v>76</v>
      </c>
      <c r="R201" s="213" t="s">
        <v>76</v>
      </c>
    </row>
    <row r="202" spans="1:18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-7</v>
      </c>
      <c r="K202" s="35">
        <f t="shared" si="16"/>
        <v>-70</v>
      </c>
      <c r="L202" s="35"/>
      <c r="M202" s="37">
        <f t="shared" si="17"/>
        <v>0</v>
      </c>
      <c r="N202" s="211" t="s">
        <v>76</v>
      </c>
      <c r="O202" s="211" t="s">
        <v>76</v>
      </c>
      <c r="P202" s="212" t="s">
        <v>76</v>
      </c>
      <c r="Q202" s="213" t="s">
        <v>76</v>
      </c>
      <c r="R202" s="213" t="s">
        <v>76</v>
      </c>
    </row>
    <row r="203" spans="1:18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-7</v>
      </c>
      <c r="K203" s="35">
        <f t="shared" si="16"/>
        <v>-70</v>
      </c>
      <c r="L203" s="35"/>
      <c r="M203" s="37">
        <f t="shared" si="17"/>
        <v>0</v>
      </c>
      <c r="N203" s="211" t="s">
        <v>76</v>
      </c>
      <c r="O203" s="211" t="s">
        <v>76</v>
      </c>
      <c r="P203" s="212" t="s">
        <v>76</v>
      </c>
      <c r="Q203" s="213" t="s">
        <v>76</v>
      </c>
      <c r="R203" s="213" t="s">
        <v>76</v>
      </c>
    </row>
    <row r="204" spans="1:18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-7</v>
      </c>
      <c r="K204" s="35">
        <f t="shared" si="16"/>
        <v>-70</v>
      </c>
      <c r="L204" s="35"/>
      <c r="M204" s="37">
        <f t="shared" si="17"/>
        <v>0</v>
      </c>
      <c r="N204" s="211" t="s">
        <v>76</v>
      </c>
      <c r="O204" s="211" t="s">
        <v>76</v>
      </c>
      <c r="P204" s="212" t="s">
        <v>76</v>
      </c>
      <c r="Q204" s="213" t="s">
        <v>76</v>
      </c>
      <c r="R204" s="213" t="s">
        <v>76</v>
      </c>
    </row>
    <row r="205" spans="1:18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-7</v>
      </c>
      <c r="K205" s="35">
        <f t="shared" si="16"/>
        <v>-70</v>
      </c>
      <c r="L205" s="35"/>
      <c r="M205" s="37">
        <f t="shared" si="17"/>
        <v>0</v>
      </c>
      <c r="N205" s="211" t="s">
        <v>76</v>
      </c>
      <c r="O205" s="211" t="s">
        <v>76</v>
      </c>
      <c r="P205" s="212" t="s">
        <v>76</v>
      </c>
      <c r="Q205" s="213" t="s">
        <v>76</v>
      </c>
      <c r="R205" s="213" t="s">
        <v>76</v>
      </c>
    </row>
    <row r="206" spans="1:18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-7</v>
      </c>
      <c r="K206" s="35">
        <f t="shared" si="16"/>
        <v>-70</v>
      </c>
      <c r="L206" s="35"/>
      <c r="M206" s="37">
        <f t="shared" si="17"/>
        <v>0</v>
      </c>
      <c r="N206" s="211" t="s">
        <v>76</v>
      </c>
      <c r="O206" s="211" t="s">
        <v>76</v>
      </c>
      <c r="P206" s="212" t="s">
        <v>76</v>
      </c>
      <c r="Q206" s="213" t="s">
        <v>76</v>
      </c>
      <c r="R206" s="213" t="s">
        <v>76</v>
      </c>
    </row>
    <row r="207" spans="1:18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-7</v>
      </c>
      <c r="K207" s="35">
        <f t="shared" si="16"/>
        <v>-70</v>
      </c>
      <c r="L207" s="35"/>
      <c r="M207" s="37">
        <f t="shared" si="17"/>
        <v>0</v>
      </c>
      <c r="N207" s="211" t="s">
        <v>76</v>
      </c>
      <c r="O207" s="211" t="s">
        <v>76</v>
      </c>
      <c r="P207" s="212" t="s">
        <v>76</v>
      </c>
      <c r="Q207" s="213" t="s">
        <v>76</v>
      </c>
      <c r="R207" s="213" t="s">
        <v>76</v>
      </c>
    </row>
    <row r="208" spans="1:18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-7</v>
      </c>
      <c r="K208" s="35">
        <f t="shared" si="16"/>
        <v>-70</v>
      </c>
      <c r="L208" s="35"/>
      <c r="M208" s="37">
        <f t="shared" si="17"/>
        <v>0</v>
      </c>
      <c r="N208" s="211" t="s">
        <v>76</v>
      </c>
      <c r="O208" s="211" t="s">
        <v>76</v>
      </c>
      <c r="P208" s="212" t="s">
        <v>76</v>
      </c>
      <c r="Q208" s="213" t="s">
        <v>76</v>
      </c>
      <c r="R208" s="213" t="s">
        <v>76</v>
      </c>
    </row>
    <row r="209" spans="1:18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-7</v>
      </c>
      <c r="K209" s="35">
        <f t="shared" si="16"/>
        <v>-70</v>
      </c>
      <c r="L209" s="35"/>
      <c r="M209" s="37">
        <f t="shared" si="17"/>
        <v>0</v>
      </c>
      <c r="N209" s="211" t="s">
        <v>76</v>
      </c>
      <c r="O209" s="211" t="s">
        <v>76</v>
      </c>
      <c r="P209" s="212" t="s">
        <v>76</v>
      </c>
      <c r="Q209" s="213" t="s">
        <v>76</v>
      </c>
      <c r="R209" s="213" t="s">
        <v>76</v>
      </c>
    </row>
    <row r="210" spans="1:18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-7</v>
      </c>
      <c r="K210" s="35">
        <f t="shared" si="16"/>
        <v>-70</v>
      </c>
      <c r="L210" s="35"/>
      <c r="M210" s="37">
        <f t="shared" si="17"/>
        <v>0</v>
      </c>
      <c r="N210" s="211" t="s">
        <v>76</v>
      </c>
      <c r="O210" s="211" t="s">
        <v>76</v>
      </c>
      <c r="P210" s="212" t="s">
        <v>76</v>
      </c>
      <c r="Q210" s="213" t="s">
        <v>76</v>
      </c>
      <c r="R210" s="213" t="s">
        <v>76</v>
      </c>
    </row>
    <row r="211" spans="1:18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-7</v>
      </c>
      <c r="K211" s="35">
        <f t="shared" si="16"/>
        <v>-70</v>
      </c>
      <c r="L211" s="35"/>
      <c r="M211" s="37">
        <f t="shared" si="17"/>
        <v>0</v>
      </c>
      <c r="N211" s="211" t="s">
        <v>76</v>
      </c>
      <c r="O211" s="211" t="s">
        <v>76</v>
      </c>
      <c r="P211" s="212" t="s">
        <v>76</v>
      </c>
      <c r="Q211" s="213" t="s">
        <v>76</v>
      </c>
      <c r="R211" s="213" t="s">
        <v>76</v>
      </c>
    </row>
    <row r="212" spans="1:18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-7</v>
      </c>
      <c r="K212" s="35">
        <f t="shared" si="16"/>
        <v>-70</v>
      </c>
      <c r="L212" s="35"/>
      <c r="M212" s="37">
        <f t="shared" si="17"/>
        <v>0</v>
      </c>
      <c r="N212" s="211" t="s">
        <v>76</v>
      </c>
      <c r="O212" s="211" t="s">
        <v>76</v>
      </c>
      <c r="P212" s="212" t="s">
        <v>76</v>
      </c>
      <c r="Q212" s="213" t="s">
        <v>76</v>
      </c>
      <c r="R212" s="213" t="s">
        <v>76</v>
      </c>
    </row>
    <row r="213" spans="1:18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-7</v>
      </c>
      <c r="K213" s="35">
        <f t="shared" si="16"/>
        <v>-70</v>
      </c>
      <c r="L213" s="35"/>
      <c r="M213" s="37">
        <f t="shared" si="17"/>
        <v>0</v>
      </c>
      <c r="N213" s="211" t="s">
        <v>76</v>
      </c>
      <c r="O213" s="211" t="s">
        <v>76</v>
      </c>
      <c r="P213" s="212" t="s">
        <v>76</v>
      </c>
      <c r="Q213" s="213" t="s">
        <v>76</v>
      </c>
      <c r="R213" s="213" t="s">
        <v>76</v>
      </c>
    </row>
    <row r="214" spans="1:18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-7</v>
      </c>
      <c r="K214" s="35">
        <f t="shared" si="16"/>
        <v>-70</v>
      </c>
      <c r="L214" s="35"/>
      <c r="M214" s="37">
        <f t="shared" si="17"/>
        <v>0</v>
      </c>
      <c r="N214" s="211" t="s">
        <v>76</v>
      </c>
      <c r="O214" s="211" t="s">
        <v>76</v>
      </c>
      <c r="P214" s="212" t="s">
        <v>76</v>
      </c>
      <c r="Q214" s="213" t="s">
        <v>76</v>
      </c>
      <c r="R214" s="213" t="s">
        <v>76</v>
      </c>
    </row>
    <row r="215" spans="1:18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-7</v>
      </c>
      <c r="K215" s="35">
        <f t="shared" si="16"/>
        <v>-70</v>
      </c>
      <c r="L215" s="35"/>
      <c r="M215" s="37">
        <f t="shared" si="17"/>
        <v>0</v>
      </c>
      <c r="N215" s="211" t="s">
        <v>76</v>
      </c>
      <c r="O215" s="211" t="s">
        <v>76</v>
      </c>
      <c r="P215" s="212" t="s">
        <v>76</v>
      </c>
      <c r="Q215" s="213" t="s">
        <v>76</v>
      </c>
      <c r="R215" s="213" t="s">
        <v>76</v>
      </c>
    </row>
    <row r="216" spans="1:18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-7</v>
      </c>
      <c r="K216" s="35">
        <f t="shared" si="16"/>
        <v>-70</v>
      </c>
      <c r="L216" s="35"/>
      <c r="M216" s="37">
        <f t="shared" si="17"/>
        <v>0</v>
      </c>
      <c r="N216" s="211" t="s">
        <v>76</v>
      </c>
      <c r="O216" s="211" t="s">
        <v>76</v>
      </c>
      <c r="P216" s="212" t="s">
        <v>76</v>
      </c>
      <c r="Q216" s="213" t="s">
        <v>76</v>
      </c>
      <c r="R216" s="213" t="s">
        <v>76</v>
      </c>
    </row>
    <row r="217" spans="1:18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-7</v>
      </c>
      <c r="K217" s="35">
        <f t="shared" si="16"/>
        <v>-70</v>
      </c>
      <c r="L217" s="35"/>
      <c r="M217" s="37">
        <f t="shared" si="17"/>
        <v>0</v>
      </c>
      <c r="N217" s="211" t="s">
        <v>76</v>
      </c>
      <c r="O217" s="211" t="s">
        <v>76</v>
      </c>
      <c r="P217" s="212" t="s">
        <v>76</v>
      </c>
      <c r="Q217" s="213" t="s">
        <v>76</v>
      </c>
      <c r="R217" s="213" t="s">
        <v>76</v>
      </c>
    </row>
    <row r="218" spans="1:18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-7</v>
      </c>
      <c r="K218" s="35">
        <f t="shared" si="16"/>
        <v>-70</v>
      </c>
      <c r="L218" s="35"/>
      <c r="M218" s="37">
        <f t="shared" si="17"/>
        <v>0</v>
      </c>
      <c r="N218" s="211" t="s">
        <v>76</v>
      </c>
      <c r="O218" s="211" t="s">
        <v>76</v>
      </c>
      <c r="P218" s="212" t="s">
        <v>76</v>
      </c>
      <c r="Q218" s="213" t="s">
        <v>76</v>
      </c>
      <c r="R218" s="213" t="s">
        <v>76</v>
      </c>
    </row>
    <row r="219" spans="1:18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-7</v>
      </c>
      <c r="K219" s="35">
        <f t="shared" si="16"/>
        <v>-70</v>
      </c>
      <c r="L219" s="35"/>
      <c r="M219" s="37">
        <f t="shared" si="17"/>
        <v>0</v>
      </c>
      <c r="N219" s="211" t="s">
        <v>76</v>
      </c>
      <c r="O219" s="211" t="s">
        <v>76</v>
      </c>
      <c r="P219" s="212" t="s">
        <v>76</v>
      </c>
      <c r="Q219" s="213" t="s">
        <v>76</v>
      </c>
      <c r="R219" s="213" t="s">
        <v>76</v>
      </c>
    </row>
    <row r="220" spans="1:18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-7</v>
      </c>
      <c r="K220" s="35">
        <f t="shared" si="16"/>
        <v>-70</v>
      </c>
      <c r="L220" s="35"/>
      <c r="M220" s="37">
        <f t="shared" si="17"/>
        <v>0</v>
      </c>
      <c r="N220" s="211" t="s">
        <v>76</v>
      </c>
      <c r="O220" s="211" t="s">
        <v>76</v>
      </c>
      <c r="P220" s="212" t="s">
        <v>76</v>
      </c>
      <c r="Q220" s="213" t="s">
        <v>76</v>
      </c>
      <c r="R220" s="213" t="s">
        <v>76</v>
      </c>
    </row>
    <row r="221" spans="1:18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-7</v>
      </c>
      <c r="K221" s="35">
        <f t="shared" si="16"/>
        <v>-70</v>
      </c>
      <c r="L221" s="35"/>
      <c r="M221" s="37">
        <f t="shared" si="17"/>
        <v>0</v>
      </c>
      <c r="N221" s="211" t="s">
        <v>76</v>
      </c>
      <c r="O221" s="211" t="s">
        <v>76</v>
      </c>
      <c r="P221" s="212" t="s">
        <v>76</v>
      </c>
      <c r="Q221" s="213" t="s">
        <v>76</v>
      </c>
      <c r="R221" s="213" t="s">
        <v>76</v>
      </c>
    </row>
    <row r="222" spans="1:18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-7</v>
      </c>
      <c r="K222" s="35">
        <f t="shared" si="16"/>
        <v>-70</v>
      </c>
      <c r="L222" s="35"/>
      <c r="M222" s="37">
        <f t="shared" si="17"/>
        <v>0</v>
      </c>
      <c r="N222" s="211" t="s">
        <v>76</v>
      </c>
      <c r="O222" s="211" t="s">
        <v>76</v>
      </c>
      <c r="P222" s="212" t="s">
        <v>76</v>
      </c>
      <c r="Q222" s="213" t="s">
        <v>76</v>
      </c>
      <c r="R222" s="213" t="s">
        <v>76</v>
      </c>
    </row>
    <row r="223" spans="1:18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-7</v>
      </c>
      <c r="K223" s="35">
        <f t="shared" si="16"/>
        <v>-70</v>
      </c>
      <c r="L223" s="35"/>
      <c r="M223" s="37">
        <f t="shared" si="17"/>
        <v>0</v>
      </c>
      <c r="N223" s="211" t="s">
        <v>76</v>
      </c>
      <c r="O223" s="211" t="s">
        <v>76</v>
      </c>
      <c r="P223" s="212" t="s">
        <v>76</v>
      </c>
      <c r="Q223" s="213" t="s">
        <v>76</v>
      </c>
      <c r="R223" s="213" t="s">
        <v>76</v>
      </c>
    </row>
    <row r="224" spans="1:18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-7</v>
      </c>
      <c r="K224" s="35">
        <f t="shared" si="16"/>
        <v>-70</v>
      </c>
      <c r="L224" s="35"/>
      <c r="M224" s="37">
        <f t="shared" si="17"/>
        <v>0</v>
      </c>
      <c r="N224" s="211" t="s">
        <v>76</v>
      </c>
      <c r="O224" s="211" t="s">
        <v>76</v>
      </c>
      <c r="P224" s="212" t="s">
        <v>76</v>
      </c>
      <c r="Q224" s="213" t="s">
        <v>76</v>
      </c>
      <c r="R224" s="213" t="s">
        <v>76</v>
      </c>
    </row>
    <row r="225" spans="1:18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-7</v>
      </c>
      <c r="K225" s="35">
        <f t="shared" si="16"/>
        <v>-70</v>
      </c>
      <c r="L225" s="35"/>
      <c r="M225" s="37">
        <f t="shared" si="17"/>
        <v>0</v>
      </c>
      <c r="N225" s="211" t="s">
        <v>76</v>
      </c>
      <c r="O225" s="211" t="s">
        <v>76</v>
      </c>
      <c r="P225" s="212" t="s">
        <v>76</v>
      </c>
      <c r="Q225" s="213" t="s">
        <v>76</v>
      </c>
      <c r="R225" s="213" t="s">
        <v>76</v>
      </c>
    </row>
    <row r="226" spans="1:18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-7</v>
      </c>
      <c r="K226" s="35">
        <f t="shared" si="16"/>
        <v>-70</v>
      </c>
      <c r="L226" s="35"/>
      <c r="M226" s="37">
        <f t="shared" si="17"/>
        <v>0</v>
      </c>
      <c r="N226" s="211" t="s">
        <v>76</v>
      </c>
      <c r="O226" s="211" t="s">
        <v>76</v>
      </c>
      <c r="P226" s="212" t="s">
        <v>76</v>
      </c>
      <c r="Q226" s="213" t="s">
        <v>76</v>
      </c>
      <c r="R226" s="213" t="s">
        <v>76</v>
      </c>
    </row>
    <row r="227" spans="1:18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-7</v>
      </c>
      <c r="K227" s="35">
        <f t="shared" si="16"/>
        <v>-70</v>
      </c>
      <c r="L227" s="35"/>
      <c r="M227" s="37">
        <f t="shared" si="17"/>
        <v>0</v>
      </c>
      <c r="N227" s="211" t="s">
        <v>76</v>
      </c>
      <c r="O227" s="211" t="s">
        <v>76</v>
      </c>
      <c r="P227" s="212" t="s">
        <v>76</v>
      </c>
      <c r="Q227" s="213" t="s">
        <v>76</v>
      </c>
      <c r="R227" s="213" t="s">
        <v>76</v>
      </c>
    </row>
    <row r="228" spans="1:18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-7</v>
      </c>
      <c r="K228" s="35">
        <f t="shared" si="16"/>
        <v>-70</v>
      </c>
      <c r="L228" s="35"/>
      <c r="M228" s="37">
        <f t="shared" si="17"/>
        <v>0</v>
      </c>
      <c r="N228" s="211" t="s">
        <v>76</v>
      </c>
      <c r="O228" s="211" t="s">
        <v>76</v>
      </c>
      <c r="P228" s="212" t="s">
        <v>76</v>
      </c>
      <c r="Q228" s="213" t="s">
        <v>76</v>
      </c>
      <c r="R228" s="213" t="s">
        <v>76</v>
      </c>
    </row>
    <row r="229" spans="1:18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-7</v>
      </c>
      <c r="K229" s="35">
        <f t="shared" si="16"/>
        <v>-70</v>
      </c>
      <c r="L229" s="35"/>
      <c r="M229" s="37">
        <f t="shared" si="17"/>
        <v>0</v>
      </c>
      <c r="N229" s="211" t="s">
        <v>76</v>
      </c>
      <c r="O229" s="211" t="s">
        <v>76</v>
      </c>
      <c r="P229" s="212" t="s">
        <v>76</v>
      </c>
      <c r="Q229" s="213" t="s">
        <v>76</v>
      </c>
      <c r="R229" s="213" t="s">
        <v>76</v>
      </c>
    </row>
    <row r="230" spans="1:18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-7</v>
      </c>
      <c r="K230" s="35">
        <f t="shared" si="16"/>
        <v>-70</v>
      </c>
      <c r="L230" s="35"/>
      <c r="M230" s="37">
        <f t="shared" si="17"/>
        <v>0</v>
      </c>
      <c r="N230" s="211" t="s">
        <v>76</v>
      </c>
      <c r="O230" s="211" t="s">
        <v>76</v>
      </c>
      <c r="P230" s="212" t="s">
        <v>76</v>
      </c>
      <c r="Q230" s="213" t="s">
        <v>76</v>
      </c>
      <c r="R230" s="213" t="s">
        <v>76</v>
      </c>
    </row>
    <row r="231" spans="1:18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-7</v>
      </c>
      <c r="K231" s="35">
        <f t="shared" si="16"/>
        <v>-70</v>
      </c>
      <c r="L231" s="35"/>
      <c r="M231" s="37">
        <f t="shared" si="17"/>
        <v>0</v>
      </c>
      <c r="N231" s="211" t="s">
        <v>76</v>
      </c>
      <c r="O231" s="211" t="s">
        <v>76</v>
      </c>
      <c r="P231" s="212" t="s">
        <v>76</v>
      </c>
      <c r="Q231" s="213" t="s">
        <v>76</v>
      </c>
      <c r="R231" s="213" t="s">
        <v>76</v>
      </c>
    </row>
    <row r="232" spans="1:18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-7</v>
      </c>
      <c r="K232" s="35">
        <f t="shared" si="16"/>
        <v>-70</v>
      </c>
      <c r="L232" s="35"/>
      <c r="M232" s="37">
        <f t="shared" si="17"/>
        <v>0</v>
      </c>
      <c r="N232" s="211" t="s">
        <v>76</v>
      </c>
      <c r="O232" s="211" t="s">
        <v>76</v>
      </c>
      <c r="P232" s="212" t="s">
        <v>76</v>
      </c>
      <c r="Q232" s="213" t="s">
        <v>76</v>
      </c>
      <c r="R232" s="213" t="s">
        <v>76</v>
      </c>
    </row>
    <row r="233" spans="1:18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-7</v>
      </c>
      <c r="K233" s="35">
        <f t="shared" si="16"/>
        <v>-70</v>
      </c>
      <c r="L233" s="35"/>
      <c r="M233" s="37">
        <f t="shared" si="17"/>
        <v>0</v>
      </c>
      <c r="N233" s="211" t="s">
        <v>76</v>
      </c>
      <c r="O233" s="211" t="s">
        <v>76</v>
      </c>
      <c r="P233" s="212" t="s">
        <v>76</v>
      </c>
      <c r="Q233" s="213" t="s">
        <v>76</v>
      </c>
      <c r="R233" s="213" t="s">
        <v>76</v>
      </c>
    </row>
    <row r="234" spans="1:18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-7</v>
      </c>
      <c r="K234" s="35">
        <f t="shared" si="16"/>
        <v>-70</v>
      </c>
      <c r="L234" s="35"/>
      <c r="M234" s="37">
        <f t="shared" si="17"/>
        <v>0</v>
      </c>
      <c r="N234" s="211" t="s">
        <v>76</v>
      </c>
      <c r="O234" s="211" t="s">
        <v>76</v>
      </c>
      <c r="P234" s="212" t="s">
        <v>76</v>
      </c>
      <c r="Q234" s="213" t="s">
        <v>76</v>
      </c>
      <c r="R234" s="213" t="s">
        <v>76</v>
      </c>
    </row>
    <row r="235" spans="1:18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-7</v>
      </c>
      <c r="K235" s="35">
        <f t="shared" si="16"/>
        <v>-70</v>
      </c>
      <c r="L235" s="35"/>
      <c r="M235" s="37">
        <f t="shared" si="17"/>
        <v>0</v>
      </c>
      <c r="N235" s="211" t="s">
        <v>76</v>
      </c>
      <c r="O235" s="211" t="s">
        <v>76</v>
      </c>
      <c r="P235" s="212" t="s">
        <v>76</v>
      </c>
      <c r="Q235" s="213" t="s">
        <v>76</v>
      </c>
      <c r="R235" s="213" t="s">
        <v>76</v>
      </c>
    </row>
    <row r="236" spans="1:18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-7</v>
      </c>
      <c r="K236" s="35">
        <f t="shared" si="16"/>
        <v>-70</v>
      </c>
      <c r="L236" s="35"/>
      <c r="M236" s="37">
        <f t="shared" si="17"/>
        <v>0</v>
      </c>
      <c r="N236" s="211" t="s">
        <v>76</v>
      </c>
      <c r="O236" s="211" t="s">
        <v>76</v>
      </c>
      <c r="P236" s="212" t="s">
        <v>76</v>
      </c>
      <c r="Q236" s="213" t="s">
        <v>76</v>
      </c>
      <c r="R236" s="213" t="s">
        <v>76</v>
      </c>
    </row>
    <row r="237" spans="1:18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-7</v>
      </c>
      <c r="K237" s="35">
        <f t="shared" si="16"/>
        <v>-70</v>
      </c>
      <c r="L237" s="35"/>
      <c r="M237" s="37">
        <f t="shared" si="17"/>
        <v>0</v>
      </c>
      <c r="N237" s="211" t="s">
        <v>76</v>
      </c>
      <c r="O237" s="211" t="s">
        <v>76</v>
      </c>
      <c r="P237" s="212" t="s">
        <v>76</v>
      </c>
      <c r="Q237" s="213" t="s">
        <v>76</v>
      </c>
      <c r="R237" s="213" t="s">
        <v>76</v>
      </c>
    </row>
    <row r="238" spans="1:18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-7</v>
      </c>
      <c r="K238" s="35">
        <f t="shared" si="16"/>
        <v>-70</v>
      </c>
      <c r="L238" s="35"/>
      <c r="M238" s="37">
        <f t="shared" si="17"/>
        <v>0</v>
      </c>
      <c r="N238" s="211" t="s">
        <v>76</v>
      </c>
      <c r="O238" s="211" t="s">
        <v>76</v>
      </c>
      <c r="P238" s="212" t="s">
        <v>76</v>
      </c>
      <c r="Q238" s="213" t="s">
        <v>76</v>
      </c>
      <c r="R238" s="213" t="s">
        <v>76</v>
      </c>
    </row>
    <row r="239" spans="1:18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-7</v>
      </c>
      <c r="K239" s="35">
        <f t="shared" si="16"/>
        <v>-70</v>
      </c>
      <c r="L239" s="35"/>
      <c r="M239" s="37">
        <f t="shared" si="17"/>
        <v>0</v>
      </c>
      <c r="N239" s="211" t="s">
        <v>76</v>
      </c>
      <c r="O239" s="211" t="s">
        <v>76</v>
      </c>
      <c r="P239" s="212" t="s">
        <v>76</v>
      </c>
      <c r="Q239" s="213" t="s">
        <v>76</v>
      </c>
      <c r="R239" s="213" t="s">
        <v>76</v>
      </c>
    </row>
    <row r="240" spans="1:18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-7</v>
      </c>
      <c r="K240" s="35">
        <f t="shared" si="16"/>
        <v>-70</v>
      </c>
      <c r="L240" s="35"/>
      <c r="M240" s="37">
        <f t="shared" si="17"/>
        <v>0</v>
      </c>
      <c r="N240" s="211" t="s">
        <v>76</v>
      </c>
      <c r="O240" s="211" t="s">
        <v>76</v>
      </c>
      <c r="P240" s="212" t="s">
        <v>76</v>
      </c>
      <c r="Q240" s="213" t="s">
        <v>76</v>
      </c>
      <c r="R240" s="213" t="s">
        <v>76</v>
      </c>
    </row>
    <row r="241" spans="1:18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-7</v>
      </c>
      <c r="K241" s="35">
        <f t="shared" si="16"/>
        <v>-70</v>
      </c>
      <c r="L241" s="35"/>
      <c r="M241" s="37">
        <f t="shared" si="17"/>
        <v>0</v>
      </c>
      <c r="N241" s="211" t="s">
        <v>76</v>
      </c>
      <c r="O241" s="211" t="s">
        <v>76</v>
      </c>
      <c r="P241" s="212" t="s">
        <v>76</v>
      </c>
      <c r="Q241" s="213" t="s">
        <v>76</v>
      </c>
      <c r="R241" s="213" t="s">
        <v>76</v>
      </c>
    </row>
    <row r="242" spans="1:18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-7</v>
      </c>
      <c r="K242" s="35">
        <f t="shared" si="16"/>
        <v>-70</v>
      </c>
      <c r="L242" s="35"/>
      <c r="M242" s="37">
        <f t="shared" si="17"/>
        <v>0</v>
      </c>
      <c r="N242" s="211" t="s">
        <v>76</v>
      </c>
      <c r="O242" s="211" t="s">
        <v>76</v>
      </c>
      <c r="P242" s="212" t="s">
        <v>76</v>
      </c>
      <c r="Q242" s="213" t="s">
        <v>76</v>
      </c>
      <c r="R242" s="213" t="s">
        <v>76</v>
      </c>
    </row>
    <row r="243" spans="1:18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-7</v>
      </c>
      <c r="K243" s="35">
        <f t="shared" si="16"/>
        <v>-70</v>
      </c>
      <c r="L243" s="35"/>
      <c r="M243" s="37">
        <f t="shared" si="17"/>
        <v>0</v>
      </c>
      <c r="N243" s="211" t="s">
        <v>76</v>
      </c>
      <c r="O243" s="211" t="s">
        <v>76</v>
      </c>
      <c r="P243" s="212" t="s">
        <v>76</v>
      </c>
      <c r="Q243" s="213" t="s">
        <v>76</v>
      </c>
      <c r="R243" s="213" t="s">
        <v>76</v>
      </c>
    </row>
    <row r="244" spans="1:18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-7</v>
      </c>
      <c r="K244" s="35">
        <f t="shared" si="16"/>
        <v>-70</v>
      </c>
      <c r="L244" s="35"/>
      <c r="M244" s="37">
        <f t="shared" si="17"/>
        <v>0</v>
      </c>
      <c r="N244" s="211" t="s">
        <v>76</v>
      </c>
      <c r="O244" s="211" t="s">
        <v>76</v>
      </c>
      <c r="P244" s="212" t="s">
        <v>76</v>
      </c>
      <c r="Q244" s="213" t="s">
        <v>76</v>
      </c>
      <c r="R244" s="213" t="s">
        <v>76</v>
      </c>
    </row>
    <row r="245" spans="1:18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-7</v>
      </c>
      <c r="K245" s="35">
        <f t="shared" si="16"/>
        <v>-70</v>
      </c>
      <c r="L245" s="35"/>
      <c r="M245" s="37">
        <f t="shared" si="17"/>
        <v>0</v>
      </c>
      <c r="N245" s="211" t="s">
        <v>76</v>
      </c>
      <c r="O245" s="211" t="s">
        <v>76</v>
      </c>
      <c r="P245" s="212" t="s">
        <v>76</v>
      </c>
      <c r="Q245" s="213" t="s">
        <v>76</v>
      </c>
      <c r="R245" s="213" t="s">
        <v>76</v>
      </c>
    </row>
    <row r="246" spans="1:18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-7</v>
      </c>
      <c r="K246" s="35">
        <f t="shared" si="16"/>
        <v>-70</v>
      </c>
      <c r="L246" s="35"/>
      <c r="M246" s="37">
        <f t="shared" si="17"/>
        <v>0</v>
      </c>
      <c r="N246" s="211" t="s">
        <v>76</v>
      </c>
      <c r="O246" s="211" t="s">
        <v>76</v>
      </c>
      <c r="P246" s="212" t="s">
        <v>76</v>
      </c>
      <c r="Q246" s="213" t="s">
        <v>76</v>
      </c>
      <c r="R246" s="213" t="s">
        <v>76</v>
      </c>
    </row>
    <row r="247" spans="1:18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-7</v>
      </c>
      <c r="K247" s="35">
        <f t="shared" si="16"/>
        <v>-70</v>
      </c>
      <c r="L247" s="35"/>
      <c r="M247" s="37">
        <f t="shared" si="17"/>
        <v>0</v>
      </c>
      <c r="N247" s="211" t="s">
        <v>76</v>
      </c>
      <c r="O247" s="211" t="s">
        <v>76</v>
      </c>
      <c r="P247" s="212" t="s">
        <v>76</v>
      </c>
      <c r="Q247" s="213" t="s">
        <v>76</v>
      </c>
      <c r="R247" s="213" t="s">
        <v>76</v>
      </c>
    </row>
    <row r="248" spans="1:18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-7</v>
      </c>
      <c r="K248" s="35">
        <f t="shared" si="16"/>
        <v>-70</v>
      </c>
      <c r="L248" s="35"/>
      <c r="M248" s="37">
        <f t="shared" si="17"/>
        <v>0</v>
      </c>
      <c r="N248" s="211" t="s">
        <v>76</v>
      </c>
      <c r="O248" s="211" t="s">
        <v>76</v>
      </c>
      <c r="P248" s="212" t="s">
        <v>76</v>
      </c>
      <c r="Q248" s="213" t="s">
        <v>76</v>
      </c>
      <c r="R248" s="213" t="s">
        <v>76</v>
      </c>
    </row>
    <row r="249" spans="1:18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-7</v>
      </c>
      <c r="K249" s="35">
        <f t="shared" si="16"/>
        <v>-70</v>
      </c>
      <c r="L249" s="35"/>
      <c r="M249" s="37">
        <f t="shared" si="17"/>
        <v>0</v>
      </c>
      <c r="N249" s="211" t="s">
        <v>76</v>
      </c>
      <c r="O249" s="211" t="s">
        <v>76</v>
      </c>
      <c r="P249" s="212" t="s">
        <v>76</v>
      </c>
      <c r="Q249" s="213" t="s">
        <v>76</v>
      </c>
      <c r="R249" s="213" t="s">
        <v>76</v>
      </c>
    </row>
    <row r="250" spans="1:18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-7</v>
      </c>
      <c r="K250" s="35">
        <f t="shared" si="16"/>
        <v>-70</v>
      </c>
      <c r="L250" s="35"/>
      <c r="M250" s="37">
        <f t="shared" si="17"/>
        <v>0</v>
      </c>
      <c r="N250" s="211" t="s">
        <v>76</v>
      </c>
      <c r="O250" s="211" t="s">
        <v>76</v>
      </c>
      <c r="P250" s="212" t="s">
        <v>76</v>
      </c>
      <c r="Q250" s="213" t="s">
        <v>76</v>
      </c>
      <c r="R250" s="213" t="s">
        <v>76</v>
      </c>
    </row>
    <row r="251" spans="1:18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-7</v>
      </c>
      <c r="K251" s="35">
        <f t="shared" si="16"/>
        <v>-70</v>
      </c>
      <c r="L251" s="35"/>
      <c r="M251" s="37">
        <f t="shared" si="17"/>
        <v>0</v>
      </c>
      <c r="N251" s="211" t="s">
        <v>76</v>
      </c>
      <c r="O251" s="211" t="s">
        <v>76</v>
      </c>
      <c r="P251" s="212" t="s">
        <v>76</v>
      </c>
      <c r="Q251" s="213" t="s">
        <v>76</v>
      </c>
      <c r="R251" s="213" t="s">
        <v>76</v>
      </c>
    </row>
    <row r="252" spans="1:18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-7</v>
      </c>
      <c r="K252" s="35">
        <f t="shared" si="16"/>
        <v>-70</v>
      </c>
      <c r="L252" s="35"/>
      <c r="M252" s="37">
        <f t="shared" si="17"/>
        <v>0</v>
      </c>
      <c r="N252" s="211" t="s">
        <v>76</v>
      </c>
      <c r="O252" s="211" t="s">
        <v>76</v>
      </c>
      <c r="P252" s="212" t="s">
        <v>76</v>
      </c>
      <c r="Q252" s="213" t="s">
        <v>76</v>
      </c>
      <c r="R252" s="213" t="s">
        <v>76</v>
      </c>
    </row>
    <row r="253" spans="1:18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-7</v>
      </c>
      <c r="K253" s="35">
        <f t="shared" si="16"/>
        <v>-70</v>
      </c>
      <c r="L253" s="35"/>
      <c r="M253" s="37">
        <f t="shared" si="17"/>
        <v>0</v>
      </c>
      <c r="N253" s="211" t="s">
        <v>76</v>
      </c>
      <c r="O253" s="211" t="s">
        <v>76</v>
      </c>
      <c r="P253" s="212" t="s">
        <v>76</v>
      </c>
      <c r="Q253" s="213" t="s">
        <v>76</v>
      </c>
      <c r="R253" s="213" t="s">
        <v>76</v>
      </c>
    </row>
    <row r="254" spans="1:18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-7</v>
      </c>
      <c r="K254" s="35">
        <f t="shared" si="16"/>
        <v>-70</v>
      </c>
      <c r="L254" s="35"/>
      <c r="M254" s="37">
        <f t="shared" si="17"/>
        <v>0</v>
      </c>
      <c r="N254" s="211" t="s">
        <v>76</v>
      </c>
      <c r="O254" s="211" t="s">
        <v>76</v>
      </c>
      <c r="P254" s="212" t="s">
        <v>76</v>
      </c>
      <c r="Q254" s="213" t="s">
        <v>76</v>
      </c>
      <c r="R254" s="213" t="s">
        <v>76</v>
      </c>
    </row>
    <row r="255" spans="1:18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-7</v>
      </c>
      <c r="K255" s="35">
        <f t="shared" si="16"/>
        <v>-70</v>
      </c>
      <c r="L255" s="35"/>
      <c r="M255" s="37">
        <f t="shared" si="17"/>
        <v>0</v>
      </c>
      <c r="N255" s="211" t="s">
        <v>76</v>
      </c>
      <c r="O255" s="211" t="s">
        <v>76</v>
      </c>
      <c r="P255" s="212" t="s">
        <v>76</v>
      </c>
      <c r="Q255" s="213" t="s">
        <v>76</v>
      </c>
      <c r="R255" s="213" t="s">
        <v>76</v>
      </c>
    </row>
    <row r="256" spans="1:18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-7</v>
      </c>
      <c r="K256" s="35">
        <f t="shared" si="16"/>
        <v>-70</v>
      </c>
      <c r="L256" s="35"/>
      <c r="M256" s="37">
        <f t="shared" si="17"/>
        <v>0</v>
      </c>
      <c r="N256" s="211" t="s">
        <v>76</v>
      </c>
      <c r="O256" s="211" t="s">
        <v>76</v>
      </c>
      <c r="P256" s="212" t="s">
        <v>76</v>
      </c>
      <c r="Q256" s="213" t="s">
        <v>76</v>
      </c>
      <c r="R256" s="213" t="s">
        <v>76</v>
      </c>
    </row>
    <row r="257" spans="1:18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-7</v>
      </c>
      <c r="K257" s="35">
        <f t="shared" si="16"/>
        <v>-70</v>
      </c>
      <c r="L257" s="35"/>
      <c r="M257" s="37">
        <f t="shared" si="17"/>
        <v>0</v>
      </c>
      <c r="N257" s="211" t="s">
        <v>76</v>
      </c>
      <c r="O257" s="211" t="s">
        <v>76</v>
      </c>
      <c r="P257" s="212" t="s">
        <v>76</v>
      </c>
      <c r="Q257" s="213" t="s">
        <v>76</v>
      </c>
      <c r="R257" s="213" t="s">
        <v>76</v>
      </c>
    </row>
    <row r="258" spans="1:18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-7</v>
      </c>
      <c r="K258" s="35">
        <f t="shared" si="16"/>
        <v>-70</v>
      </c>
      <c r="L258" s="35"/>
      <c r="M258" s="37">
        <f t="shared" si="17"/>
        <v>0</v>
      </c>
      <c r="N258" s="211" t="s">
        <v>76</v>
      </c>
      <c r="O258" s="211" t="s">
        <v>76</v>
      </c>
      <c r="P258" s="212" t="s">
        <v>76</v>
      </c>
      <c r="Q258" s="213" t="s">
        <v>76</v>
      </c>
      <c r="R258" s="213" t="s">
        <v>76</v>
      </c>
    </row>
    <row r="259" spans="1:18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-7</v>
      </c>
      <c r="K259" s="35">
        <f t="shared" si="16"/>
        <v>-70</v>
      </c>
      <c r="L259" s="35"/>
      <c r="M259" s="37">
        <f t="shared" si="17"/>
        <v>0</v>
      </c>
      <c r="N259" s="211" t="s">
        <v>76</v>
      </c>
      <c r="O259" s="211" t="s">
        <v>76</v>
      </c>
      <c r="P259" s="212" t="s">
        <v>76</v>
      </c>
      <c r="Q259" s="213" t="s">
        <v>76</v>
      </c>
      <c r="R259" s="213" t="s">
        <v>76</v>
      </c>
    </row>
    <row r="260" spans="1:18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-7</v>
      </c>
      <c r="K260" s="35">
        <f t="shared" si="16"/>
        <v>-70</v>
      </c>
      <c r="L260" s="35"/>
      <c r="M260" s="37">
        <f t="shared" si="17"/>
        <v>0</v>
      </c>
      <c r="N260" s="211" t="s">
        <v>76</v>
      </c>
      <c r="O260" s="211" t="s">
        <v>76</v>
      </c>
      <c r="P260" s="212" t="s">
        <v>76</v>
      </c>
      <c r="Q260" s="213" t="s">
        <v>76</v>
      </c>
      <c r="R260" s="213" t="s">
        <v>76</v>
      </c>
    </row>
    <row r="261" spans="1:18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-7</v>
      </c>
      <c r="K261" s="35">
        <f t="shared" si="16"/>
        <v>-70</v>
      </c>
      <c r="L261" s="35"/>
      <c r="M261" s="37">
        <f t="shared" si="17"/>
        <v>0</v>
      </c>
      <c r="N261" s="211" t="s">
        <v>76</v>
      </c>
      <c r="O261" s="211" t="s">
        <v>76</v>
      </c>
      <c r="P261" s="212" t="s">
        <v>76</v>
      </c>
      <c r="Q261" s="213" t="s">
        <v>76</v>
      </c>
      <c r="R261" s="213" t="s">
        <v>76</v>
      </c>
    </row>
    <row r="262" spans="1:18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-8</v>
      </c>
      <c r="K262" s="35">
        <f t="shared" ref="K262:K305" si="20">J262*$J$2</f>
        <v>-80</v>
      </c>
      <c r="L262" s="35"/>
      <c r="M262" s="37">
        <f t="shared" ref="M262:M305" si="21">IF(I262&lt;&gt;"",K262+I262+L262,0)</f>
        <v>0</v>
      </c>
      <c r="N262" s="211" t="s">
        <v>76</v>
      </c>
      <c r="O262" s="211" t="s">
        <v>76</v>
      </c>
      <c r="P262" s="212" t="s">
        <v>76</v>
      </c>
      <c r="Q262" s="213" t="s">
        <v>76</v>
      </c>
      <c r="R262" s="213" t="s">
        <v>76</v>
      </c>
    </row>
    <row r="263" spans="1:18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-8</v>
      </c>
      <c r="K263" s="35">
        <f t="shared" si="20"/>
        <v>-80</v>
      </c>
      <c r="L263" s="35"/>
      <c r="M263" s="37">
        <f t="shared" si="21"/>
        <v>0</v>
      </c>
      <c r="N263" s="211" t="s">
        <v>76</v>
      </c>
      <c r="O263" s="211" t="s">
        <v>76</v>
      </c>
      <c r="P263" s="212" t="s">
        <v>76</v>
      </c>
      <c r="Q263" s="213" t="s">
        <v>76</v>
      </c>
      <c r="R263" s="213" t="s">
        <v>76</v>
      </c>
    </row>
    <row r="264" spans="1:18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-8</v>
      </c>
      <c r="K264" s="35">
        <f t="shared" si="20"/>
        <v>-80</v>
      </c>
      <c r="L264" s="35"/>
      <c r="M264" s="37">
        <f t="shared" si="21"/>
        <v>0</v>
      </c>
      <c r="N264" s="211" t="s">
        <v>76</v>
      </c>
      <c r="O264" s="211" t="s">
        <v>76</v>
      </c>
      <c r="P264" s="212" t="s">
        <v>76</v>
      </c>
      <c r="Q264" s="213" t="s">
        <v>76</v>
      </c>
      <c r="R264" s="213" t="s">
        <v>76</v>
      </c>
    </row>
    <row r="265" spans="1:18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-8</v>
      </c>
      <c r="K265" s="35">
        <f t="shared" si="20"/>
        <v>-80</v>
      </c>
      <c r="L265" s="35"/>
      <c r="M265" s="37">
        <f t="shared" si="21"/>
        <v>0</v>
      </c>
      <c r="N265" s="211" t="s">
        <v>76</v>
      </c>
      <c r="O265" s="211" t="s">
        <v>76</v>
      </c>
      <c r="P265" s="212" t="s">
        <v>76</v>
      </c>
      <c r="Q265" s="213" t="s">
        <v>76</v>
      </c>
      <c r="R265" s="213" t="s">
        <v>76</v>
      </c>
    </row>
    <row r="266" spans="1:18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-8</v>
      </c>
      <c r="K266" s="35">
        <f t="shared" si="20"/>
        <v>-80</v>
      </c>
      <c r="L266" s="35"/>
      <c r="M266" s="37">
        <f t="shared" si="21"/>
        <v>0</v>
      </c>
      <c r="N266" s="211" t="s">
        <v>76</v>
      </c>
      <c r="O266" s="211" t="s">
        <v>76</v>
      </c>
      <c r="P266" s="212" t="s">
        <v>76</v>
      </c>
      <c r="Q266" s="213" t="s">
        <v>76</v>
      </c>
      <c r="R266" s="213" t="s">
        <v>76</v>
      </c>
    </row>
    <row r="267" spans="1:18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-8</v>
      </c>
      <c r="K267" s="35">
        <f t="shared" si="20"/>
        <v>-80</v>
      </c>
      <c r="L267" s="35"/>
      <c r="M267" s="37">
        <f t="shared" si="21"/>
        <v>0</v>
      </c>
      <c r="N267" s="211" t="s">
        <v>76</v>
      </c>
      <c r="O267" s="211" t="s">
        <v>76</v>
      </c>
      <c r="P267" s="212" t="s">
        <v>76</v>
      </c>
      <c r="Q267" s="213" t="s">
        <v>76</v>
      </c>
      <c r="R267" s="213" t="s">
        <v>76</v>
      </c>
    </row>
    <row r="268" spans="1:18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-8</v>
      </c>
      <c r="K268" s="35">
        <f t="shared" si="20"/>
        <v>-80</v>
      </c>
      <c r="L268" s="35"/>
      <c r="M268" s="37">
        <f t="shared" si="21"/>
        <v>0</v>
      </c>
      <c r="N268" s="211" t="s">
        <v>76</v>
      </c>
      <c r="O268" s="211" t="s">
        <v>76</v>
      </c>
      <c r="P268" s="212" t="s">
        <v>76</v>
      </c>
      <c r="Q268" s="213" t="s">
        <v>76</v>
      </c>
      <c r="R268" s="213" t="s">
        <v>76</v>
      </c>
    </row>
    <row r="269" spans="1:18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-8</v>
      </c>
      <c r="K269" s="35">
        <f t="shared" si="20"/>
        <v>-80</v>
      </c>
      <c r="L269" s="35"/>
      <c r="M269" s="37">
        <f t="shared" si="21"/>
        <v>0</v>
      </c>
      <c r="N269" s="211" t="s">
        <v>76</v>
      </c>
      <c r="O269" s="211" t="s">
        <v>76</v>
      </c>
      <c r="P269" s="212" t="s">
        <v>76</v>
      </c>
      <c r="Q269" s="213" t="s">
        <v>76</v>
      </c>
      <c r="R269" s="213" t="s">
        <v>76</v>
      </c>
    </row>
    <row r="270" spans="1:18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-8</v>
      </c>
      <c r="K270" s="35">
        <f t="shared" si="20"/>
        <v>-80</v>
      </c>
      <c r="L270" s="35"/>
      <c r="M270" s="37">
        <f t="shared" si="21"/>
        <v>0</v>
      </c>
      <c r="N270" s="211" t="s">
        <v>76</v>
      </c>
      <c r="O270" s="211" t="s">
        <v>76</v>
      </c>
      <c r="P270" s="212" t="s">
        <v>76</v>
      </c>
      <c r="Q270" s="213" t="s">
        <v>76</v>
      </c>
      <c r="R270" s="213" t="s">
        <v>76</v>
      </c>
    </row>
    <row r="271" spans="1:18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-8</v>
      </c>
      <c r="K271" s="35">
        <f t="shared" si="20"/>
        <v>-80</v>
      </c>
      <c r="L271" s="35"/>
      <c r="M271" s="37">
        <f t="shared" si="21"/>
        <v>0</v>
      </c>
      <c r="N271" s="211" t="s">
        <v>76</v>
      </c>
      <c r="O271" s="211" t="s">
        <v>76</v>
      </c>
      <c r="P271" s="212" t="s">
        <v>76</v>
      </c>
      <c r="Q271" s="213" t="s">
        <v>76</v>
      </c>
      <c r="R271" s="213" t="s">
        <v>76</v>
      </c>
    </row>
    <row r="272" spans="1:18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-8</v>
      </c>
      <c r="K272" s="35">
        <f t="shared" si="20"/>
        <v>-80</v>
      </c>
      <c r="L272" s="35"/>
      <c r="M272" s="37">
        <f t="shared" si="21"/>
        <v>0</v>
      </c>
      <c r="N272" s="211" t="s">
        <v>76</v>
      </c>
      <c r="O272" s="211" t="s">
        <v>76</v>
      </c>
      <c r="P272" s="212" t="s">
        <v>76</v>
      </c>
      <c r="Q272" s="213" t="s">
        <v>76</v>
      </c>
      <c r="R272" s="213" t="s">
        <v>76</v>
      </c>
    </row>
    <row r="273" spans="1:18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-8</v>
      </c>
      <c r="K273" s="35">
        <f t="shared" si="20"/>
        <v>-80</v>
      </c>
      <c r="L273" s="35"/>
      <c r="M273" s="37">
        <f t="shared" si="21"/>
        <v>0</v>
      </c>
      <c r="N273" s="211" t="s">
        <v>76</v>
      </c>
      <c r="O273" s="211" t="s">
        <v>76</v>
      </c>
      <c r="P273" s="212" t="s">
        <v>76</v>
      </c>
      <c r="Q273" s="213" t="s">
        <v>76</v>
      </c>
      <c r="R273" s="213" t="s">
        <v>76</v>
      </c>
    </row>
    <row r="274" spans="1:18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-8</v>
      </c>
      <c r="K274" s="35">
        <f t="shared" si="20"/>
        <v>-80</v>
      </c>
      <c r="L274" s="35"/>
      <c r="M274" s="37">
        <f t="shared" si="21"/>
        <v>0</v>
      </c>
      <c r="N274" s="211" t="s">
        <v>76</v>
      </c>
      <c r="O274" s="211" t="s">
        <v>76</v>
      </c>
      <c r="P274" s="212" t="s">
        <v>76</v>
      </c>
      <c r="Q274" s="213" t="s">
        <v>76</v>
      </c>
      <c r="R274" s="213" t="s">
        <v>76</v>
      </c>
    </row>
    <row r="275" spans="1:18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-8</v>
      </c>
      <c r="K275" s="35">
        <f t="shared" si="20"/>
        <v>-80</v>
      </c>
      <c r="L275" s="35"/>
      <c r="M275" s="37">
        <f t="shared" si="21"/>
        <v>0</v>
      </c>
      <c r="N275" s="211" t="s">
        <v>76</v>
      </c>
      <c r="O275" s="211" t="s">
        <v>76</v>
      </c>
      <c r="P275" s="212" t="s">
        <v>76</v>
      </c>
      <c r="Q275" s="213" t="s">
        <v>76</v>
      </c>
      <c r="R275" s="213" t="s">
        <v>76</v>
      </c>
    </row>
    <row r="276" spans="1:18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-8</v>
      </c>
      <c r="K276" s="35">
        <f t="shared" si="20"/>
        <v>-80</v>
      </c>
      <c r="L276" s="35"/>
      <c r="M276" s="37">
        <f t="shared" si="21"/>
        <v>0</v>
      </c>
      <c r="N276" s="211" t="s">
        <v>76</v>
      </c>
      <c r="O276" s="211" t="s">
        <v>76</v>
      </c>
      <c r="P276" s="212" t="s">
        <v>76</v>
      </c>
      <c r="Q276" s="213" t="s">
        <v>76</v>
      </c>
      <c r="R276" s="213" t="s">
        <v>76</v>
      </c>
    </row>
    <row r="277" spans="1:18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-8</v>
      </c>
      <c r="K277" s="35">
        <f t="shared" si="20"/>
        <v>-80</v>
      </c>
      <c r="L277" s="35"/>
      <c r="M277" s="37">
        <f t="shared" si="21"/>
        <v>0</v>
      </c>
      <c r="N277" s="211" t="s">
        <v>76</v>
      </c>
      <c r="O277" s="211" t="s">
        <v>76</v>
      </c>
      <c r="P277" s="212" t="s">
        <v>76</v>
      </c>
      <c r="Q277" s="213" t="s">
        <v>76</v>
      </c>
      <c r="R277" s="213" t="s">
        <v>76</v>
      </c>
    </row>
    <row r="278" spans="1:18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-8</v>
      </c>
      <c r="K278" s="35">
        <f t="shared" si="20"/>
        <v>-80</v>
      </c>
      <c r="L278" s="35"/>
      <c r="M278" s="37">
        <f t="shared" si="21"/>
        <v>0</v>
      </c>
      <c r="N278" s="211" t="s">
        <v>76</v>
      </c>
      <c r="O278" s="211" t="s">
        <v>76</v>
      </c>
      <c r="P278" s="212" t="s">
        <v>76</v>
      </c>
      <c r="Q278" s="213" t="s">
        <v>76</v>
      </c>
      <c r="R278" s="213" t="s">
        <v>76</v>
      </c>
    </row>
    <row r="279" spans="1:18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-8</v>
      </c>
      <c r="K279" s="35">
        <f t="shared" si="20"/>
        <v>-80</v>
      </c>
      <c r="L279" s="35"/>
      <c r="M279" s="37">
        <f t="shared" si="21"/>
        <v>0</v>
      </c>
      <c r="N279" s="211" t="s">
        <v>76</v>
      </c>
      <c r="O279" s="211" t="s">
        <v>76</v>
      </c>
      <c r="P279" s="212" t="s">
        <v>76</v>
      </c>
      <c r="Q279" s="213" t="s">
        <v>76</v>
      </c>
      <c r="R279" s="213" t="s">
        <v>76</v>
      </c>
    </row>
    <row r="280" spans="1:18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-8</v>
      </c>
      <c r="K280" s="35">
        <f t="shared" si="20"/>
        <v>-80</v>
      </c>
      <c r="L280" s="35"/>
      <c r="M280" s="37">
        <f t="shared" si="21"/>
        <v>0</v>
      </c>
      <c r="N280" s="211" t="s">
        <v>76</v>
      </c>
      <c r="O280" s="211" t="s">
        <v>76</v>
      </c>
      <c r="P280" s="212" t="s">
        <v>76</v>
      </c>
      <c r="Q280" s="213" t="s">
        <v>76</v>
      </c>
      <c r="R280" s="213" t="s">
        <v>76</v>
      </c>
    </row>
    <row r="281" spans="1:18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-8</v>
      </c>
      <c r="K281" s="35">
        <f t="shared" si="20"/>
        <v>-80</v>
      </c>
      <c r="L281" s="35"/>
      <c r="M281" s="37">
        <f t="shared" si="21"/>
        <v>0</v>
      </c>
      <c r="N281" s="211" t="s">
        <v>76</v>
      </c>
      <c r="O281" s="211" t="s">
        <v>76</v>
      </c>
      <c r="P281" s="212" t="s">
        <v>76</v>
      </c>
      <c r="Q281" s="213" t="s">
        <v>76</v>
      </c>
      <c r="R281" s="213" t="s">
        <v>76</v>
      </c>
    </row>
    <row r="282" spans="1:18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-8</v>
      </c>
      <c r="K282" s="35">
        <f t="shared" si="20"/>
        <v>-80</v>
      </c>
      <c r="L282" s="35"/>
      <c r="M282" s="37">
        <f t="shared" si="21"/>
        <v>0</v>
      </c>
      <c r="N282" s="211" t="s">
        <v>76</v>
      </c>
      <c r="O282" s="211" t="s">
        <v>76</v>
      </c>
      <c r="P282" s="212" t="s">
        <v>76</v>
      </c>
      <c r="Q282" s="213" t="s">
        <v>76</v>
      </c>
      <c r="R282" s="213" t="s">
        <v>76</v>
      </c>
    </row>
    <row r="283" spans="1:18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-8</v>
      </c>
      <c r="K283" s="35">
        <f t="shared" si="20"/>
        <v>-80</v>
      </c>
      <c r="L283" s="35"/>
      <c r="M283" s="37">
        <f t="shared" si="21"/>
        <v>0</v>
      </c>
      <c r="N283" s="211" t="s">
        <v>76</v>
      </c>
      <c r="O283" s="211" t="s">
        <v>76</v>
      </c>
      <c r="P283" s="212" t="s">
        <v>76</v>
      </c>
      <c r="Q283" s="213" t="s">
        <v>76</v>
      </c>
      <c r="R283" s="213" t="s">
        <v>76</v>
      </c>
    </row>
    <row r="284" spans="1:18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-8</v>
      </c>
      <c r="K284" s="35">
        <f t="shared" si="20"/>
        <v>-80</v>
      </c>
      <c r="L284" s="35"/>
      <c r="M284" s="37">
        <f t="shared" si="21"/>
        <v>0</v>
      </c>
      <c r="N284" s="211" t="s">
        <v>76</v>
      </c>
      <c r="O284" s="211" t="s">
        <v>76</v>
      </c>
      <c r="P284" s="212" t="s">
        <v>76</v>
      </c>
      <c r="Q284" s="213" t="s">
        <v>76</v>
      </c>
      <c r="R284" s="213" t="s">
        <v>76</v>
      </c>
    </row>
    <row r="285" spans="1:18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-8</v>
      </c>
      <c r="K285" s="35">
        <f t="shared" si="20"/>
        <v>-80</v>
      </c>
      <c r="L285" s="35"/>
      <c r="M285" s="37">
        <f t="shared" si="21"/>
        <v>0</v>
      </c>
      <c r="N285" s="211" t="s">
        <v>76</v>
      </c>
      <c r="O285" s="211" t="s">
        <v>76</v>
      </c>
      <c r="P285" s="212" t="s">
        <v>76</v>
      </c>
      <c r="Q285" s="213" t="s">
        <v>76</v>
      </c>
      <c r="R285" s="213" t="s">
        <v>76</v>
      </c>
    </row>
    <row r="286" spans="1:18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-8</v>
      </c>
      <c r="K286" s="35">
        <f t="shared" si="20"/>
        <v>-80</v>
      </c>
      <c r="L286" s="35"/>
      <c r="M286" s="37">
        <f t="shared" si="21"/>
        <v>0</v>
      </c>
      <c r="N286" s="211" t="s">
        <v>76</v>
      </c>
      <c r="O286" s="211" t="s">
        <v>76</v>
      </c>
      <c r="P286" s="212" t="s">
        <v>76</v>
      </c>
      <c r="Q286" s="213" t="s">
        <v>76</v>
      </c>
      <c r="R286" s="213" t="s">
        <v>76</v>
      </c>
    </row>
    <row r="287" spans="1:18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-8</v>
      </c>
      <c r="K287" s="35">
        <f t="shared" si="20"/>
        <v>-80</v>
      </c>
      <c r="L287" s="35"/>
      <c r="M287" s="37">
        <f t="shared" si="21"/>
        <v>0</v>
      </c>
      <c r="N287" s="211" t="s">
        <v>76</v>
      </c>
      <c r="O287" s="211" t="s">
        <v>76</v>
      </c>
      <c r="P287" s="212" t="s">
        <v>76</v>
      </c>
      <c r="Q287" s="213" t="s">
        <v>76</v>
      </c>
      <c r="R287" s="213" t="s">
        <v>76</v>
      </c>
    </row>
    <row r="288" spans="1:18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-8</v>
      </c>
      <c r="K288" s="35">
        <f t="shared" si="20"/>
        <v>-80</v>
      </c>
      <c r="L288" s="35"/>
      <c r="M288" s="37">
        <f t="shared" si="21"/>
        <v>0</v>
      </c>
      <c r="N288" s="211" t="s">
        <v>76</v>
      </c>
      <c r="O288" s="211" t="s">
        <v>76</v>
      </c>
      <c r="P288" s="212" t="s">
        <v>76</v>
      </c>
      <c r="Q288" s="213" t="s">
        <v>76</v>
      </c>
      <c r="R288" s="213" t="s">
        <v>76</v>
      </c>
    </row>
    <row r="289" spans="1:18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-8</v>
      </c>
      <c r="K289" s="35">
        <f t="shared" si="20"/>
        <v>-80</v>
      </c>
      <c r="L289" s="35"/>
      <c r="M289" s="37">
        <f t="shared" si="21"/>
        <v>0</v>
      </c>
      <c r="N289" s="211" t="s">
        <v>76</v>
      </c>
      <c r="O289" s="211" t="s">
        <v>76</v>
      </c>
      <c r="P289" s="212" t="s">
        <v>76</v>
      </c>
      <c r="Q289" s="213" t="s">
        <v>76</v>
      </c>
      <c r="R289" s="213" t="s">
        <v>76</v>
      </c>
    </row>
    <row r="290" spans="1:18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-8</v>
      </c>
      <c r="K290" s="35">
        <f t="shared" si="20"/>
        <v>-80</v>
      </c>
      <c r="L290" s="35"/>
      <c r="M290" s="37">
        <f t="shared" si="21"/>
        <v>0</v>
      </c>
      <c r="N290" s="211" t="s">
        <v>76</v>
      </c>
      <c r="O290" s="211" t="s">
        <v>76</v>
      </c>
      <c r="P290" s="212" t="s">
        <v>76</v>
      </c>
      <c r="Q290" s="213" t="s">
        <v>76</v>
      </c>
      <c r="R290" s="213" t="s">
        <v>76</v>
      </c>
    </row>
    <row r="291" spans="1:18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-8</v>
      </c>
      <c r="K291" s="35">
        <f t="shared" si="20"/>
        <v>-80</v>
      </c>
      <c r="L291" s="35"/>
      <c r="M291" s="37">
        <f t="shared" si="21"/>
        <v>0</v>
      </c>
      <c r="N291" s="211" t="s">
        <v>76</v>
      </c>
      <c r="O291" s="211" t="s">
        <v>76</v>
      </c>
      <c r="P291" s="212" t="s">
        <v>76</v>
      </c>
      <c r="Q291" s="213" t="s">
        <v>76</v>
      </c>
      <c r="R291" s="213" t="s">
        <v>76</v>
      </c>
    </row>
    <row r="292" spans="1:18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-8</v>
      </c>
      <c r="K292" s="35">
        <f t="shared" si="20"/>
        <v>-80</v>
      </c>
      <c r="L292" s="35"/>
      <c r="M292" s="37">
        <f t="shared" si="21"/>
        <v>0</v>
      </c>
      <c r="N292" s="211" t="s">
        <v>76</v>
      </c>
      <c r="O292" s="211" t="s">
        <v>76</v>
      </c>
      <c r="P292" s="212" t="s">
        <v>76</v>
      </c>
      <c r="Q292" s="213" t="s">
        <v>76</v>
      </c>
      <c r="R292" s="213" t="s">
        <v>76</v>
      </c>
    </row>
    <row r="293" spans="1:18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-8</v>
      </c>
      <c r="K293" s="35">
        <f t="shared" si="20"/>
        <v>-80</v>
      </c>
      <c r="L293" s="35"/>
      <c r="M293" s="37">
        <f t="shared" si="21"/>
        <v>0</v>
      </c>
      <c r="N293" s="211" t="s">
        <v>76</v>
      </c>
      <c r="O293" s="211" t="s">
        <v>76</v>
      </c>
      <c r="P293" s="212" t="s">
        <v>76</v>
      </c>
      <c r="Q293" s="213" t="s">
        <v>76</v>
      </c>
      <c r="R293" s="213" t="s">
        <v>76</v>
      </c>
    </row>
    <row r="294" spans="1:18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-8</v>
      </c>
      <c r="K294" s="35">
        <f t="shared" si="20"/>
        <v>-80</v>
      </c>
      <c r="L294" s="35"/>
      <c r="M294" s="37">
        <f t="shared" si="21"/>
        <v>0</v>
      </c>
      <c r="N294" s="211" t="s">
        <v>76</v>
      </c>
      <c r="O294" s="211" t="s">
        <v>76</v>
      </c>
      <c r="P294" s="212" t="s">
        <v>76</v>
      </c>
      <c r="Q294" s="213" t="s">
        <v>76</v>
      </c>
      <c r="R294" s="213" t="s">
        <v>76</v>
      </c>
    </row>
    <row r="295" spans="1:18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-8</v>
      </c>
      <c r="K295" s="35">
        <f t="shared" si="20"/>
        <v>-80</v>
      </c>
      <c r="L295" s="35"/>
      <c r="M295" s="37">
        <f t="shared" si="21"/>
        <v>0</v>
      </c>
      <c r="N295" s="211" t="s">
        <v>76</v>
      </c>
      <c r="O295" s="211" t="s">
        <v>76</v>
      </c>
      <c r="P295" s="212" t="s">
        <v>76</v>
      </c>
      <c r="Q295" s="213" t="s">
        <v>76</v>
      </c>
      <c r="R295" s="213" t="s">
        <v>76</v>
      </c>
    </row>
    <row r="296" spans="1:18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-8</v>
      </c>
      <c r="K296" s="35">
        <f t="shared" si="20"/>
        <v>-80</v>
      </c>
      <c r="L296" s="35"/>
      <c r="M296" s="37">
        <f t="shared" si="21"/>
        <v>0</v>
      </c>
      <c r="N296" s="211" t="s">
        <v>76</v>
      </c>
      <c r="O296" s="211" t="s">
        <v>76</v>
      </c>
      <c r="P296" s="212" t="s">
        <v>76</v>
      </c>
      <c r="Q296" s="213" t="s">
        <v>76</v>
      </c>
      <c r="R296" s="213" t="s">
        <v>76</v>
      </c>
    </row>
    <row r="297" spans="1:18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-8</v>
      </c>
      <c r="K297" s="35">
        <f t="shared" si="20"/>
        <v>-80</v>
      </c>
      <c r="L297" s="35"/>
      <c r="M297" s="37">
        <f t="shared" si="21"/>
        <v>0</v>
      </c>
      <c r="N297" s="211" t="s">
        <v>76</v>
      </c>
      <c r="O297" s="211" t="s">
        <v>76</v>
      </c>
      <c r="P297" s="212" t="s">
        <v>76</v>
      </c>
      <c r="Q297" s="213" t="s">
        <v>76</v>
      </c>
      <c r="R297" s="213" t="s">
        <v>76</v>
      </c>
    </row>
    <row r="298" spans="1:18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-8</v>
      </c>
      <c r="K298" s="35">
        <f t="shared" si="20"/>
        <v>-80</v>
      </c>
      <c r="L298" s="35"/>
      <c r="M298" s="37">
        <f t="shared" si="21"/>
        <v>0</v>
      </c>
      <c r="N298" s="211" t="s">
        <v>76</v>
      </c>
      <c r="O298" s="211" t="s">
        <v>76</v>
      </c>
      <c r="P298" s="212" t="s">
        <v>76</v>
      </c>
      <c r="Q298" s="213" t="s">
        <v>76</v>
      </c>
      <c r="R298" s="213" t="s">
        <v>76</v>
      </c>
    </row>
    <row r="299" spans="1:18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-8</v>
      </c>
      <c r="K299" s="35">
        <f t="shared" si="20"/>
        <v>-80</v>
      </c>
      <c r="L299" s="35"/>
      <c r="M299" s="37">
        <f t="shared" si="21"/>
        <v>0</v>
      </c>
      <c r="N299" s="211" t="s">
        <v>76</v>
      </c>
      <c r="O299" s="211" t="s">
        <v>76</v>
      </c>
      <c r="P299" s="212" t="s">
        <v>76</v>
      </c>
      <c r="Q299" s="213" t="s">
        <v>76</v>
      </c>
      <c r="R299" s="213" t="s">
        <v>76</v>
      </c>
    </row>
    <row r="300" spans="1:18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-8</v>
      </c>
      <c r="K300" s="35">
        <f t="shared" si="20"/>
        <v>-80</v>
      </c>
      <c r="L300" s="35"/>
      <c r="M300" s="37">
        <f t="shared" si="21"/>
        <v>0</v>
      </c>
      <c r="N300" s="211" t="s">
        <v>76</v>
      </c>
      <c r="O300" s="211" t="s">
        <v>76</v>
      </c>
      <c r="P300" s="212" t="s">
        <v>76</v>
      </c>
      <c r="Q300" s="213" t="s">
        <v>76</v>
      </c>
      <c r="R300" s="213" t="s">
        <v>76</v>
      </c>
    </row>
    <row r="301" spans="1:18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-8</v>
      </c>
      <c r="K301" s="35">
        <f t="shared" si="20"/>
        <v>-80</v>
      </c>
      <c r="L301" s="35"/>
      <c r="M301" s="37">
        <f t="shared" si="21"/>
        <v>0</v>
      </c>
      <c r="N301" s="211" t="s">
        <v>76</v>
      </c>
      <c r="O301" s="211" t="s">
        <v>76</v>
      </c>
      <c r="P301" s="212" t="s">
        <v>76</v>
      </c>
      <c r="Q301" s="213" t="s">
        <v>76</v>
      </c>
      <c r="R301" s="213" t="s">
        <v>76</v>
      </c>
    </row>
    <row r="302" spans="1:18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-8</v>
      </c>
      <c r="K302" s="35">
        <f t="shared" si="20"/>
        <v>-80</v>
      </c>
      <c r="L302" s="35"/>
      <c r="M302" s="37">
        <f t="shared" si="21"/>
        <v>0</v>
      </c>
      <c r="N302" s="211" t="s">
        <v>76</v>
      </c>
      <c r="O302" s="211" t="s">
        <v>76</v>
      </c>
      <c r="P302" s="212" t="s">
        <v>76</v>
      </c>
      <c r="Q302" s="213" t="s">
        <v>76</v>
      </c>
      <c r="R302" s="213" t="s">
        <v>76</v>
      </c>
    </row>
    <row r="303" spans="1:18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-8</v>
      </c>
      <c r="K303" s="35">
        <f t="shared" si="20"/>
        <v>-80</v>
      </c>
      <c r="L303" s="35"/>
      <c r="M303" s="37">
        <f t="shared" si="21"/>
        <v>0</v>
      </c>
      <c r="N303" s="211" t="s">
        <v>76</v>
      </c>
      <c r="O303" s="211" t="s">
        <v>76</v>
      </c>
      <c r="P303" s="212" t="s">
        <v>76</v>
      </c>
      <c r="Q303" s="213" t="s">
        <v>76</v>
      </c>
      <c r="R303" s="213" t="s">
        <v>76</v>
      </c>
    </row>
    <row r="304" spans="1:18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-8</v>
      </c>
      <c r="K304" s="35">
        <f t="shared" si="20"/>
        <v>-80</v>
      </c>
      <c r="L304" s="35"/>
      <c r="M304" s="37">
        <f t="shared" si="21"/>
        <v>0</v>
      </c>
      <c r="N304" s="211" t="s">
        <v>76</v>
      </c>
      <c r="O304" s="211" t="s">
        <v>76</v>
      </c>
      <c r="P304" s="212" t="s">
        <v>76</v>
      </c>
      <c r="Q304" s="213" t="s">
        <v>76</v>
      </c>
      <c r="R304" s="213" t="s">
        <v>76</v>
      </c>
    </row>
    <row r="305" spans="1:18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-8</v>
      </c>
      <c r="K305" s="35">
        <f t="shared" si="20"/>
        <v>-80</v>
      </c>
      <c r="L305" s="35"/>
      <c r="M305" s="37">
        <f t="shared" si="21"/>
        <v>0</v>
      </c>
      <c r="N305" s="211" t="s">
        <v>76</v>
      </c>
      <c r="O305" s="211" t="s">
        <v>76</v>
      </c>
      <c r="P305" s="212" t="s">
        <v>76</v>
      </c>
      <c r="Q305" s="213" t="s">
        <v>76</v>
      </c>
      <c r="R305" s="213" t="s">
        <v>76</v>
      </c>
    </row>
    <row r="306" spans="1:18" x14ac:dyDescent="0.25">
      <c r="A306" s="58"/>
      <c r="N306" s="211" t="s">
        <v>76</v>
      </c>
      <c r="O306" s="211" t="s">
        <v>76</v>
      </c>
      <c r="P306" s="212" t="s">
        <v>76</v>
      </c>
      <c r="Q306" s="213" t="s">
        <v>76</v>
      </c>
      <c r="R306" s="213" t="s">
        <v>76</v>
      </c>
    </row>
    <row r="307" spans="1:18" x14ac:dyDescent="0.25">
      <c r="N307" s="211" t="s">
        <v>76</v>
      </c>
      <c r="O307" s="211" t="s">
        <v>76</v>
      </c>
      <c r="P307" s="212" t="s">
        <v>76</v>
      </c>
      <c r="Q307" s="213" t="s">
        <v>76</v>
      </c>
      <c r="R307" s="213" t="s">
        <v>76</v>
      </c>
    </row>
    <row r="308" spans="1:18" x14ac:dyDescent="0.25">
      <c r="N308" s="211" t="s">
        <v>76</v>
      </c>
      <c r="O308" s="211" t="s">
        <v>76</v>
      </c>
      <c r="P308" s="212" t="s">
        <v>76</v>
      </c>
      <c r="Q308" s="213" t="s">
        <v>76</v>
      </c>
      <c r="R308" s="213" t="s">
        <v>76</v>
      </c>
    </row>
    <row r="309" spans="1:18" x14ac:dyDescent="0.25">
      <c r="N309" s="211" t="s">
        <v>76</v>
      </c>
      <c r="O309" s="211" t="s">
        <v>76</v>
      </c>
      <c r="P309" s="212" t="s">
        <v>76</v>
      </c>
      <c r="Q309" s="213" t="s">
        <v>76</v>
      </c>
      <c r="R309" s="213" t="s">
        <v>76</v>
      </c>
    </row>
    <row r="310" spans="1:18" x14ac:dyDescent="0.25">
      <c r="N310" s="211" t="s">
        <v>76</v>
      </c>
      <c r="O310" s="211" t="s">
        <v>76</v>
      </c>
      <c r="P310" s="212" t="s">
        <v>76</v>
      </c>
      <c r="Q310" s="213" t="s">
        <v>76</v>
      </c>
      <c r="R310" s="213" t="s">
        <v>76</v>
      </c>
    </row>
    <row r="311" spans="1:18" x14ac:dyDescent="0.25">
      <c r="N311" s="211" t="s">
        <v>76</v>
      </c>
      <c r="O311" s="211" t="s">
        <v>76</v>
      </c>
      <c r="P311" s="212" t="s">
        <v>76</v>
      </c>
      <c r="Q311" s="213" t="s">
        <v>76</v>
      </c>
      <c r="R311" s="213" t="s">
        <v>76</v>
      </c>
    </row>
    <row r="312" spans="1:18" x14ac:dyDescent="0.25">
      <c r="N312" s="211" t="s">
        <v>76</v>
      </c>
      <c r="O312" s="211" t="s">
        <v>76</v>
      </c>
      <c r="P312" s="212" t="s">
        <v>76</v>
      </c>
      <c r="Q312" s="213" t="s">
        <v>76</v>
      </c>
      <c r="R312" s="213" t="s">
        <v>76</v>
      </c>
    </row>
    <row r="313" spans="1:18" x14ac:dyDescent="0.25">
      <c r="N313" s="211" t="s">
        <v>76</v>
      </c>
      <c r="O313" s="211" t="s">
        <v>76</v>
      </c>
      <c r="P313" s="212" t="s">
        <v>76</v>
      </c>
      <c r="Q313" s="213" t="s">
        <v>76</v>
      </c>
      <c r="R313" s="213" t="s">
        <v>76</v>
      </c>
    </row>
    <row r="314" spans="1:18" x14ac:dyDescent="0.25">
      <c r="L314" s="61"/>
      <c r="N314" s="211" t="s">
        <v>76</v>
      </c>
      <c r="O314" s="211" t="s">
        <v>76</v>
      </c>
      <c r="P314" s="212" t="s">
        <v>76</v>
      </c>
      <c r="Q314" s="213" t="s">
        <v>76</v>
      </c>
      <c r="R314" s="213" t="s">
        <v>76</v>
      </c>
    </row>
    <row r="315" spans="1:18" x14ac:dyDescent="0.25">
      <c r="L315" s="61"/>
      <c r="N315" s="211" t="s">
        <v>76</v>
      </c>
      <c r="O315" s="211" t="s">
        <v>76</v>
      </c>
      <c r="P315" s="212" t="s">
        <v>76</v>
      </c>
      <c r="Q315" s="213" t="s">
        <v>76</v>
      </c>
      <c r="R315" s="213" t="s">
        <v>76</v>
      </c>
    </row>
    <row r="316" spans="1:18" x14ac:dyDescent="0.25">
      <c r="L316" s="61"/>
      <c r="N316" s="211" t="s">
        <v>76</v>
      </c>
      <c r="O316" s="211" t="s">
        <v>76</v>
      </c>
      <c r="P316" s="212" t="s">
        <v>76</v>
      </c>
      <c r="Q316" s="213" t="s">
        <v>76</v>
      </c>
      <c r="R316" s="213" t="s">
        <v>76</v>
      </c>
    </row>
    <row r="317" spans="1:18" x14ac:dyDescent="0.25">
      <c r="L317" s="61"/>
      <c r="N317" s="211" t="s">
        <v>76</v>
      </c>
      <c r="O317" s="211" t="s">
        <v>76</v>
      </c>
      <c r="P317" s="212" t="s">
        <v>76</v>
      </c>
      <c r="Q317" s="213" t="s">
        <v>76</v>
      </c>
      <c r="R317" s="213" t="s">
        <v>76</v>
      </c>
    </row>
    <row r="318" spans="1:18" x14ac:dyDescent="0.25">
      <c r="N318" s="211" t="s">
        <v>76</v>
      </c>
      <c r="O318" s="211" t="s">
        <v>76</v>
      </c>
      <c r="P318" s="212" t="s">
        <v>76</v>
      </c>
      <c r="Q318" s="213" t="s">
        <v>76</v>
      </c>
      <c r="R318" s="213" t="s">
        <v>76</v>
      </c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3FA57019-94D5-4403-8DC1-1A3FBFEB2877}">
      <formula1>#REF!</formula1>
    </dataValidation>
  </dataValidations>
  <hyperlinks>
    <hyperlink ref="C2:D2" r:id="rId1" display="GDAŃSK" xr:uid="{F58D7C94-8B62-4670-8F13-A93B17313AD6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F33A-52DE-44DF-8874-24CB63EAE114}">
  <sheetPr>
    <tabColor rgb="FF92D050"/>
  </sheetPr>
  <dimension ref="A1:AL317"/>
  <sheetViews>
    <sheetView workbookViewId="0">
      <selection activeCell="E20" sqref="E20"/>
    </sheetView>
  </sheetViews>
  <sheetFormatPr defaultColWidth="8.875" defaultRowHeight="14.3" x14ac:dyDescent="0.25"/>
  <cols>
    <col min="1" max="1" width="8" style="163" customWidth="1"/>
    <col min="2" max="2" width="8.25" style="163" customWidth="1"/>
    <col min="3" max="3" width="34.75" style="163" customWidth="1"/>
    <col min="4" max="4" width="11.25" style="163" customWidth="1"/>
    <col min="5" max="6" width="8.875" style="163"/>
    <col min="7" max="7" width="0.875" style="163" customWidth="1"/>
    <col min="8" max="8" width="8.875" style="165"/>
    <col min="9" max="9" width="11" style="165" customWidth="1"/>
    <col min="10" max="10" width="15.25" style="165" customWidth="1"/>
    <col min="11" max="11" width="8.75" style="165" customWidth="1"/>
    <col min="12" max="12" width="11" style="165" customWidth="1"/>
    <col min="13" max="13" width="11.75" style="166" customWidth="1"/>
    <col min="14" max="14" width="13.875" style="136" customWidth="1"/>
    <col min="15" max="15" width="3.875" style="136" customWidth="1"/>
    <col min="16" max="16" width="17.75" style="261" bestFit="1" customWidth="1"/>
    <col min="17" max="17" width="1.875" style="136" bestFit="1" customWidth="1"/>
    <col min="18" max="18" width="11.875" style="136" bestFit="1" customWidth="1"/>
    <col min="19" max="20" width="8.875" style="137"/>
    <col min="21" max="21" width="12.125" style="137" customWidth="1"/>
    <col min="22" max="22" width="27.375" style="137" customWidth="1"/>
    <col min="23" max="38" width="8.875" style="137"/>
    <col min="39" max="16384" width="8.875" style="163"/>
  </cols>
  <sheetData>
    <row r="1" spans="1:36" x14ac:dyDescent="0.25">
      <c r="A1" s="132"/>
      <c r="B1" s="132"/>
      <c r="C1" s="132"/>
      <c r="D1" s="132"/>
      <c r="E1" s="132"/>
      <c r="F1" s="132"/>
      <c r="G1" s="132"/>
      <c r="H1" s="133" t="s">
        <v>29</v>
      </c>
      <c r="I1" s="134" t="s">
        <v>30</v>
      </c>
      <c r="J1" s="134" t="s">
        <v>31</v>
      </c>
      <c r="K1" s="135" t="s">
        <v>32</v>
      </c>
      <c r="L1" s="136"/>
      <c r="M1" s="136"/>
    </row>
    <row r="2" spans="1:36" ht="14.45" customHeight="1" x14ac:dyDescent="0.25">
      <c r="A2" s="132"/>
      <c r="B2" s="19" t="s">
        <v>33</v>
      </c>
      <c r="C2" s="283" t="s">
        <v>91</v>
      </c>
      <c r="D2" s="283"/>
      <c r="E2" s="20"/>
      <c r="F2" s="20"/>
      <c r="G2" s="20"/>
      <c r="H2" s="138">
        <v>5</v>
      </c>
      <c r="I2" s="139">
        <v>50</v>
      </c>
      <c r="J2" s="139">
        <v>10</v>
      </c>
      <c r="K2" s="140">
        <f>3*H2^(1/3)</f>
        <v>5.1299278400300903</v>
      </c>
      <c r="L2" s="136"/>
      <c r="M2" s="136"/>
    </row>
    <row r="3" spans="1:36" ht="14.45" customHeight="1" x14ac:dyDescent="0.25">
      <c r="A3" s="132"/>
      <c r="B3" s="141" t="s">
        <v>35</v>
      </c>
      <c r="C3" s="284" t="s">
        <v>92</v>
      </c>
      <c r="D3" s="284"/>
      <c r="E3" s="25"/>
      <c r="F3" s="25"/>
      <c r="G3" s="25"/>
      <c r="H3" s="136"/>
      <c r="I3" s="136"/>
      <c r="J3" s="142"/>
      <c r="K3" s="136"/>
      <c r="L3" s="136"/>
      <c r="M3" s="13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6"/>
      <c r="I4" s="136"/>
      <c r="J4" s="142"/>
      <c r="K4" s="136"/>
      <c r="L4" s="136"/>
      <c r="M4" s="136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43" t="s">
        <v>43</v>
      </c>
      <c r="I5" s="144" t="s">
        <v>44</v>
      </c>
      <c r="J5" s="145" t="s">
        <v>45</v>
      </c>
      <c r="K5" s="144" t="s">
        <v>46</v>
      </c>
      <c r="L5" s="144" t="s">
        <v>47</v>
      </c>
      <c r="M5" s="143" t="s">
        <v>48</v>
      </c>
      <c r="P5" s="286" t="s">
        <v>79</v>
      </c>
      <c r="Q5" s="286"/>
      <c r="R5" s="286"/>
    </row>
    <row r="6" spans="1:36" ht="14.45" customHeight="1" x14ac:dyDescent="0.25">
      <c r="A6" s="32">
        <f>M6</f>
        <v>95.389783520090276</v>
      </c>
      <c r="B6" s="33">
        <f t="shared" ref="B6:B13" si="0">IF(H6&gt;$H$2,"",(ROW()-5))</f>
        <v>1</v>
      </c>
      <c r="C6" s="34" t="s">
        <v>20</v>
      </c>
      <c r="D6" s="34" t="s">
        <v>65</v>
      </c>
      <c r="E6" s="34" t="s">
        <v>93</v>
      </c>
      <c r="F6" s="34"/>
      <c r="G6" s="27"/>
      <c r="H6" s="146">
        <v>1</v>
      </c>
      <c r="I6" s="147">
        <f>IF(H2=1,50,IF(H6&lt;$H$2+1,($I$2-($I$2-1)*(LOG(H6)/LOG($H$2))),""))</f>
        <v>50</v>
      </c>
      <c r="J6" s="146">
        <f>INT(LOG($H$2,2))-ROUNDUP(LOG(H6,2),0)+IF(OR($H$2=1,$H$2=2,$H$2=4,$H$2=8,$H$2=16,$H$2=32,$H$2=64,$H$2=128,$H$2=256),0,1)</f>
        <v>3</v>
      </c>
      <c r="K6" s="146">
        <f t="shared" ref="K6:K69" si="1">J6*$J$2</f>
        <v>30</v>
      </c>
      <c r="L6" s="148">
        <f>3*K2</f>
        <v>15.389783520090271</v>
      </c>
      <c r="M6" s="148">
        <f t="shared" ref="M6:M69" si="2">IF(I6&lt;&gt;"",K6+I6+L6,0)</f>
        <v>95.389783520090276</v>
      </c>
    </row>
    <row r="7" spans="1:36" ht="14.45" customHeight="1" x14ac:dyDescent="0.25">
      <c r="A7" s="38">
        <f t="shared" ref="A7:A37" si="3">M7</f>
        <v>59.156704334463925</v>
      </c>
      <c r="B7" s="39">
        <f t="shared" si="0"/>
        <v>2</v>
      </c>
      <c r="C7" s="40" t="s">
        <v>19</v>
      </c>
      <c r="D7" s="40" t="s">
        <v>49</v>
      </c>
      <c r="E7" s="40" t="s">
        <v>93</v>
      </c>
      <c r="F7" s="40"/>
      <c r="G7" s="27"/>
      <c r="H7" s="149">
        <v>2</v>
      </c>
      <c r="I7" s="150">
        <f t="shared" ref="I7:I70" si="4">IF(H7&lt;$H$2+1,($I$2-($I$2-1)*(LOG(H7)/LOG($H$2))),"")</f>
        <v>28.896848654403744</v>
      </c>
      <c r="J7" s="149">
        <f t="shared" ref="J7:J70" si="5">INT(LOG($H$2,2))-ROUNDUP(LOG(H7,2),0)+IF(OR($H$2=1,$H$2=2,$H$2=4,$H$2=8,$H$2=16,$H$2=32,$H$2=64,$H$2=128,$H$2=256),0,1)</f>
        <v>2</v>
      </c>
      <c r="K7" s="149">
        <f t="shared" si="1"/>
        <v>20</v>
      </c>
      <c r="L7" s="151">
        <f>2*K2</f>
        <v>10.259855680060181</v>
      </c>
      <c r="M7" s="151">
        <f t="shared" si="2"/>
        <v>59.156704334463925</v>
      </c>
      <c r="O7" s="258">
        <v>1</v>
      </c>
      <c r="P7" s="262" t="s">
        <v>20</v>
      </c>
      <c r="Q7" s="258">
        <v>3</v>
      </c>
      <c r="R7" s="258">
        <v>30</v>
      </c>
    </row>
    <row r="8" spans="1:36" ht="14.45" customHeight="1" x14ac:dyDescent="0.25">
      <c r="A8" s="32">
        <f t="shared" si="3"/>
        <v>31.682224310216817</v>
      </c>
      <c r="B8" s="33">
        <f t="shared" si="0"/>
        <v>3</v>
      </c>
      <c r="C8" s="34" t="s">
        <v>21</v>
      </c>
      <c r="D8" s="34" t="s">
        <v>53</v>
      </c>
      <c r="E8" s="34" t="s">
        <v>93</v>
      </c>
      <c r="F8" s="34"/>
      <c r="G8" s="27"/>
      <c r="H8" s="146">
        <v>3</v>
      </c>
      <c r="I8" s="147">
        <f t="shared" si="4"/>
        <v>16.552296470186725</v>
      </c>
      <c r="J8" s="146">
        <f t="shared" si="5"/>
        <v>1</v>
      </c>
      <c r="K8" s="146">
        <f t="shared" si="1"/>
        <v>10</v>
      </c>
      <c r="L8" s="148">
        <f>K2</f>
        <v>5.1299278400300903</v>
      </c>
      <c r="M8" s="148">
        <f t="shared" si="2"/>
        <v>31.682224310216817</v>
      </c>
      <c r="O8" s="258">
        <v>2</v>
      </c>
      <c r="P8" s="262" t="s">
        <v>19</v>
      </c>
      <c r="Q8" s="258">
        <v>2</v>
      </c>
      <c r="R8" s="258">
        <v>20</v>
      </c>
    </row>
    <row r="9" spans="1:36" ht="14.45" customHeight="1" x14ac:dyDescent="0.25">
      <c r="A9" s="38">
        <f t="shared" si="3"/>
        <v>17.793697308807488</v>
      </c>
      <c r="B9" s="39">
        <f t="shared" si="0"/>
        <v>4</v>
      </c>
      <c r="C9" s="40" t="s">
        <v>24</v>
      </c>
      <c r="D9" s="40" t="s">
        <v>65</v>
      </c>
      <c r="E9" s="40" t="s">
        <v>93</v>
      </c>
      <c r="F9" s="40"/>
      <c r="G9" s="27"/>
      <c r="H9" s="149">
        <v>4</v>
      </c>
      <c r="I9" s="150">
        <f t="shared" si="4"/>
        <v>7.7936973088074879</v>
      </c>
      <c r="J9" s="149">
        <f t="shared" si="5"/>
        <v>1</v>
      </c>
      <c r="K9" s="149">
        <f t="shared" si="1"/>
        <v>10</v>
      </c>
      <c r="L9" s="151"/>
      <c r="M9" s="151">
        <f t="shared" si="2"/>
        <v>17.793697308807488</v>
      </c>
      <c r="O9" s="258">
        <v>3</v>
      </c>
      <c r="P9" s="262" t="s">
        <v>21</v>
      </c>
      <c r="Q9" s="258">
        <v>1</v>
      </c>
      <c r="R9" s="258">
        <v>10</v>
      </c>
      <c r="V9" s="152"/>
      <c r="Z9" s="153"/>
      <c r="AA9" s="153"/>
      <c r="AG9" s="154"/>
      <c r="AH9" s="137" t="s">
        <v>54</v>
      </c>
      <c r="AI9" s="137">
        <v>23</v>
      </c>
    </row>
    <row r="10" spans="1:36" ht="14.45" customHeight="1" x14ac:dyDescent="0.25">
      <c r="A10" s="32">
        <f t="shared" si="3"/>
        <v>1</v>
      </c>
      <c r="B10" s="33">
        <f t="shared" si="0"/>
        <v>5</v>
      </c>
      <c r="C10" s="34" t="s">
        <v>27</v>
      </c>
      <c r="D10" s="34" t="s">
        <v>94</v>
      </c>
      <c r="E10" s="34" t="s">
        <v>93</v>
      </c>
      <c r="F10" s="34"/>
      <c r="G10" s="27"/>
      <c r="H10" s="146">
        <v>5</v>
      </c>
      <c r="I10" s="147">
        <f t="shared" si="4"/>
        <v>1</v>
      </c>
      <c r="J10" s="146">
        <f t="shared" si="5"/>
        <v>0</v>
      </c>
      <c r="K10" s="146">
        <f t="shared" si="1"/>
        <v>0</v>
      </c>
      <c r="L10" s="146"/>
      <c r="M10" s="148">
        <f t="shared" si="2"/>
        <v>1</v>
      </c>
      <c r="O10" s="258">
        <v>4</v>
      </c>
      <c r="P10" s="262" t="s">
        <v>24</v>
      </c>
      <c r="Q10" s="258">
        <v>1</v>
      </c>
      <c r="R10" s="258">
        <v>10</v>
      </c>
      <c r="V10" s="152"/>
      <c r="Z10" s="153"/>
      <c r="AA10" s="153"/>
      <c r="AG10" s="154"/>
      <c r="AH10" s="137" t="s">
        <v>55</v>
      </c>
      <c r="AI10" s="13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49">
        <v>6</v>
      </c>
      <c r="I11" s="150" t="str">
        <f t="shared" si="4"/>
        <v/>
      </c>
      <c r="J11" s="149">
        <f t="shared" si="5"/>
        <v>0</v>
      </c>
      <c r="K11" s="149">
        <f t="shared" si="1"/>
        <v>0</v>
      </c>
      <c r="L11" s="149"/>
      <c r="M11" s="151">
        <f t="shared" si="2"/>
        <v>0</v>
      </c>
      <c r="O11" s="258">
        <v>5</v>
      </c>
      <c r="P11" s="262" t="s">
        <v>95</v>
      </c>
      <c r="Q11" s="258">
        <v>0</v>
      </c>
      <c r="R11" s="258">
        <v>0</v>
      </c>
      <c r="V11" s="155"/>
      <c r="Z11" s="153"/>
      <c r="AA11" s="153"/>
      <c r="AG11" s="154"/>
      <c r="AH11" s="137" t="s">
        <v>56</v>
      </c>
      <c r="AI11" s="13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46">
        <v>7</v>
      </c>
      <c r="I12" s="147" t="str">
        <f t="shared" si="4"/>
        <v/>
      </c>
      <c r="J12" s="146">
        <f t="shared" si="5"/>
        <v>0</v>
      </c>
      <c r="K12" s="146">
        <f t="shared" si="1"/>
        <v>0</v>
      </c>
      <c r="L12" s="146"/>
      <c r="M12" s="148">
        <f t="shared" si="2"/>
        <v>0</v>
      </c>
      <c r="O12" s="258">
        <v>6</v>
      </c>
      <c r="P12" s="262" t="s">
        <v>27</v>
      </c>
      <c r="Q12" s="258">
        <v>0</v>
      </c>
      <c r="R12" s="258">
        <v>0</v>
      </c>
      <c r="Z12" s="153"/>
      <c r="AA12" s="153"/>
      <c r="AG12" s="154"/>
      <c r="AH12" s="137" t="s">
        <v>57</v>
      </c>
      <c r="AI12" s="13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49">
        <v>8</v>
      </c>
      <c r="I13" s="150" t="str">
        <f t="shared" si="4"/>
        <v/>
      </c>
      <c r="J13" s="149">
        <f t="shared" si="5"/>
        <v>0</v>
      </c>
      <c r="K13" s="149">
        <f t="shared" si="1"/>
        <v>0</v>
      </c>
      <c r="L13" s="149"/>
      <c r="M13" s="151">
        <f t="shared" si="2"/>
        <v>0</v>
      </c>
      <c r="X13" s="152"/>
      <c r="AG13" s="154"/>
      <c r="AH13" s="137" t="s">
        <v>58</v>
      </c>
      <c r="AI13" s="13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46">
        <v>9</v>
      </c>
      <c r="I14" s="147" t="str">
        <f t="shared" si="4"/>
        <v/>
      </c>
      <c r="J14" s="146">
        <f t="shared" si="5"/>
        <v>-1</v>
      </c>
      <c r="K14" s="146">
        <f t="shared" si="1"/>
        <v>-10</v>
      </c>
      <c r="L14" s="146"/>
      <c r="M14" s="148">
        <f t="shared" si="2"/>
        <v>0</v>
      </c>
      <c r="X14" s="156"/>
      <c r="Z14" s="153"/>
      <c r="AA14" s="153"/>
      <c r="AG14" s="154"/>
      <c r="AH14" s="137" t="s">
        <v>59</v>
      </c>
      <c r="AI14" s="13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49">
        <v>10</v>
      </c>
      <c r="I15" s="150" t="str">
        <f t="shared" si="4"/>
        <v/>
      </c>
      <c r="J15" s="149">
        <f t="shared" si="5"/>
        <v>-1</v>
      </c>
      <c r="K15" s="149">
        <f t="shared" si="1"/>
        <v>-10</v>
      </c>
      <c r="L15" s="149"/>
      <c r="M15" s="151">
        <f t="shared" si="2"/>
        <v>0</v>
      </c>
      <c r="X15" s="152"/>
      <c r="Z15" s="153"/>
      <c r="AA15" s="15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46">
        <v>11</v>
      </c>
      <c r="I16" s="147" t="str">
        <f t="shared" si="4"/>
        <v/>
      </c>
      <c r="J16" s="146">
        <f t="shared" si="5"/>
        <v>-1</v>
      </c>
      <c r="K16" s="146">
        <f t="shared" si="1"/>
        <v>-10</v>
      </c>
      <c r="L16" s="146"/>
      <c r="M16" s="148">
        <f t="shared" si="2"/>
        <v>0</v>
      </c>
      <c r="R16" s="259"/>
      <c r="Z16" s="153"/>
      <c r="AA16" s="153"/>
      <c r="AH16" s="158" t="s">
        <v>60</v>
      </c>
      <c r="AI16" s="137">
        <f>AI11-AI12*AI13/AI14</f>
        <v>9.6393909380186855</v>
      </c>
      <c r="AJ16" s="137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49">
        <v>12</v>
      </c>
      <c r="I17" s="150" t="str">
        <f t="shared" si="4"/>
        <v/>
      </c>
      <c r="J17" s="149">
        <f t="shared" si="5"/>
        <v>-1</v>
      </c>
      <c r="K17" s="149">
        <f t="shared" si="1"/>
        <v>-10</v>
      </c>
      <c r="L17" s="149"/>
      <c r="M17" s="15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46">
        <v>13</v>
      </c>
      <c r="I18" s="147" t="str">
        <f t="shared" si="4"/>
        <v/>
      </c>
      <c r="J18" s="146">
        <f t="shared" si="5"/>
        <v>-1</v>
      </c>
      <c r="K18" s="146">
        <f t="shared" si="1"/>
        <v>-10</v>
      </c>
      <c r="L18" s="146"/>
      <c r="M18" s="14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49">
        <v>14</v>
      </c>
      <c r="I19" s="150" t="str">
        <f t="shared" si="4"/>
        <v/>
      </c>
      <c r="J19" s="149">
        <f t="shared" si="5"/>
        <v>-1</v>
      </c>
      <c r="K19" s="149">
        <f t="shared" si="1"/>
        <v>-10</v>
      </c>
      <c r="L19" s="149"/>
      <c r="M19" s="15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46">
        <v>15</v>
      </c>
      <c r="I20" s="147" t="str">
        <f t="shared" si="4"/>
        <v/>
      </c>
      <c r="J20" s="146">
        <f t="shared" si="5"/>
        <v>-1</v>
      </c>
      <c r="K20" s="146">
        <f t="shared" si="1"/>
        <v>-10</v>
      </c>
      <c r="L20" s="146"/>
      <c r="M20" s="148">
        <f t="shared" si="2"/>
        <v>0</v>
      </c>
      <c r="R20" s="260"/>
      <c r="S20" s="16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49">
        <v>16</v>
      </c>
      <c r="I21" s="150" t="str">
        <f t="shared" si="4"/>
        <v/>
      </c>
      <c r="J21" s="149">
        <f t="shared" si="5"/>
        <v>-1</v>
      </c>
      <c r="K21" s="149">
        <f t="shared" si="1"/>
        <v>-10</v>
      </c>
      <c r="L21" s="149"/>
      <c r="M21" s="15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46">
        <v>17</v>
      </c>
      <c r="I22" s="147" t="str">
        <f t="shared" si="4"/>
        <v/>
      </c>
      <c r="J22" s="146">
        <f t="shared" si="5"/>
        <v>-2</v>
      </c>
      <c r="K22" s="146">
        <f t="shared" si="1"/>
        <v>-20</v>
      </c>
      <c r="L22" s="146"/>
      <c r="M22" s="14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49">
        <v>18</v>
      </c>
      <c r="I23" s="150" t="str">
        <f t="shared" si="4"/>
        <v/>
      </c>
      <c r="J23" s="149">
        <f t="shared" si="5"/>
        <v>-2</v>
      </c>
      <c r="K23" s="149">
        <f t="shared" si="1"/>
        <v>-20</v>
      </c>
      <c r="L23" s="149"/>
      <c r="M23" s="15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46">
        <v>19</v>
      </c>
      <c r="I24" s="147" t="str">
        <f t="shared" si="4"/>
        <v/>
      </c>
      <c r="J24" s="146">
        <f t="shared" si="5"/>
        <v>-2</v>
      </c>
      <c r="K24" s="146">
        <f t="shared" si="1"/>
        <v>-20</v>
      </c>
      <c r="L24" s="146"/>
      <c r="M24" s="148">
        <f t="shared" si="2"/>
        <v>0</v>
      </c>
      <c r="R24" s="260"/>
      <c r="S24" s="16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49">
        <v>20</v>
      </c>
      <c r="I25" s="150" t="str">
        <f t="shared" si="4"/>
        <v/>
      </c>
      <c r="J25" s="149">
        <f t="shared" si="5"/>
        <v>-2</v>
      </c>
      <c r="K25" s="149">
        <f t="shared" si="1"/>
        <v>-20</v>
      </c>
      <c r="L25" s="149"/>
      <c r="M25" s="15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46">
        <v>21</v>
      </c>
      <c r="I26" s="147" t="str">
        <f t="shared" si="4"/>
        <v/>
      </c>
      <c r="J26" s="146">
        <f t="shared" si="5"/>
        <v>-2</v>
      </c>
      <c r="K26" s="146">
        <f t="shared" si="1"/>
        <v>-20</v>
      </c>
      <c r="L26" s="146"/>
      <c r="M26" s="14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49">
        <v>22</v>
      </c>
      <c r="I27" s="150" t="str">
        <f t="shared" si="4"/>
        <v/>
      </c>
      <c r="J27" s="149">
        <f t="shared" si="5"/>
        <v>-2</v>
      </c>
      <c r="K27" s="149">
        <f t="shared" si="1"/>
        <v>-20</v>
      </c>
      <c r="L27" s="149"/>
      <c r="M27" s="15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46">
        <v>23</v>
      </c>
      <c r="I28" s="147" t="str">
        <f t="shared" si="4"/>
        <v/>
      </c>
      <c r="J28" s="146">
        <f t="shared" si="5"/>
        <v>-2</v>
      </c>
      <c r="K28" s="146">
        <f t="shared" si="1"/>
        <v>-20</v>
      </c>
      <c r="L28" s="146"/>
      <c r="M28" s="148">
        <f t="shared" si="2"/>
        <v>0</v>
      </c>
      <c r="R28" s="260"/>
      <c r="S28" s="16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2"/>
      <c r="H29" s="149">
        <v>24</v>
      </c>
      <c r="I29" s="150" t="str">
        <f t="shared" si="4"/>
        <v/>
      </c>
      <c r="J29" s="149">
        <f t="shared" si="5"/>
        <v>-2</v>
      </c>
      <c r="K29" s="149">
        <f t="shared" si="1"/>
        <v>-20</v>
      </c>
      <c r="L29" s="149"/>
      <c r="M29" s="15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2"/>
      <c r="H30" s="146">
        <v>25</v>
      </c>
      <c r="I30" s="147" t="str">
        <f t="shared" si="4"/>
        <v/>
      </c>
      <c r="J30" s="146">
        <f t="shared" si="5"/>
        <v>-2</v>
      </c>
      <c r="K30" s="146">
        <f t="shared" si="1"/>
        <v>-20</v>
      </c>
      <c r="L30" s="146"/>
      <c r="M30" s="14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2"/>
      <c r="H31" s="149">
        <v>26</v>
      </c>
      <c r="I31" s="150" t="str">
        <f t="shared" si="4"/>
        <v/>
      </c>
      <c r="J31" s="149">
        <f t="shared" si="5"/>
        <v>-2</v>
      </c>
      <c r="K31" s="149">
        <f t="shared" si="1"/>
        <v>-20</v>
      </c>
      <c r="L31" s="149"/>
      <c r="M31" s="15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2"/>
      <c r="H32" s="146">
        <v>27</v>
      </c>
      <c r="I32" s="147" t="str">
        <f t="shared" si="4"/>
        <v/>
      </c>
      <c r="J32" s="146">
        <f t="shared" si="5"/>
        <v>-2</v>
      </c>
      <c r="K32" s="146">
        <f t="shared" si="1"/>
        <v>-20</v>
      </c>
      <c r="L32" s="146"/>
      <c r="M32" s="148">
        <f t="shared" si="2"/>
        <v>0</v>
      </c>
      <c r="R32" s="260"/>
      <c r="S32" s="16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2"/>
      <c r="H33" s="149">
        <v>28</v>
      </c>
      <c r="I33" s="150" t="str">
        <f t="shared" si="4"/>
        <v/>
      </c>
      <c r="J33" s="149">
        <f t="shared" si="5"/>
        <v>-2</v>
      </c>
      <c r="K33" s="149">
        <f t="shared" si="1"/>
        <v>-20</v>
      </c>
      <c r="L33" s="149"/>
      <c r="M33" s="15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2"/>
      <c r="H34" s="146">
        <v>29</v>
      </c>
      <c r="I34" s="147" t="str">
        <f t="shared" si="4"/>
        <v/>
      </c>
      <c r="J34" s="146">
        <f t="shared" si="5"/>
        <v>-2</v>
      </c>
      <c r="K34" s="146">
        <f t="shared" si="1"/>
        <v>-20</v>
      </c>
      <c r="L34" s="146"/>
      <c r="M34" s="14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2"/>
      <c r="H35" s="149">
        <v>30</v>
      </c>
      <c r="I35" s="150" t="str">
        <f t="shared" si="4"/>
        <v/>
      </c>
      <c r="J35" s="149">
        <f t="shared" si="5"/>
        <v>-2</v>
      </c>
      <c r="K35" s="149">
        <f t="shared" si="1"/>
        <v>-20</v>
      </c>
      <c r="L35" s="149"/>
      <c r="M35" s="15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2"/>
      <c r="H36" s="146">
        <v>31</v>
      </c>
      <c r="I36" s="147" t="str">
        <f t="shared" si="4"/>
        <v/>
      </c>
      <c r="J36" s="146">
        <f t="shared" si="5"/>
        <v>-2</v>
      </c>
      <c r="K36" s="146">
        <f t="shared" si="1"/>
        <v>-20</v>
      </c>
      <c r="L36" s="146"/>
      <c r="M36" s="148">
        <f t="shared" si="2"/>
        <v>0</v>
      </c>
      <c r="R36" s="260"/>
      <c r="S36" s="16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2"/>
      <c r="H37" s="149">
        <v>32</v>
      </c>
      <c r="I37" s="150" t="str">
        <f t="shared" si="4"/>
        <v/>
      </c>
      <c r="J37" s="149">
        <f t="shared" si="5"/>
        <v>-2</v>
      </c>
      <c r="K37" s="149">
        <f t="shared" si="1"/>
        <v>-20</v>
      </c>
      <c r="L37" s="149"/>
      <c r="M37" s="15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2"/>
      <c r="H38" s="146">
        <v>33</v>
      </c>
      <c r="I38" s="147" t="str">
        <f t="shared" si="4"/>
        <v/>
      </c>
      <c r="J38" s="146">
        <f t="shared" si="5"/>
        <v>-3</v>
      </c>
      <c r="K38" s="146">
        <f t="shared" si="1"/>
        <v>-30</v>
      </c>
      <c r="L38" s="146"/>
      <c r="M38" s="14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2"/>
      <c r="H39" s="149">
        <v>34</v>
      </c>
      <c r="I39" s="150" t="str">
        <f t="shared" si="4"/>
        <v/>
      </c>
      <c r="J39" s="149">
        <f t="shared" si="5"/>
        <v>-3</v>
      </c>
      <c r="K39" s="149">
        <f t="shared" si="1"/>
        <v>-30</v>
      </c>
      <c r="L39" s="149"/>
      <c r="M39" s="15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2"/>
      <c r="H40" s="146">
        <v>35</v>
      </c>
      <c r="I40" s="147" t="str">
        <f t="shared" si="4"/>
        <v/>
      </c>
      <c r="J40" s="146">
        <f t="shared" si="5"/>
        <v>-3</v>
      </c>
      <c r="K40" s="146">
        <f t="shared" si="1"/>
        <v>-30</v>
      </c>
      <c r="L40" s="146"/>
      <c r="M40" s="14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2"/>
      <c r="H41" s="149">
        <v>36</v>
      </c>
      <c r="I41" s="150" t="str">
        <f t="shared" si="4"/>
        <v/>
      </c>
      <c r="J41" s="149">
        <f t="shared" si="5"/>
        <v>-3</v>
      </c>
      <c r="K41" s="149">
        <f t="shared" si="1"/>
        <v>-30</v>
      </c>
      <c r="L41" s="149"/>
      <c r="M41" s="151">
        <f t="shared" si="2"/>
        <v>0</v>
      </c>
      <c r="S41" s="16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2"/>
      <c r="H42" s="146">
        <v>37</v>
      </c>
      <c r="I42" s="147" t="str">
        <f t="shared" si="4"/>
        <v/>
      </c>
      <c r="J42" s="146">
        <f t="shared" si="5"/>
        <v>-3</v>
      </c>
      <c r="K42" s="146">
        <f t="shared" si="1"/>
        <v>-30</v>
      </c>
      <c r="L42" s="146"/>
      <c r="M42" s="14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2"/>
      <c r="H43" s="149">
        <v>38</v>
      </c>
      <c r="I43" s="150" t="str">
        <f t="shared" si="4"/>
        <v/>
      </c>
      <c r="J43" s="149">
        <f t="shared" si="5"/>
        <v>-3</v>
      </c>
      <c r="K43" s="149">
        <f t="shared" si="1"/>
        <v>-30</v>
      </c>
      <c r="L43" s="149"/>
      <c r="M43" s="15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2"/>
      <c r="H44" s="146">
        <v>39</v>
      </c>
      <c r="I44" s="147" t="str">
        <f t="shared" si="4"/>
        <v/>
      </c>
      <c r="J44" s="146">
        <f t="shared" si="5"/>
        <v>-3</v>
      </c>
      <c r="K44" s="146">
        <f t="shared" si="1"/>
        <v>-30</v>
      </c>
      <c r="L44" s="146"/>
      <c r="M44" s="14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2"/>
      <c r="H45" s="149">
        <v>40</v>
      </c>
      <c r="I45" s="150" t="str">
        <f t="shared" si="4"/>
        <v/>
      </c>
      <c r="J45" s="149">
        <f t="shared" si="5"/>
        <v>-3</v>
      </c>
      <c r="K45" s="149">
        <f t="shared" si="1"/>
        <v>-30</v>
      </c>
      <c r="L45" s="149"/>
      <c r="M45" s="15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2"/>
      <c r="H46" s="146">
        <v>41</v>
      </c>
      <c r="I46" s="147" t="str">
        <f t="shared" si="4"/>
        <v/>
      </c>
      <c r="J46" s="146">
        <f t="shared" si="5"/>
        <v>-3</v>
      </c>
      <c r="K46" s="146">
        <f t="shared" si="1"/>
        <v>-30</v>
      </c>
      <c r="L46" s="146"/>
      <c r="M46" s="148">
        <f t="shared" si="2"/>
        <v>0</v>
      </c>
      <c r="R46" s="136">
        <f>LOG($H$2,2)</f>
        <v>2.3219280948873622</v>
      </c>
      <c r="T46" s="137">
        <f>LOG(H38,2)</f>
        <v>5.0443941193584534</v>
      </c>
      <c r="U46" s="137">
        <f>R46-T46</f>
        <v>-2.7224660244710912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2"/>
      <c r="H47" s="149">
        <v>42</v>
      </c>
      <c r="I47" s="150" t="str">
        <f t="shared" si="4"/>
        <v/>
      </c>
      <c r="J47" s="149">
        <f t="shared" si="5"/>
        <v>-3</v>
      </c>
      <c r="K47" s="149">
        <f t="shared" si="1"/>
        <v>-30</v>
      </c>
      <c r="L47" s="149"/>
      <c r="M47" s="15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2"/>
      <c r="H48" s="146">
        <v>43</v>
      </c>
      <c r="I48" s="147" t="str">
        <f t="shared" si="4"/>
        <v/>
      </c>
      <c r="J48" s="146">
        <f t="shared" si="5"/>
        <v>-3</v>
      </c>
      <c r="K48" s="146">
        <f t="shared" si="1"/>
        <v>-30</v>
      </c>
      <c r="L48" s="146"/>
      <c r="M48" s="14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2"/>
      <c r="H49" s="149">
        <v>44</v>
      </c>
      <c r="I49" s="150" t="str">
        <f t="shared" si="4"/>
        <v/>
      </c>
      <c r="J49" s="149">
        <f t="shared" si="5"/>
        <v>-3</v>
      </c>
      <c r="K49" s="149">
        <f t="shared" si="1"/>
        <v>-30</v>
      </c>
      <c r="L49" s="149"/>
      <c r="M49" s="15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2"/>
      <c r="H50" s="146">
        <v>45</v>
      </c>
      <c r="I50" s="147" t="str">
        <f t="shared" si="4"/>
        <v/>
      </c>
      <c r="J50" s="146">
        <f t="shared" si="5"/>
        <v>-3</v>
      </c>
      <c r="K50" s="146">
        <f t="shared" si="1"/>
        <v>-30</v>
      </c>
      <c r="L50" s="146"/>
      <c r="M50" s="14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2"/>
      <c r="H51" s="149">
        <v>46</v>
      </c>
      <c r="I51" s="150" t="str">
        <f t="shared" si="4"/>
        <v/>
      </c>
      <c r="J51" s="149">
        <f t="shared" si="5"/>
        <v>-3</v>
      </c>
      <c r="K51" s="149">
        <f t="shared" si="1"/>
        <v>-30</v>
      </c>
      <c r="L51" s="149"/>
      <c r="M51" s="15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2"/>
      <c r="H52" s="146">
        <v>47</v>
      </c>
      <c r="I52" s="147" t="str">
        <f t="shared" si="4"/>
        <v/>
      </c>
      <c r="J52" s="146">
        <f t="shared" si="5"/>
        <v>-3</v>
      </c>
      <c r="K52" s="146">
        <f t="shared" si="1"/>
        <v>-30</v>
      </c>
      <c r="L52" s="146"/>
      <c r="M52" s="14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2"/>
      <c r="H53" s="149">
        <v>48</v>
      </c>
      <c r="I53" s="150" t="str">
        <f t="shared" si="4"/>
        <v/>
      </c>
      <c r="J53" s="149">
        <f t="shared" si="5"/>
        <v>-3</v>
      </c>
      <c r="K53" s="149">
        <f t="shared" si="1"/>
        <v>-30</v>
      </c>
      <c r="L53" s="149"/>
      <c r="M53" s="15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2"/>
      <c r="H54" s="146">
        <v>49</v>
      </c>
      <c r="I54" s="147" t="str">
        <f t="shared" si="4"/>
        <v/>
      </c>
      <c r="J54" s="146">
        <f t="shared" si="5"/>
        <v>-3</v>
      </c>
      <c r="K54" s="146">
        <f t="shared" si="1"/>
        <v>-30</v>
      </c>
      <c r="L54" s="146"/>
      <c r="M54" s="14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2"/>
      <c r="H55" s="149">
        <v>50</v>
      </c>
      <c r="I55" s="150" t="str">
        <f t="shared" si="4"/>
        <v/>
      </c>
      <c r="J55" s="149">
        <f t="shared" si="5"/>
        <v>-3</v>
      </c>
      <c r="K55" s="149">
        <f t="shared" si="1"/>
        <v>-30</v>
      </c>
      <c r="L55" s="149"/>
      <c r="M55" s="15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2"/>
      <c r="H56" s="146">
        <v>51</v>
      </c>
      <c r="I56" s="147" t="str">
        <f t="shared" si="4"/>
        <v/>
      </c>
      <c r="J56" s="146">
        <f t="shared" si="5"/>
        <v>-3</v>
      </c>
      <c r="K56" s="146">
        <f t="shared" si="1"/>
        <v>-30</v>
      </c>
      <c r="L56" s="146"/>
      <c r="M56" s="14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2"/>
      <c r="H57" s="149">
        <v>52</v>
      </c>
      <c r="I57" s="150" t="str">
        <f t="shared" si="4"/>
        <v/>
      </c>
      <c r="J57" s="149">
        <f t="shared" si="5"/>
        <v>-3</v>
      </c>
      <c r="K57" s="149">
        <f t="shared" si="1"/>
        <v>-30</v>
      </c>
      <c r="L57" s="149"/>
      <c r="M57" s="15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2"/>
      <c r="H58" s="146">
        <v>53</v>
      </c>
      <c r="I58" s="147" t="str">
        <f t="shared" si="4"/>
        <v/>
      </c>
      <c r="J58" s="146">
        <f t="shared" si="5"/>
        <v>-3</v>
      </c>
      <c r="K58" s="146">
        <f t="shared" si="1"/>
        <v>-30</v>
      </c>
      <c r="L58" s="146"/>
      <c r="M58" s="14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2"/>
      <c r="H59" s="149">
        <v>54</v>
      </c>
      <c r="I59" s="150" t="str">
        <f t="shared" si="4"/>
        <v/>
      </c>
      <c r="J59" s="149">
        <f t="shared" si="5"/>
        <v>-3</v>
      </c>
      <c r="K59" s="149">
        <f t="shared" si="1"/>
        <v>-30</v>
      </c>
      <c r="L59" s="149"/>
      <c r="M59" s="15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2"/>
      <c r="H60" s="146">
        <v>55</v>
      </c>
      <c r="I60" s="147" t="str">
        <f t="shared" si="4"/>
        <v/>
      </c>
      <c r="J60" s="146">
        <f t="shared" si="5"/>
        <v>-3</v>
      </c>
      <c r="K60" s="146">
        <f t="shared" si="1"/>
        <v>-30</v>
      </c>
      <c r="L60" s="146"/>
      <c r="M60" s="14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2"/>
      <c r="H61" s="149">
        <v>56</v>
      </c>
      <c r="I61" s="150" t="str">
        <f t="shared" si="4"/>
        <v/>
      </c>
      <c r="J61" s="149">
        <f t="shared" si="5"/>
        <v>-3</v>
      </c>
      <c r="K61" s="149">
        <f t="shared" si="1"/>
        <v>-30</v>
      </c>
      <c r="L61" s="149"/>
      <c r="M61" s="15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2"/>
      <c r="H62" s="146">
        <v>57</v>
      </c>
      <c r="I62" s="147" t="str">
        <f t="shared" si="4"/>
        <v/>
      </c>
      <c r="J62" s="146">
        <f t="shared" si="5"/>
        <v>-3</v>
      </c>
      <c r="K62" s="146">
        <f t="shared" si="1"/>
        <v>-30</v>
      </c>
      <c r="L62" s="146"/>
      <c r="M62" s="14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2"/>
      <c r="H63" s="149">
        <v>58</v>
      </c>
      <c r="I63" s="150" t="str">
        <f t="shared" si="4"/>
        <v/>
      </c>
      <c r="J63" s="149">
        <f t="shared" si="5"/>
        <v>-3</v>
      </c>
      <c r="K63" s="149">
        <f t="shared" si="1"/>
        <v>-30</v>
      </c>
      <c r="L63" s="149"/>
      <c r="M63" s="15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2"/>
      <c r="H64" s="146">
        <v>59</v>
      </c>
      <c r="I64" s="147" t="str">
        <f t="shared" si="4"/>
        <v/>
      </c>
      <c r="J64" s="146">
        <f t="shared" si="5"/>
        <v>-3</v>
      </c>
      <c r="K64" s="146">
        <f t="shared" si="1"/>
        <v>-30</v>
      </c>
      <c r="L64" s="146"/>
      <c r="M64" s="14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2"/>
      <c r="H65" s="149">
        <v>60</v>
      </c>
      <c r="I65" s="150" t="str">
        <f t="shared" si="4"/>
        <v/>
      </c>
      <c r="J65" s="149">
        <f t="shared" si="5"/>
        <v>-3</v>
      </c>
      <c r="K65" s="149">
        <f t="shared" si="1"/>
        <v>-30</v>
      </c>
      <c r="L65" s="149"/>
      <c r="M65" s="151">
        <f t="shared" si="2"/>
        <v>0</v>
      </c>
    </row>
    <row r="66" spans="1:13" x14ac:dyDescent="0.25">
      <c r="A66" s="162"/>
      <c r="B66" s="33"/>
      <c r="G66" s="132"/>
      <c r="H66" s="146">
        <v>61</v>
      </c>
      <c r="I66" s="147" t="str">
        <f t="shared" si="4"/>
        <v/>
      </c>
      <c r="J66" s="146">
        <f t="shared" si="5"/>
        <v>-3</v>
      </c>
      <c r="K66" s="146">
        <f t="shared" si="1"/>
        <v>-30</v>
      </c>
      <c r="L66" s="146"/>
      <c r="M66" s="148">
        <f t="shared" si="2"/>
        <v>0</v>
      </c>
    </row>
    <row r="67" spans="1:13" x14ac:dyDescent="0.25">
      <c r="A67" s="162"/>
      <c r="B67" s="39"/>
      <c r="G67" s="132"/>
      <c r="H67" s="146">
        <v>62</v>
      </c>
      <c r="I67" s="147" t="str">
        <f t="shared" si="4"/>
        <v/>
      </c>
      <c r="J67" s="146">
        <f t="shared" si="5"/>
        <v>-3</v>
      </c>
      <c r="K67" s="146">
        <f t="shared" si="1"/>
        <v>-30</v>
      </c>
      <c r="L67" s="146"/>
      <c r="M67" s="148">
        <f t="shared" si="2"/>
        <v>0</v>
      </c>
    </row>
    <row r="68" spans="1:13" x14ac:dyDescent="0.25">
      <c r="A68" s="162"/>
      <c r="B68" s="33"/>
      <c r="G68" s="132"/>
      <c r="H68" s="146">
        <v>63</v>
      </c>
      <c r="I68" s="147" t="str">
        <f t="shared" si="4"/>
        <v/>
      </c>
      <c r="J68" s="146">
        <f t="shared" si="5"/>
        <v>-3</v>
      </c>
      <c r="K68" s="146">
        <f t="shared" si="1"/>
        <v>-30</v>
      </c>
      <c r="L68" s="146"/>
      <c r="M68" s="148">
        <f t="shared" si="2"/>
        <v>0</v>
      </c>
    </row>
    <row r="69" spans="1:13" x14ac:dyDescent="0.25">
      <c r="A69" s="162"/>
      <c r="B69" s="39"/>
      <c r="G69" s="132"/>
      <c r="H69" s="146">
        <v>64</v>
      </c>
      <c r="I69" s="147" t="str">
        <f t="shared" si="4"/>
        <v/>
      </c>
      <c r="J69" s="146">
        <f t="shared" si="5"/>
        <v>-3</v>
      </c>
      <c r="K69" s="146">
        <f t="shared" si="1"/>
        <v>-30</v>
      </c>
      <c r="L69" s="146"/>
      <c r="M69" s="148">
        <f t="shared" si="2"/>
        <v>0</v>
      </c>
    </row>
    <row r="70" spans="1:13" x14ac:dyDescent="0.25">
      <c r="A70" s="162"/>
      <c r="G70" s="132"/>
      <c r="H70" s="146">
        <v>65</v>
      </c>
      <c r="I70" s="147" t="str">
        <f t="shared" si="4"/>
        <v/>
      </c>
      <c r="J70" s="146">
        <f t="shared" si="5"/>
        <v>-4</v>
      </c>
      <c r="K70" s="146">
        <f t="shared" ref="K70:K133" si="7">J70*$J$2</f>
        <v>-40</v>
      </c>
      <c r="L70" s="146"/>
      <c r="M70" s="148">
        <f t="shared" ref="M70:M133" si="8">IF(I70&lt;&gt;"",K70+I70+L70,0)</f>
        <v>0</v>
      </c>
    </row>
    <row r="71" spans="1:13" x14ac:dyDescent="0.25">
      <c r="A71" s="162"/>
      <c r="G71" s="132"/>
      <c r="H71" s="146">
        <v>66</v>
      </c>
      <c r="I71" s="147" t="str">
        <f t="shared" ref="I71:I134" si="9">IF(H71&lt;$H$2+1,($I$2-($I$2-1)*(LOG(H71)/LOG($H$2))),"")</f>
        <v/>
      </c>
      <c r="J71" s="146">
        <f t="shared" ref="J71:J134" si="10">INT(LOG($H$2,2))-ROUNDUP(LOG(H71,2),0)+IF(OR($H$2=1,$H$2=2,$H$2=4,$H$2=8,$H$2=16,$H$2=32,$H$2=64,$H$2=128,$H$2=256),0,1)</f>
        <v>-4</v>
      </c>
      <c r="K71" s="146">
        <f t="shared" si="7"/>
        <v>-40</v>
      </c>
      <c r="L71" s="146"/>
      <c r="M71" s="148">
        <f t="shared" si="8"/>
        <v>0</v>
      </c>
    </row>
    <row r="72" spans="1:13" x14ac:dyDescent="0.25">
      <c r="A72" s="162"/>
      <c r="G72" s="132"/>
      <c r="H72" s="146">
        <v>67</v>
      </c>
      <c r="I72" s="147" t="str">
        <f t="shared" si="9"/>
        <v/>
      </c>
      <c r="J72" s="146">
        <f t="shared" si="10"/>
        <v>-4</v>
      </c>
      <c r="K72" s="146">
        <f t="shared" si="7"/>
        <v>-40</v>
      </c>
      <c r="L72" s="146"/>
      <c r="M72" s="148">
        <f t="shared" si="8"/>
        <v>0</v>
      </c>
    </row>
    <row r="73" spans="1:13" x14ac:dyDescent="0.25">
      <c r="A73" s="162"/>
      <c r="G73" s="132"/>
      <c r="H73" s="146">
        <v>68</v>
      </c>
      <c r="I73" s="147" t="str">
        <f t="shared" si="9"/>
        <v/>
      </c>
      <c r="J73" s="146">
        <f t="shared" si="10"/>
        <v>-4</v>
      </c>
      <c r="K73" s="146">
        <f t="shared" si="7"/>
        <v>-40</v>
      </c>
      <c r="L73" s="146"/>
      <c r="M73" s="148">
        <f t="shared" si="8"/>
        <v>0</v>
      </c>
    </row>
    <row r="74" spans="1:13" x14ac:dyDescent="0.25">
      <c r="A74" s="162"/>
      <c r="G74" s="132"/>
      <c r="H74" s="146">
        <v>69</v>
      </c>
      <c r="I74" s="147" t="str">
        <f t="shared" si="9"/>
        <v/>
      </c>
      <c r="J74" s="146">
        <f t="shared" si="10"/>
        <v>-4</v>
      </c>
      <c r="K74" s="146">
        <f t="shared" si="7"/>
        <v>-40</v>
      </c>
      <c r="L74" s="146"/>
      <c r="M74" s="148">
        <f t="shared" si="8"/>
        <v>0</v>
      </c>
    </row>
    <row r="75" spans="1:13" x14ac:dyDescent="0.25">
      <c r="A75" s="162"/>
      <c r="G75" s="132"/>
      <c r="H75" s="146">
        <v>70</v>
      </c>
      <c r="I75" s="147" t="str">
        <f t="shared" si="9"/>
        <v/>
      </c>
      <c r="J75" s="146">
        <f t="shared" si="10"/>
        <v>-4</v>
      </c>
      <c r="K75" s="146">
        <f t="shared" si="7"/>
        <v>-40</v>
      </c>
      <c r="L75" s="146"/>
      <c r="M75" s="148">
        <f t="shared" si="8"/>
        <v>0</v>
      </c>
    </row>
    <row r="76" spans="1:13" x14ac:dyDescent="0.25">
      <c r="A76" s="162"/>
      <c r="G76" s="132"/>
      <c r="H76" s="146">
        <v>71</v>
      </c>
      <c r="I76" s="147" t="str">
        <f t="shared" si="9"/>
        <v/>
      </c>
      <c r="J76" s="146">
        <f t="shared" si="10"/>
        <v>-4</v>
      </c>
      <c r="K76" s="146">
        <f t="shared" si="7"/>
        <v>-40</v>
      </c>
      <c r="L76" s="146"/>
      <c r="M76" s="148">
        <f t="shared" si="8"/>
        <v>0</v>
      </c>
    </row>
    <row r="77" spans="1:13" x14ac:dyDescent="0.25">
      <c r="A77" s="162"/>
      <c r="G77" s="132"/>
      <c r="H77" s="146">
        <v>72</v>
      </c>
      <c r="I77" s="147" t="str">
        <f t="shared" si="9"/>
        <v/>
      </c>
      <c r="J77" s="146">
        <f t="shared" si="10"/>
        <v>-4</v>
      </c>
      <c r="K77" s="146">
        <f t="shared" si="7"/>
        <v>-40</v>
      </c>
      <c r="L77" s="146"/>
      <c r="M77" s="148">
        <f t="shared" si="8"/>
        <v>0</v>
      </c>
    </row>
    <row r="78" spans="1:13" x14ac:dyDescent="0.25">
      <c r="A78" s="162"/>
      <c r="G78" s="132"/>
      <c r="H78" s="146">
        <v>73</v>
      </c>
      <c r="I78" s="147" t="str">
        <f t="shared" si="9"/>
        <v/>
      </c>
      <c r="J78" s="146">
        <f t="shared" si="10"/>
        <v>-4</v>
      </c>
      <c r="K78" s="146">
        <f t="shared" si="7"/>
        <v>-40</v>
      </c>
      <c r="L78" s="146"/>
      <c r="M78" s="148">
        <f t="shared" si="8"/>
        <v>0</v>
      </c>
    </row>
    <row r="79" spans="1:13" x14ac:dyDescent="0.25">
      <c r="A79" s="162"/>
      <c r="G79" s="132"/>
      <c r="H79" s="146">
        <v>74</v>
      </c>
      <c r="I79" s="147" t="str">
        <f t="shared" si="9"/>
        <v/>
      </c>
      <c r="J79" s="146">
        <f t="shared" si="10"/>
        <v>-4</v>
      </c>
      <c r="K79" s="146">
        <f t="shared" si="7"/>
        <v>-40</v>
      </c>
      <c r="L79" s="146"/>
      <c r="M79" s="148">
        <f t="shared" si="8"/>
        <v>0</v>
      </c>
    </row>
    <row r="80" spans="1:13" x14ac:dyDescent="0.25">
      <c r="A80" s="162"/>
      <c r="G80" s="132"/>
      <c r="H80" s="146">
        <v>75</v>
      </c>
      <c r="I80" s="147" t="str">
        <f t="shared" si="9"/>
        <v/>
      </c>
      <c r="J80" s="146">
        <f t="shared" si="10"/>
        <v>-4</v>
      </c>
      <c r="K80" s="146">
        <f t="shared" si="7"/>
        <v>-40</v>
      </c>
      <c r="L80" s="146"/>
      <c r="M80" s="148">
        <f t="shared" si="8"/>
        <v>0</v>
      </c>
    </row>
    <row r="81" spans="1:13" x14ac:dyDescent="0.25">
      <c r="A81" s="162"/>
      <c r="G81" s="132"/>
      <c r="H81" s="146">
        <v>76</v>
      </c>
      <c r="I81" s="147" t="str">
        <f t="shared" si="9"/>
        <v/>
      </c>
      <c r="J81" s="146">
        <f t="shared" si="10"/>
        <v>-4</v>
      </c>
      <c r="K81" s="146">
        <f t="shared" si="7"/>
        <v>-40</v>
      </c>
      <c r="L81" s="146"/>
      <c r="M81" s="148">
        <f t="shared" si="8"/>
        <v>0</v>
      </c>
    </row>
    <row r="82" spans="1:13" x14ac:dyDescent="0.25">
      <c r="A82" s="162"/>
      <c r="G82" s="132"/>
      <c r="H82" s="146">
        <v>77</v>
      </c>
      <c r="I82" s="147" t="str">
        <f t="shared" si="9"/>
        <v/>
      </c>
      <c r="J82" s="146">
        <f t="shared" si="10"/>
        <v>-4</v>
      </c>
      <c r="K82" s="146">
        <f t="shared" si="7"/>
        <v>-40</v>
      </c>
      <c r="L82" s="146"/>
      <c r="M82" s="148">
        <f t="shared" si="8"/>
        <v>0</v>
      </c>
    </row>
    <row r="83" spans="1:13" x14ac:dyDescent="0.25">
      <c r="A83" s="162"/>
      <c r="G83" s="132"/>
      <c r="H83" s="146">
        <v>78</v>
      </c>
      <c r="I83" s="147" t="str">
        <f t="shared" si="9"/>
        <v/>
      </c>
      <c r="J83" s="146">
        <f t="shared" si="10"/>
        <v>-4</v>
      </c>
      <c r="K83" s="146">
        <f t="shared" si="7"/>
        <v>-40</v>
      </c>
      <c r="L83" s="146"/>
      <c r="M83" s="148">
        <f t="shared" si="8"/>
        <v>0</v>
      </c>
    </row>
    <row r="84" spans="1:13" x14ac:dyDescent="0.25">
      <c r="A84" s="162"/>
      <c r="G84" s="132"/>
      <c r="H84" s="146">
        <v>79</v>
      </c>
      <c r="I84" s="147" t="str">
        <f t="shared" si="9"/>
        <v/>
      </c>
      <c r="J84" s="146">
        <f t="shared" si="10"/>
        <v>-4</v>
      </c>
      <c r="K84" s="146">
        <f t="shared" si="7"/>
        <v>-40</v>
      </c>
      <c r="L84" s="146"/>
      <c r="M84" s="148">
        <f t="shared" si="8"/>
        <v>0</v>
      </c>
    </row>
    <row r="85" spans="1:13" x14ac:dyDescent="0.25">
      <c r="A85" s="162"/>
      <c r="G85" s="132"/>
      <c r="H85" s="146">
        <v>80</v>
      </c>
      <c r="I85" s="147" t="str">
        <f t="shared" si="9"/>
        <v/>
      </c>
      <c r="J85" s="146">
        <f t="shared" si="10"/>
        <v>-4</v>
      </c>
      <c r="K85" s="146">
        <f t="shared" si="7"/>
        <v>-40</v>
      </c>
      <c r="L85" s="146"/>
      <c r="M85" s="148">
        <f t="shared" si="8"/>
        <v>0</v>
      </c>
    </row>
    <row r="86" spans="1:13" x14ac:dyDescent="0.25">
      <c r="A86" s="162"/>
      <c r="G86" s="132"/>
      <c r="H86" s="146">
        <v>81</v>
      </c>
      <c r="I86" s="147" t="str">
        <f t="shared" si="9"/>
        <v/>
      </c>
      <c r="J86" s="146">
        <f t="shared" si="10"/>
        <v>-4</v>
      </c>
      <c r="K86" s="146">
        <f t="shared" si="7"/>
        <v>-40</v>
      </c>
      <c r="L86" s="146"/>
      <c r="M86" s="148">
        <f t="shared" si="8"/>
        <v>0</v>
      </c>
    </row>
    <row r="87" spans="1:13" x14ac:dyDescent="0.25">
      <c r="A87" s="162"/>
      <c r="G87" s="132"/>
      <c r="H87" s="146">
        <v>82</v>
      </c>
      <c r="I87" s="147" t="str">
        <f t="shared" si="9"/>
        <v/>
      </c>
      <c r="J87" s="146">
        <f t="shared" si="10"/>
        <v>-4</v>
      </c>
      <c r="K87" s="146">
        <f t="shared" si="7"/>
        <v>-40</v>
      </c>
      <c r="L87" s="146"/>
      <c r="M87" s="148">
        <f t="shared" si="8"/>
        <v>0</v>
      </c>
    </row>
    <row r="88" spans="1:13" x14ac:dyDescent="0.25">
      <c r="A88" s="162"/>
      <c r="G88" s="132"/>
      <c r="H88" s="146">
        <v>83</v>
      </c>
      <c r="I88" s="147" t="str">
        <f t="shared" si="9"/>
        <v/>
      </c>
      <c r="J88" s="146">
        <f t="shared" si="10"/>
        <v>-4</v>
      </c>
      <c r="K88" s="146">
        <f t="shared" si="7"/>
        <v>-40</v>
      </c>
      <c r="L88" s="146"/>
      <c r="M88" s="148">
        <f t="shared" si="8"/>
        <v>0</v>
      </c>
    </row>
    <row r="89" spans="1:13" x14ac:dyDescent="0.25">
      <c r="A89" s="162"/>
      <c r="G89" s="132"/>
      <c r="H89" s="146">
        <v>84</v>
      </c>
      <c r="I89" s="147" t="str">
        <f t="shared" si="9"/>
        <v/>
      </c>
      <c r="J89" s="146">
        <f t="shared" si="10"/>
        <v>-4</v>
      </c>
      <c r="K89" s="146">
        <f t="shared" si="7"/>
        <v>-40</v>
      </c>
      <c r="L89" s="146"/>
      <c r="M89" s="148">
        <f t="shared" si="8"/>
        <v>0</v>
      </c>
    </row>
    <row r="90" spans="1:13" x14ac:dyDescent="0.25">
      <c r="A90" s="162"/>
      <c r="G90" s="132"/>
      <c r="H90" s="146">
        <v>85</v>
      </c>
      <c r="I90" s="147" t="str">
        <f t="shared" si="9"/>
        <v/>
      </c>
      <c r="J90" s="146">
        <f t="shared" si="10"/>
        <v>-4</v>
      </c>
      <c r="K90" s="146">
        <f t="shared" si="7"/>
        <v>-40</v>
      </c>
      <c r="L90" s="146"/>
      <c r="M90" s="148">
        <f t="shared" si="8"/>
        <v>0</v>
      </c>
    </row>
    <row r="91" spans="1:13" x14ac:dyDescent="0.25">
      <c r="A91" s="162"/>
      <c r="G91" s="132"/>
      <c r="H91" s="146">
        <v>86</v>
      </c>
      <c r="I91" s="147" t="str">
        <f t="shared" si="9"/>
        <v/>
      </c>
      <c r="J91" s="146">
        <f t="shared" si="10"/>
        <v>-4</v>
      </c>
      <c r="K91" s="146">
        <f t="shared" si="7"/>
        <v>-40</v>
      </c>
      <c r="L91" s="146"/>
      <c r="M91" s="148">
        <f t="shared" si="8"/>
        <v>0</v>
      </c>
    </row>
    <row r="92" spans="1:13" x14ac:dyDescent="0.25">
      <c r="A92" s="162"/>
      <c r="G92" s="132"/>
      <c r="H92" s="146">
        <v>87</v>
      </c>
      <c r="I92" s="147" t="str">
        <f t="shared" si="9"/>
        <v/>
      </c>
      <c r="J92" s="146">
        <f t="shared" si="10"/>
        <v>-4</v>
      </c>
      <c r="K92" s="146">
        <f t="shared" si="7"/>
        <v>-40</v>
      </c>
      <c r="L92" s="146"/>
      <c r="M92" s="148">
        <f t="shared" si="8"/>
        <v>0</v>
      </c>
    </row>
    <row r="93" spans="1:13" x14ac:dyDescent="0.25">
      <c r="A93" s="162"/>
      <c r="G93" s="132"/>
      <c r="H93" s="146">
        <v>88</v>
      </c>
      <c r="I93" s="147" t="str">
        <f t="shared" si="9"/>
        <v/>
      </c>
      <c r="J93" s="146">
        <f t="shared" si="10"/>
        <v>-4</v>
      </c>
      <c r="K93" s="146">
        <f t="shared" si="7"/>
        <v>-40</v>
      </c>
      <c r="L93" s="146"/>
      <c r="M93" s="148">
        <f t="shared" si="8"/>
        <v>0</v>
      </c>
    </row>
    <row r="94" spans="1:13" x14ac:dyDescent="0.25">
      <c r="A94" s="162"/>
      <c r="G94" s="132"/>
      <c r="H94" s="146">
        <v>89</v>
      </c>
      <c r="I94" s="147" t="str">
        <f t="shared" si="9"/>
        <v/>
      </c>
      <c r="J94" s="146">
        <f t="shared" si="10"/>
        <v>-4</v>
      </c>
      <c r="K94" s="146">
        <f t="shared" si="7"/>
        <v>-40</v>
      </c>
      <c r="L94" s="146"/>
      <c r="M94" s="148">
        <f t="shared" si="8"/>
        <v>0</v>
      </c>
    </row>
    <row r="95" spans="1:13" x14ac:dyDescent="0.25">
      <c r="A95" s="162"/>
      <c r="G95" s="132"/>
      <c r="H95" s="146">
        <v>90</v>
      </c>
      <c r="I95" s="147" t="str">
        <f t="shared" si="9"/>
        <v/>
      </c>
      <c r="J95" s="146">
        <f t="shared" si="10"/>
        <v>-4</v>
      </c>
      <c r="K95" s="146">
        <f t="shared" si="7"/>
        <v>-40</v>
      </c>
      <c r="L95" s="146"/>
      <c r="M95" s="148">
        <f t="shared" si="8"/>
        <v>0</v>
      </c>
    </row>
    <row r="96" spans="1:13" x14ac:dyDescent="0.25">
      <c r="A96" s="162"/>
      <c r="G96" s="132"/>
      <c r="H96" s="146">
        <v>91</v>
      </c>
      <c r="I96" s="147" t="str">
        <f t="shared" si="9"/>
        <v/>
      </c>
      <c r="J96" s="146">
        <f t="shared" si="10"/>
        <v>-4</v>
      </c>
      <c r="K96" s="146">
        <f t="shared" si="7"/>
        <v>-40</v>
      </c>
      <c r="L96" s="146"/>
      <c r="M96" s="148">
        <f t="shared" si="8"/>
        <v>0</v>
      </c>
    </row>
    <row r="97" spans="1:13" x14ac:dyDescent="0.25">
      <c r="A97" s="162"/>
      <c r="G97" s="132"/>
      <c r="H97" s="146">
        <v>92</v>
      </c>
      <c r="I97" s="147" t="str">
        <f t="shared" si="9"/>
        <v/>
      </c>
      <c r="J97" s="146">
        <f t="shared" si="10"/>
        <v>-4</v>
      </c>
      <c r="K97" s="146">
        <f t="shared" si="7"/>
        <v>-40</v>
      </c>
      <c r="L97" s="146"/>
      <c r="M97" s="148">
        <f t="shared" si="8"/>
        <v>0</v>
      </c>
    </row>
    <row r="98" spans="1:13" x14ac:dyDescent="0.25">
      <c r="A98" s="162"/>
      <c r="G98" s="132"/>
      <c r="H98" s="146">
        <v>93</v>
      </c>
      <c r="I98" s="147" t="str">
        <f t="shared" si="9"/>
        <v/>
      </c>
      <c r="J98" s="146">
        <f t="shared" si="10"/>
        <v>-4</v>
      </c>
      <c r="K98" s="146">
        <f t="shared" si="7"/>
        <v>-40</v>
      </c>
      <c r="L98" s="146"/>
      <c r="M98" s="148">
        <f t="shared" si="8"/>
        <v>0</v>
      </c>
    </row>
    <row r="99" spans="1:13" x14ac:dyDescent="0.25">
      <c r="A99" s="162"/>
      <c r="G99" s="132"/>
      <c r="H99" s="146">
        <v>94</v>
      </c>
      <c r="I99" s="147" t="str">
        <f t="shared" si="9"/>
        <v/>
      </c>
      <c r="J99" s="146">
        <f t="shared" si="10"/>
        <v>-4</v>
      </c>
      <c r="K99" s="146">
        <f t="shared" si="7"/>
        <v>-40</v>
      </c>
      <c r="L99" s="146"/>
      <c r="M99" s="148">
        <f t="shared" si="8"/>
        <v>0</v>
      </c>
    </row>
    <row r="100" spans="1:13" x14ac:dyDescent="0.25">
      <c r="A100" s="162"/>
      <c r="G100" s="132"/>
      <c r="H100" s="146">
        <v>95</v>
      </c>
      <c r="I100" s="147" t="str">
        <f t="shared" si="9"/>
        <v/>
      </c>
      <c r="J100" s="146">
        <f t="shared" si="10"/>
        <v>-4</v>
      </c>
      <c r="K100" s="146">
        <f t="shared" si="7"/>
        <v>-40</v>
      </c>
      <c r="L100" s="146"/>
      <c r="M100" s="148">
        <f t="shared" si="8"/>
        <v>0</v>
      </c>
    </row>
    <row r="101" spans="1:13" x14ac:dyDescent="0.25">
      <c r="A101" s="162"/>
      <c r="G101" s="132"/>
      <c r="H101" s="146">
        <v>96</v>
      </c>
      <c r="I101" s="147" t="str">
        <f t="shared" si="9"/>
        <v/>
      </c>
      <c r="J101" s="146">
        <f t="shared" si="10"/>
        <v>-4</v>
      </c>
      <c r="K101" s="146">
        <f t="shared" si="7"/>
        <v>-40</v>
      </c>
      <c r="L101" s="146"/>
      <c r="M101" s="148">
        <f t="shared" si="8"/>
        <v>0</v>
      </c>
    </row>
    <row r="102" spans="1:13" x14ac:dyDescent="0.25">
      <c r="A102" s="162"/>
      <c r="G102" s="132"/>
      <c r="H102" s="146">
        <v>97</v>
      </c>
      <c r="I102" s="147" t="str">
        <f t="shared" si="9"/>
        <v/>
      </c>
      <c r="J102" s="146">
        <f t="shared" si="10"/>
        <v>-4</v>
      </c>
      <c r="K102" s="146">
        <f t="shared" si="7"/>
        <v>-40</v>
      </c>
      <c r="L102" s="146"/>
      <c r="M102" s="148">
        <f t="shared" si="8"/>
        <v>0</v>
      </c>
    </row>
    <row r="103" spans="1:13" x14ac:dyDescent="0.25">
      <c r="A103" s="162"/>
      <c r="G103" s="132"/>
      <c r="H103" s="146">
        <v>98</v>
      </c>
      <c r="I103" s="147" t="str">
        <f t="shared" si="9"/>
        <v/>
      </c>
      <c r="J103" s="146">
        <f t="shared" si="10"/>
        <v>-4</v>
      </c>
      <c r="K103" s="146">
        <f t="shared" si="7"/>
        <v>-40</v>
      </c>
      <c r="L103" s="146"/>
      <c r="M103" s="148">
        <f t="shared" si="8"/>
        <v>0</v>
      </c>
    </row>
    <row r="104" spans="1:13" x14ac:dyDescent="0.25">
      <c r="A104" s="162"/>
      <c r="G104" s="132"/>
      <c r="H104" s="146">
        <v>99</v>
      </c>
      <c r="I104" s="147" t="str">
        <f t="shared" si="9"/>
        <v/>
      </c>
      <c r="J104" s="146">
        <f t="shared" si="10"/>
        <v>-4</v>
      </c>
      <c r="K104" s="146">
        <f t="shared" si="7"/>
        <v>-40</v>
      </c>
      <c r="L104" s="146"/>
      <c r="M104" s="148">
        <f t="shared" si="8"/>
        <v>0</v>
      </c>
    </row>
    <row r="105" spans="1:13" x14ac:dyDescent="0.25">
      <c r="A105" s="162"/>
      <c r="G105" s="132"/>
      <c r="H105" s="146">
        <v>100</v>
      </c>
      <c r="I105" s="147" t="str">
        <f t="shared" si="9"/>
        <v/>
      </c>
      <c r="J105" s="146">
        <f t="shared" si="10"/>
        <v>-4</v>
      </c>
      <c r="K105" s="146">
        <f t="shared" si="7"/>
        <v>-40</v>
      </c>
      <c r="L105" s="146"/>
      <c r="M105" s="148">
        <f t="shared" si="8"/>
        <v>0</v>
      </c>
    </row>
    <row r="106" spans="1:13" x14ac:dyDescent="0.25">
      <c r="A106" s="162"/>
      <c r="G106" s="132"/>
      <c r="H106" s="146">
        <v>101</v>
      </c>
      <c r="I106" s="147" t="str">
        <f t="shared" si="9"/>
        <v/>
      </c>
      <c r="J106" s="146">
        <f t="shared" si="10"/>
        <v>-4</v>
      </c>
      <c r="K106" s="146">
        <f t="shared" si="7"/>
        <v>-40</v>
      </c>
      <c r="L106" s="146"/>
      <c r="M106" s="148">
        <f t="shared" si="8"/>
        <v>0</v>
      </c>
    </row>
    <row r="107" spans="1:13" x14ac:dyDescent="0.25">
      <c r="A107" s="162"/>
      <c r="G107" s="132"/>
      <c r="H107" s="146">
        <v>102</v>
      </c>
      <c r="I107" s="147" t="str">
        <f t="shared" si="9"/>
        <v/>
      </c>
      <c r="J107" s="146">
        <f t="shared" si="10"/>
        <v>-4</v>
      </c>
      <c r="K107" s="146">
        <f t="shared" si="7"/>
        <v>-40</v>
      </c>
      <c r="L107" s="146"/>
      <c r="M107" s="148">
        <f t="shared" si="8"/>
        <v>0</v>
      </c>
    </row>
    <row r="108" spans="1:13" x14ac:dyDescent="0.25">
      <c r="A108" s="162"/>
      <c r="G108" s="132"/>
      <c r="H108" s="146">
        <v>103</v>
      </c>
      <c r="I108" s="147" t="str">
        <f t="shared" si="9"/>
        <v/>
      </c>
      <c r="J108" s="146">
        <f t="shared" si="10"/>
        <v>-4</v>
      </c>
      <c r="K108" s="146">
        <f t="shared" si="7"/>
        <v>-40</v>
      </c>
      <c r="L108" s="146"/>
      <c r="M108" s="148">
        <f t="shared" si="8"/>
        <v>0</v>
      </c>
    </row>
    <row r="109" spans="1:13" x14ac:dyDescent="0.25">
      <c r="A109" s="162"/>
      <c r="G109" s="132"/>
      <c r="H109" s="146">
        <v>104</v>
      </c>
      <c r="I109" s="147" t="str">
        <f t="shared" si="9"/>
        <v/>
      </c>
      <c r="J109" s="146">
        <f t="shared" si="10"/>
        <v>-4</v>
      </c>
      <c r="K109" s="146">
        <f t="shared" si="7"/>
        <v>-40</v>
      </c>
      <c r="L109" s="146"/>
      <c r="M109" s="148">
        <f t="shared" si="8"/>
        <v>0</v>
      </c>
    </row>
    <row r="110" spans="1:13" x14ac:dyDescent="0.25">
      <c r="A110" s="162"/>
      <c r="G110" s="132"/>
      <c r="H110" s="146">
        <v>105</v>
      </c>
      <c r="I110" s="147" t="str">
        <f t="shared" si="9"/>
        <v/>
      </c>
      <c r="J110" s="146">
        <f t="shared" si="10"/>
        <v>-4</v>
      </c>
      <c r="K110" s="146">
        <f t="shared" si="7"/>
        <v>-40</v>
      </c>
      <c r="L110" s="146"/>
      <c r="M110" s="148">
        <f t="shared" si="8"/>
        <v>0</v>
      </c>
    </row>
    <row r="111" spans="1:13" x14ac:dyDescent="0.25">
      <c r="A111" s="162"/>
      <c r="G111" s="132"/>
      <c r="H111" s="146">
        <v>106</v>
      </c>
      <c r="I111" s="147" t="str">
        <f t="shared" si="9"/>
        <v/>
      </c>
      <c r="J111" s="146">
        <f t="shared" si="10"/>
        <v>-4</v>
      </c>
      <c r="K111" s="146">
        <f t="shared" si="7"/>
        <v>-40</v>
      </c>
      <c r="L111" s="146"/>
      <c r="M111" s="148">
        <f t="shared" si="8"/>
        <v>0</v>
      </c>
    </row>
    <row r="112" spans="1:13" x14ac:dyDescent="0.25">
      <c r="A112" s="162"/>
      <c r="G112" s="132"/>
      <c r="H112" s="146">
        <v>107</v>
      </c>
      <c r="I112" s="147" t="str">
        <f t="shared" si="9"/>
        <v/>
      </c>
      <c r="J112" s="146">
        <f t="shared" si="10"/>
        <v>-4</v>
      </c>
      <c r="K112" s="146">
        <f t="shared" si="7"/>
        <v>-40</v>
      </c>
      <c r="L112" s="146"/>
      <c r="M112" s="148">
        <f t="shared" si="8"/>
        <v>0</v>
      </c>
    </row>
    <row r="113" spans="1:13" x14ac:dyDescent="0.25">
      <c r="A113" s="162"/>
      <c r="G113" s="132"/>
      <c r="H113" s="146">
        <v>108</v>
      </c>
      <c r="I113" s="147" t="str">
        <f t="shared" si="9"/>
        <v/>
      </c>
      <c r="J113" s="146">
        <f t="shared" si="10"/>
        <v>-4</v>
      </c>
      <c r="K113" s="146">
        <f t="shared" si="7"/>
        <v>-40</v>
      </c>
      <c r="L113" s="146"/>
      <c r="M113" s="148">
        <f t="shared" si="8"/>
        <v>0</v>
      </c>
    </row>
    <row r="114" spans="1:13" x14ac:dyDescent="0.25">
      <c r="A114" s="162"/>
      <c r="G114" s="132"/>
      <c r="H114" s="146">
        <v>109</v>
      </c>
      <c r="I114" s="147" t="str">
        <f t="shared" si="9"/>
        <v/>
      </c>
      <c r="J114" s="146">
        <f t="shared" si="10"/>
        <v>-4</v>
      </c>
      <c r="K114" s="146">
        <f t="shared" si="7"/>
        <v>-40</v>
      </c>
      <c r="L114" s="146"/>
      <c r="M114" s="148">
        <f t="shared" si="8"/>
        <v>0</v>
      </c>
    </row>
    <row r="115" spans="1:13" x14ac:dyDescent="0.25">
      <c r="A115" s="162"/>
      <c r="G115" s="132"/>
      <c r="H115" s="146">
        <v>110</v>
      </c>
      <c r="I115" s="147" t="str">
        <f t="shared" si="9"/>
        <v/>
      </c>
      <c r="J115" s="146">
        <f t="shared" si="10"/>
        <v>-4</v>
      </c>
      <c r="K115" s="146">
        <f t="shared" si="7"/>
        <v>-40</v>
      </c>
      <c r="L115" s="146"/>
      <c r="M115" s="148">
        <f t="shared" si="8"/>
        <v>0</v>
      </c>
    </row>
    <row r="116" spans="1:13" x14ac:dyDescent="0.25">
      <c r="A116" s="162"/>
      <c r="G116" s="132"/>
      <c r="H116" s="146">
        <v>111</v>
      </c>
      <c r="I116" s="147" t="str">
        <f t="shared" si="9"/>
        <v/>
      </c>
      <c r="J116" s="146">
        <f t="shared" si="10"/>
        <v>-4</v>
      </c>
      <c r="K116" s="146">
        <f t="shared" si="7"/>
        <v>-40</v>
      </c>
      <c r="L116" s="146"/>
      <c r="M116" s="148">
        <f t="shared" si="8"/>
        <v>0</v>
      </c>
    </row>
    <row r="117" spans="1:13" x14ac:dyDescent="0.25">
      <c r="A117" s="162"/>
      <c r="G117" s="132"/>
      <c r="H117" s="146">
        <v>112</v>
      </c>
      <c r="I117" s="147" t="str">
        <f t="shared" si="9"/>
        <v/>
      </c>
      <c r="J117" s="146">
        <f t="shared" si="10"/>
        <v>-4</v>
      </c>
      <c r="K117" s="146">
        <f t="shared" si="7"/>
        <v>-40</v>
      </c>
      <c r="L117" s="146"/>
      <c r="M117" s="148">
        <f t="shared" si="8"/>
        <v>0</v>
      </c>
    </row>
    <row r="118" spans="1:13" x14ac:dyDescent="0.25">
      <c r="A118" s="162"/>
      <c r="G118" s="132"/>
      <c r="H118" s="146">
        <v>113</v>
      </c>
      <c r="I118" s="147" t="str">
        <f t="shared" si="9"/>
        <v/>
      </c>
      <c r="J118" s="146">
        <f t="shared" si="10"/>
        <v>-4</v>
      </c>
      <c r="K118" s="146">
        <f t="shared" si="7"/>
        <v>-40</v>
      </c>
      <c r="L118" s="146"/>
      <c r="M118" s="148">
        <f t="shared" si="8"/>
        <v>0</v>
      </c>
    </row>
    <row r="119" spans="1:13" x14ac:dyDescent="0.25">
      <c r="A119" s="162"/>
      <c r="G119" s="132"/>
      <c r="H119" s="146">
        <v>114</v>
      </c>
      <c r="I119" s="147" t="str">
        <f t="shared" si="9"/>
        <v/>
      </c>
      <c r="J119" s="146">
        <f t="shared" si="10"/>
        <v>-4</v>
      </c>
      <c r="K119" s="146">
        <f t="shared" si="7"/>
        <v>-40</v>
      </c>
      <c r="L119" s="146"/>
      <c r="M119" s="148">
        <f t="shared" si="8"/>
        <v>0</v>
      </c>
    </row>
    <row r="120" spans="1:13" x14ac:dyDescent="0.25">
      <c r="A120" s="162"/>
      <c r="G120" s="132"/>
      <c r="H120" s="146">
        <v>115</v>
      </c>
      <c r="I120" s="147" t="str">
        <f t="shared" si="9"/>
        <v/>
      </c>
      <c r="J120" s="146">
        <f t="shared" si="10"/>
        <v>-4</v>
      </c>
      <c r="K120" s="146">
        <f t="shared" si="7"/>
        <v>-40</v>
      </c>
      <c r="L120" s="146"/>
      <c r="M120" s="148">
        <f t="shared" si="8"/>
        <v>0</v>
      </c>
    </row>
    <row r="121" spans="1:13" x14ac:dyDescent="0.25">
      <c r="A121" s="162"/>
      <c r="G121" s="132"/>
      <c r="H121" s="146">
        <v>116</v>
      </c>
      <c r="I121" s="147" t="str">
        <f t="shared" si="9"/>
        <v/>
      </c>
      <c r="J121" s="146">
        <f t="shared" si="10"/>
        <v>-4</v>
      </c>
      <c r="K121" s="146">
        <f t="shared" si="7"/>
        <v>-40</v>
      </c>
      <c r="L121" s="146"/>
      <c r="M121" s="148">
        <f t="shared" si="8"/>
        <v>0</v>
      </c>
    </row>
    <row r="122" spans="1:13" x14ac:dyDescent="0.25">
      <c r="A122" s="162"/>
      <c r="G122" s="132"/>
      <c r="H122" s="146">
        <v>117</v>
      </c>
      <c r="I122" s="147" t="str">
        <f t="shared" si="9"/>
        <v/>
      </c>
      <c r="J122" s="146">
        <f t="shared" si="10"/>
        <v>-4</v>
      </c>
      <c r="K122" s="146">
        <f t="shared" si="7"/>
        <v>-40</v>
      </c>
      <c r="L122" s="146"/>
      <c r="M122" s="148">
        <f t="shared" si="8"/>
        <v>0</v>
      </c>
    </row>
    <row r="123" spans="1:13" x14ac:dyDescent="0.25">
      <c r="A123" s="162"/>
      <c r="G123" s="132"/>
      <c r="H123" s="146">
        <v>118</v>
      </c>
      <c r="I123" s="147" t="str">
        <f t="shared" si="9"/>
        <v/>
      </c>
      <c r="J123" s="146">
        <f t="shared" si="10"/>
        <v>-4</v>
      </c>
      <c r="K123" s="146">
        <f t="shared" si="7"/>
        <v>-40</v>
      </c>
      <c r="L123" s="146"/>
      <c r="M123" s="148">
        <f t="shared" si="8"/>
        <v>0</v>
      </c>
    </row>
    <row r="124" spans="1:13" x14ac:dyDescent="0.25">
      <c r="A124" s="162"/>
      <c r="G124" s="132"/>
      <c r="H124" s="146">
        <v>119</v>
      </c>
      <c r="I124" s="147" t="str">
        <f t="shared" si="9"/>
        <v/>
      </c>
      <c r="J124" s="146">
        <f t="shared" si="10"/>
        <v>-4</v>
      </c>
      <c r="K124" s="146">
        <f t="shared" si="7"/>
        <v>-40</v>
      </c>
      <c r="L124" s="146"/>
      <c r="M124" s="148">
        <f t="shared" si="8"/>
        <v>0</v>
      </c>
    </row>
    <row r="125" spans="1:13" x14ac:dyDescent="0.25">
      <c r="A125" s="162"/>
      <c r="G125" s="132"/>
      <c r="H125" s="146">
        <v>120</v>
      </c>
      <c r="I125" s="147" t="str">
        <f t="shared" si="9"/>
        <v/>
      </c>
      <c r="J125" s="146">
        <f t="shared" si="10"/>
        <v>-4</v>
      </c>
      <c r="K125" s="146">
        <f t="shared" si="7"/>
        <v>-40</v>
      </c>
      <c r="L125" s="146"/>
      <c r="M125" s="148">
        <f t="shared" si="8"/>
        <v>0</v>
      </c>
    </row>
    <row r="126" spans="1:13" x14ac:dyDescent="0.25">
      <c r="A126" s="162"/>
      <c r="G126" s="132"/>
      <c r="H126" s="146">
        <v>121</v>
      </c>
      <c r="I126" s="147" t="str">
        <f t="shared" si="9"/>
        <v/>
      </c>
      <c r="J126" s="146">
        <f t="shared" si="10"/>
        <v>-4</v>
      </c>
      <c r="K126" s="146">
        <f t="shared" si="7"/>
        <v>-40</v>
      </c>
      <c r="L126" s="146"/>
      <c r="M126" s="148">
        <f t="shared" si="8"/>
        <v>0</v>
      </c>
    </row>
    <row r="127" spans="1:13" x14ac:dyDescent="0.25">
      <c r="A127" s="162"/>
      <c r="G127" s="132"/>
      <c r="H127" s="146">
        <v>122</v>
      </c>
      <c r="I127" s="147" t="str">
        <f t="shared" si="9"/>
        <v/>
      </c>
      <c r="J127" s="146">
        <f t="shared" si="10"/>
        <v>-4</v>
      </c>
      <c r="K127" s="146">
        <f t="shared" si="7"/>
        <v>-40</v>
      </c>
      <c r="L127" s="146"/>
      <c r="M127" s="148">
        <f t="shared" si="8"/>
        <v>0</v>
      </c>
    </row>
    <row r="128" spans="1:13" x14ac:dyDescent="0.25">
      <c r="A128" s="162"/>
      <c r="G128" s="132"/>
      <c r="H128" s="146">
        <v>123</v>
      </c>
      <c r="I128" s="147" t="str">
        <f t="shared" si="9"/>
        <v/>
      </c>
      <c r="J128" s="146">
        <f t="shared" si="10"/>
        <v>-4</v>
      </c>
      <c r="K128" s="146">
        <f t="shared" si="7"/>
        <v>-40</v>
      </c>
      <c r="L128" s="146"/>
      <c r="M128" s="148">
        <f t="shared" si="8"/>
        <v>0</v>
      </c>
    </row>
    <row r="129" spans="1:13" x14ac:dyDescent="0.25">
      <c r="A129" s="162"/>
      <c r="G129" s="132"/>
      <c r="H129" s="146">
        <v>124</v>
      </c>
      <c r="I129" s="147" t="str">
        <f t="shared" si="9"/>
        <v/>
      </c>
      <c r="J129" s="146">
        <f t="shared" si="10"/>
        <v>-4</v>
      </c>
      <c r="K129" s="146">
        <f t="shared" si="7"/>
        <v>-40</v>
      </c>
      <c r="L129" s="146"/>
      <c r="M129" s="148">
        <f t="shared" si="8"/>
        <v>0</v>
      </c>
    </row>
    <row r="130" spans="1:13" x14ac:dyDescent="0.25">
      <c r="A130" s="162"/>
      <c r="G130" s="132"/>
      <c r="H130" s="146">
        <v>125</v>
      </c>
      <c r="I130" s="147" t="str">
        <f t="shared" si="9"/>
        <v/>
      </c>
      <c r="J130" s="146">
        <f t="shared" si="10"/>
        <v>-4</v>
      </c>
      <c r="K130" s="146">
        <f t="shared" si="7"/>
        <v>-40</v>
      </c>
      <c r="L130" s="146"/>
      <c r="M130" s="148">
        <f t="shared" si="8"/>
        <v>0</v>
      </c>
    </row>
    <row r="131" spans="1:13" x14ac:dyDescent="0.25">
      <c r="A131" s="162"/>
      <c r="G131" s="132"/>
      <c r="H131" s="146">
        <v>126</v>
      </c>
      <c r="I131" s="147" t="str">
        <f t="shared" si="9"/>
        <v/>
      </c>
      <c r="J131" s="146">
        <f t="shared" si="10"/>
        <v>-4</v>
      </c>
      <c r="K131" s="146">
        <f t="shared" si="7"/>
        <v>-40</v>
      </c>
      <c r="L131" s="146"/>
      <c r="M131" s="148">
        <f t="shared" si="8"/>
        <v>0</v>
      </c>
    </row>
    <row r="132" spans="1:13" x14ac:dyDescent="0.25">
      <c r="A132" s="162"/>
      <c r="G132" s="132"/>
      <c r="H132" s="146">
        <v>127</v>
      </c>
      <c r="I132" s="147" t="str">
        <f t="shared" si="9"/>
        <v/>
      </c>
      <c r="J132" s="146">
        <f t="shared" si="10"/>
        <v>-4</v>
      </c>
      <c r="K132" s="146">
        <f t="shared" si="7"/>
        <v>-40</v>
      </c>
      <c r="L132" s="146"/>
      <c r="M132" s="148">
        <f t="shared" si="8"/>
        <v>0</v>
      </c>
    </row>
    <row r="133" spans="1:13" x14ac:dyDescent="0.25">
      <c r="A133" s="162"/>
      <c r="G133" s="132"/>
      <c r="H133" s="146">
        <v>128</v>
      </c>
      <c r="I133" s="147" t="str">
        <f t="shared" si="9"/>
        <v/>
      </c>
      <c r="J133" s="146">
        <f t="shared" si="10"/>
        <v>-4</v>
      </c>
      <c r="K133" s="146">
        <f t="shared" si="7"/>
        <v>-40</v>
      </c>
      <c r="L133" s="146"/>
      <c r="M133" s="148">
        <f t="shared" si="8"/>
        <v>0</v>
      </c>
    </row>
    <row r="134" spans="1:13" x14ac:dyDescent="0.25">
      <c r="A134" s="162"/>
      <c r="G134" s="132"/>
      <c r="H134" s="146">
        <v>129</v>
      </c>
      <c r="I134" s="147" t="str">
        <f t="shared" si="9"/>
        <v/>
      </c>
      <c r="J134" s="146">
        <f t="shared" si="10"/>
        <v>-5</v>
      </c>
      <c r="K134" s="146">
        <f t="shared" ref="K134:K197" si="11">J134*$J$2</f>
        <v>-50</v>
      </c>
      <c r="L134" s="146"/>
      <c r="M134" s="148">
        <f t="shared" ref="M134:M197" si="12">IF(I134&lt;&gt;"",K134+I134+L134,0)</f>
        <v>0</v>
      </c>
    </row>
    <row r="135" spans="1:13" x14ac:dyDescent="0.25">
      <c r="A135" s="162"/>
      <c r="G135" s="132"/>
      <c r="H135" s="146">
        <v>130</v>
      </c>
      <c r="I135" s="147" t="str">
        <f t="shared" ref="I135:I198" si="13">IF(H135&lt;$H$2+1,($I$2-($I$2-1)*(LOG(H135)/LOG($H$2))),"")</f>
        <v/>
      </c>
      <c r="J135" s="146">
        <f t="shared" ref="J135:J198" si="14">INT(LOG($H$2,2))-ROUNDUP(LOG(H135,2),0)+IF(OR($H$2=1,$H$2=2,$H$2=4,$H$2=8,$H$2=16,$H$2=32,$H$2=64,$H$2=128,$H$2=256),0,1)</f>
        <v>-5</v>
      </c>
      <c r="K135" s="146">
        <f t="shared" si="11"/>
        <v>-50</v>
      </c>
      <c r="L135" s="146"/>
      <c r="M135" s="148">
        <f t="shared" si="12"/>
        <v>0</v>
      </c>
    </row>
    <row r="136" spans="1:13" x14ac:dyDescent="0.25">
      <c r="A136" s="162"/>
      <c r="G136" s="132"/>
      <c r="H136" s="146">
        <v>131</v>
      </c>
      <c r="I136" s="147" t="str">
        <f t="shared" si="13"/>
        <v/>
      </c>
      <c r="J136" s="146">
        <f t="shared" si="14"/>
        <v>-5</v>
      </c>
      <c r="K136" s="146">
        <f t="shared" si="11"/>
        <v>-50</v>
      </c>
      <c r="L136" s="146"/>
      <c r="M136" s="148">
        <f t="shared" si="12"/>
        <v>0</v>
      </c>
    </row>
    <row r="137" spans="1:13" x14ac:dyDescent="0.25">
      <c r="A137" s="162"/>
      <c r="G137" s="132"/>
      <c r="H137" s="146">
        <v>132</v>
      </c>
      <c r="I137" s="147" t="str">
        <f t="shared" si="13"/>
        <v/>
      </c>
      <c r="J137" s="146">
        <f t="shared" si="14"/>
        <v>-5</v>
      </c>
      <c r="K137" s="146">
        <f t="shared" si="11"/>
        <v>-50</v>
      </c>
      <c r="L137" s="146"/>
      <c r="M137" s="148">
        <f t="shared" si="12"/>
        <v>0</v>
      </c>
    </row>
    <row r="138" spans="1:13" x14ac:dyDescent="0.25">
      <c r="A138" s="162"/>
      <c r="G138" s="132"/>
      <c r="H138" s="146">
        <v>133</v>
      </c>
      <c r="I138" s="147" t="str">
        <f t="shared" si="13"/>
        <v/>
      </c>
      <c r="J138" s="146">
        <f t="shared" si="14"/>
        <v>-5</v>
      </c>
      <c r="K138" s="146">
        <f t="shared" si="11"/>
        <v>-50</v>
      </c>
      <c r="L138" s="146"/>
      <c r="M138" s="148">
        <f t="shared" si="12"/>
        <v>0</v>
      </c>
    </row>
    <row r="139" spans="1:13" x14ac:dyDescent="0.25">
      <c r="A139" s="162"/>
      <c r="G139" s="132"/>
      <c r="H139" s="146">
        <v>134</v>
      </c>
      <c r="I139" s="147" t="str">
        <f t="shared" si="13"/>
        <v/>
      </c>
      <c r="J139" s="146">
        <f t="shared" si="14"/>
        <v>-5</v>
      </c>
      <c r="K139" s="146">
        <f t="shared" si="11"/>
        <v>-50</v>
      </c>
      <c r="L139" s="146"/>
      <c r="M139" s="148">
        <f t="shared" si="12"/>
        <v>0</v>
      </c>
    </row>
    <row r="140" spans="1:13" x14ac:dyDescent="0.25">
      <c r="A140" s="162"/>
      <c r="G140" s="132"/>
      <c r="H140" s="146">
        <v>135</v>
      </c>
      <c r="I140" s="147" t="str">
        <f t="shared" si="13"/>
        <v/>
      </c>
      <c r="J140" s="146">
        <f t="shared" si="14"/>
        <v>-5</v>
      </c>
      <c r="K140" s="146">
        <f t="shared" si="11"/>
        <v>-50</v>
      </c>
      <c r="L140" s="146"/>
      <c r="M140" s="148">
        <f t="shared" si="12"/>
        <v>0</v>
      </c>
    </row>
    <row r="141" spans="1:13" x14ac:dyDescent="0.25">
      <c r="A141" s="162"/>
      <c r="G141" s="132"/>
      <c r="H141" s="146">
        <v>136</v>
      </c>
      <c r="I141" s="147" t="str">
        <f t="shared" si="13"/>
        <v/>
      </c>
      <c r="J141" s="146">
        <f t="shared" si="14"/>
        <v>-5</v>
      </c>
      <c r="K141" s="146">
        <f t="shared" si="11"/>
        <v>-50</v>
      </c>
      <c r="L141" s="146"/>
      <c r="M141" s="148">
        <f t="shared" si="12"/>
        <v>0</v>
      </c>
    </row>
    <row r="142" spans="1:13" x14ac:dyDescent="0.25">
      <c r="A142" s="162"/>
      <c r="G142" s="132"/>
      <c r="H142" s="146">
        <v>137</v>
      </c>
      <c r="I142" s="147" t="str">
        <f t="shared" si="13"/>
        <v/>
      </c>
      <c r="J142" s="146">
        <f t="shared" si="14"/>
        <v>-5</v>
      </c>
      <c r="K142" s="146">
        <f t="shared" si="11"/>
        <v>-50</v>
      </c>
      <c r="L142" s="146"/>
      <c r="M142" s="148">
        <f t="shared" si="12"/>
        <v>0</v>
      </c>
    </row>
    <row r="143" spans="1:13" x14ac:dyDescent="0.25">
      <c r="A143" s="162"/>
      <c r="G143" s="132"/>
      <c r="H143" s="146">
        <v>138</v>
      </c>
      <c r="I143" s="147" t="str">
        <f t="shared" si="13"/>
        <v/>
      </c>
      <c r="J143" s="146">
        <f t="shared" si="14"/>
        <v>-5</v>
      </c>
      <c r="K143" s="146">
        <f t="shared" si="11"/>
        <v>-50</v>
      </c>
      <c r="L143" s="146"/>
      <c r="M143" s="148">
        <f t="shared" si="12"/>
        <v>0</v>
      </c>
    </row>
    <row r="144" spans="1:13" x14ac:dyDescent="0.25">
      <c r="A144" s="162"/>
      <c r="G144" s="132"/>
      <c r="H144" s="146">
        <v>139</v>
      </c>
      <c r="I144" s="147" t="str">
        <f t="shared" si="13"/>
        <v/>
      </c>
      <c r="J144" s="146">
        <f t="shared" si="14"/>
        <v>-5</v>
      </c>
      <c r="K144" s="146">
        <f t="shared" si="11"/>
        <v>-50</v>
      </c>
      <c r="L144" s="146"/>
      <c r="M144" s="148">
        <f t="shared" si="12"/>
        <v>0</v>
      </c>
    </row>
    <row r="145" spans="1:13" x14ac:dyDescent="0.25">
      <c r="A145" s="162"/>
      <c r="G145" s="132"/>
      <c r="H145" s="146">
        <v>140</v>
      </c>
      <c r="I145" s="147" t="str">
        <f t="shared" si="13"/>
        <v/>
      </c>
      <c r="J145" s="146">
        <f t="shared" si="14"/>
        <v>-5</v>
      </c>
      <c r="K145" s="146">
        <f t="shared" si="11"/>
        <v>-50</v>
      </c>
      <c r="L145" s="146"/>
      <c r="M145" s="148">
        <f t="shared" si="12"/>
        <v>0</v>
      </c>
    </row>
    <row r="146" spans="1:13" x14ac:dyDescent="0.25">
      <c r="A146" s="162"/>
      <c r="G146" s="132"/>
      <c r="H146" s="146">
        <v>141</v>
      </c>
      <c r="I146" s="147" t="str">
        <f t="shared" si="13"/>
        <v/>
      </c>
      <c r="J146" s="146">
        <f t="shared" si="14"/>
        <v>-5</v>
      </c>
      <c r="K146" s="146">
        <f t="shared" si="11"/>
        <v>-50</v>
      </c>
      <c r="L146" s="146"/>
      <c r="M146" s="148">
        <f t="shared" si="12"/>
        <v>0</v>
      </c>
    </row>
    <row r="147" spans="1:13" x14ac:dyDescent="0.25">
      <c r="A147" s="162"/>
      <c r="G147" s="132"/>
      <c r="H147" s="146">
        <v>142</v>
      </c>
      <c r="I147" s="147" t="str">
        <f t="shared" si="13"/>
        <v/>
      </c>
      <c r="J147" s="146">
        <f t="shared" si="14"/>
        <v>-5</v>
      </c>
      <c r="K147" s="146">
        <f t="shared" si="11"/>
        <v>-50</v>
      </c>
      <c r="L147" s="146"/>
      <c r="M147" s="148">
        <f t="shared" si="12"/>
        <v>0</v>
      </c>
    </row>
    <row r="148" spans="1:13" x14ac:dyDescent="0.25">
      <c r="A148" s="162"/>
      <c r="G148" s="132"/>
      <c r="H148" s="146">
        <v>143</v>
      </c>
      <c r="I148" s="147" t="str">
        <f t="shared" si="13"/>
        <v/>
      </c>
      <c r="J148" s="146">
        <f t="shared" si="14"/>
        <v>-5</v>
      </c>
      <c r="K148" s="146">
        <f t="shared" si="11"/>
        <v>-50</v>
      </c>
      <c r="L148" s="146"/>
      <c r="M148" s="148">
        <f t="shared" si="12"/>
        <v>0</v>
      </c>
    </row>
    <row r="149" spans="1:13" x14ac:dyDescent="0.25">
      <c r="A149" s="162"/>
      <c r="G149" s="132"/>
      <c r="H149" s="146">
        <v>144</v>
      </c>
      <c r="I149" s="147" t="str">
        <f t="shared" si="13"/>
        <v/>
      </c>
      <c r="J149" s="146">
        <f t="shared" si="14"/>
        <v>-5</v>
      </c>
      <c r="K149" s="146">
        <f t="shared" si="11"/>
        <v>-50</v>
      </c>
      <c r="L149" s="146"/>
      <c r="M149" s="148">
        <f t="shared" si="12"/>
        <v>0</v>
      </c>
    </row>
    <row r="150" spans="1:13" x14ac:dyDescent="0.25">
      <c r="A150" s="162"/>
      <c r="G150" s="132"/>
      <c r="H150" s="146">
        <v>145</v>
      </c>
      <c r="I150" s="147" t="str">
        <f t="shared" si="13"/>
        <v/>
      </c>
      <c r="J150" s="146">
        <f t="shared" si="14"/>
        <v>-5</v>
      </c>
      <c r="K150" s="146">
        <f t="shared" si="11"/>
        <v>-50</v>
      </c>
      <c r="L150" s="146"/>
      <c r="M150" s="148">
        <f t="shared" si="12"/>
        <v>0</v>
      </c>
    </row>
    <row r="151" spans="1:13" x14ac:dyDescent="0.25">
      <c r="A151" s="162"/>
      <c r="G151" s="132"/>
      <c r="H151" s="146">
        <v>146</v>
      </c>
      <c r="I151" s="147" t="str">
        <f t="shared" si="13"/>
        <v/>
      </c>
      <c r="J151" s="146">
        <f t="shared" si="14"/>
        <v>-5</v>
      </c>
      <c r="K151" s="146">
        <f t="shared" si="11"/>
        <v>-50</v>
      </c>
      <c r="L151" s="146"/>
      <c r="M151" s="148">
        <f t="shared" si="12"/>
        <v>0</v>
      </c>
    </row>
    <row r="152" spans="1:13" x14ac:dyDescent="0.25">
      <c r="A152" s="162"/>
      <c r="G152" s="132"/>
      <c r="H152" s="146">
        <v>147</v>
      </c>
      <c r="I152" s="147" t="str">
        <f t="shared" si="13"/>
        <v/>
      </c>
      <c r="J152" s="146">
        <f t="shared" si="14"/>
        <v>-5</v>
      </c>
      <c r="K152" s="146">
        <f t="shared" si="11"/>
        <v>-50</v>
      </c>
      <c r="L152" s="146"/>
      <c r="M152" s="148">
        <f t="shared" si="12"/>
        <v>0</v>
      </c>
    </row>
    <row r="153" spans="1:13" x14ac:dyDescent="0.25">
      <c r="A153" s="162"/>
      <c r="G153" s="132"/>
      <c r="H153" s="146">
        <v>148</v>
      </c>
      <c r="I153" s="147" t="str">
        <f t="shared" si="13"/>
        <v/>
      </c>
      <c r="J153" s="146">
        <f t="shared" si="14"/>
        <v>-5</v>
      </c>
      <c r="K153" s="146">
        <f t="shared" si="11"/>
        <v>-50</v>
      </c>
      <c r="L153" s="146"/>
      <c r="M153" s="148">
        <f t="shared" si="12"/>
        <v>0</v>
      </c>
    </row>
    <row r="154" spans="1:13" x14ac:dyDescent="0.25">
      <c r="A154" s="162"/>
      <c r="G154" s="132"/>
      <c r="H154" s="146">
        <v>149</v>
      </c>
      <c r="I154" s="147" t="str">
        <f t="shared" si="13"/>
        <v/>
      </c>
      <c r="J154" s="146">
        <f t="shared" si="14"/>
        <v>-5</v>
      </c>
      <c r="K154" s="146">
        <f t="shared" si="11"/>
        <v>-50</v>
      </c>
      <c r="L154" s="146"/>
      <c r="M154" s="148">
        <f t="shared" si="12"/>
        <v>0</v>
      </c>
    </row>
    <row r="155" spans="1:13" x14ac:dyDescent="0.25">
      <c r="A155" s="162"/>
      <c r="G155" s="132"/>
      <c r="H155" s="146">
        <v>150</v>
      </c>
      <c r="I155" s="147" t="str">
        <f t="shared" si="13"/>
        <v/>
      </c>
      <c r="J155" s="146">
        <f t="shared" si="14"/>
        <v>-5</v>
      </c>
      <c r="K155" s="146">
        <f t="shared" si="11"/>
        <v>-50</v>
      </c>
      <c r="L155" s="146"/>
      <c r="M155" s="148">
        <f t="shared" si="12"/>
        <v>0</v>
      </c>
    </row>
    <row r="156" spans="1:13" x14ac:dyDescent="0.25">
      <c r="A156" s="162"/>
      <c r="G156" s="132"/>
      <c r="H156" s="146">
        <v>151</v>
      </c>
      <c r="I156" s="147" t="str">
        <f t="shared" si="13"/>
        <v/>
      </c>
      <c r="J156" s="146">
        <f t="shared" si="14"/>
        <v>-5</v>
      </c>
      <c r="K156" s="146">
        <f t="shared" si="11"/>
        <v>-50</v>
      </c>
      <c r="L156" s="146"/>
      <c r="M156" s="148">
        <f t="shared" si="12"/>
        <v>0</v>
      </c>
    </row>
    <row r="157" spans="1:13" x14ac:dyDescent="0.25">
      <c r="A157" s="162"/>
      <c r="G157" s="132"/>
      <c r="H157" s="146">
        <v>152</v>
      </c>
      <c r="I157" s="147" t="str">
        <f t="shared" si="13"/>
        <v/>
      </c>
      <c r="J157" s="146">
        <f t="shared" si="14"/>
        <v>-5</v>
      </c>
      <c r="K157" s="146">
        <f t="shared" si="11"/>
        <v>-50</v>
      </c>
      <c r="L157" s="146"/>
      <c r="M157" s="148">
        <f t="shared" si="12"/>
        <v>0</v>
      </c>
    </row>
    <row r="158" spans="1:13" x14ac:dyDescent="0.25">
      <c r="A158" s="162"/>
      <c r="G158" s="132"/>
      <c r="H158" s="146">
        <v>153</v>
      </c>
      <c r="I158" s="147" t="str">
        <f t="shared" si="13"/>
        <v/>
      </c>
      <c r="J158" s="146">
        <f t="shared" si="14"/>
        <v>-5</v>
      </c>
      <c r="K158" s="146">
        <f t="shared" si="11"/>
        <v>-50</v>
      </c>
      <c r="L158" s="146"/>
      <c r="M158" s="148">
        <f t="shared" si="12"/>
        <v>0</v>
      </c>
    </row>
    <row r="159" spans="1:13" x14ac:dyDescent="0.25">
      <c r="A159" s="162"/>
      <c r="G159" s="132"/>
      <c r="H159" s="146">
        <v>154</v>
      </c>
      <c r="I159" s="147" t="str">
        <f t="shared" si="13"/>
        <v/>
      </c>
      <c r="J159" s="146">
        <f t="shared" si="14"/>
        <v>-5</v>
      </c>
      <c r="K159" s="146">
        <f t="shared" si="11"/>
        <v>-50</v>
      </c>
      <c r="L159" s="146"/>
      <c r="M159" s="148">
        <f t="shared" si="12"/>
        <v>0</v>
      </c>
    </row>
    <row r="160" spans="1:13" x14ac:dyDescent="0.25">
      <c r="A160" s="162"/>
      <c r="G160" s="132"/>
      <c r="H160" s="146">
        <v>155</v>
      </c>
      <c r="I160" s="147" t="str">
        <f t="shared" si="13"/>
        <v/>
      </c>
      <c r="J160" s="146">
        <f t="shared" si="14"/>
        <v>-5</v>
      </c>
      <c r="K160" s="146">
        <f t="shared" si="11"/>
        <v>-50</v>
      </c>
      <c r="L160" s="146"/>
      <c r="M160" s="148">
        <f t="shared" si="12"/>
        <v>0</v>
      </c>
    </row>
    <row r="161" spans="1:13" x14ac:dyDescent="0.25">
      <c r="A161" s="162"/>
      <c r="G161" s="132"/>
      <c r="H161" s="146">
        <v>156</v>
      </c>
      <c r="I161" s="147" t="str">
        <f t="shared" si="13"/>
        <v/>
      </c>
      <c r="J161" s="146">
        <f t="shared" si="14"/>
        <v>-5</v>
      </c>
      <c r="K161" s="146">
        <f t="shared" si="11"/>
        <v>-50</v>
      </c>
      <c r="L161" s="146"/>
      <c r="M161" s="148">
        <f t="shared" si="12"/>
        <v>0</v>
      </c>
    </row>
    <row r="162" spans="1:13" x14ac:dyDescent="0.25">
      <c r="A162" s="162"/>
      <c r="G162" s="132"/>
      <c r="H162" s="146">
        <v>157</v>
      </c>
      <c r="I162" s="147" t="str">
        <f t="shared" si="13"/>
        <v/>
      </c>
      <c r="J162" s="146">
        <f t="shared" si="14"/>
        <v>-5</v>
      </c>
      <c r="K162" s="146">
        <f t="shared" si="11"/>
        <v>-50</v>
      </c>
      <c r="L162" s="146"/>
      <c r="M162" s="148">
        <f t="shared" si="12"/>
        <v>0</v>
      </c>
    </row>
    <row r="163" spans="1:13" x14ac:dyDescent="0.25">
      <c r="A163" s="162"/>
      <c r="G163" s="132"/>
      <c r="H163" s="146">
        <v>158</v>
      </c>
      <c r="I163" s="147" t="str">
        <f t="shared" si="13"/>
        <v/>
      </c>
      <c r="J163" s="146">
        <f t="shared" si="14"/>
        <v>-5</v>
      </c>
      <c r="K163" s="146">
        <f t="shared" si="11"/>
        <v>-50</v>
      </c>
      <c r="L163" s="146"/>
      <c r="M163" s="148">
        <f t="shared" si="12"/>
        <v>0</v>
      </c>
    </row>
    <row r="164" spans="1:13" x14ac:dyDescent="0.25">
      <c r="A164" s="162"/>
      <c r="G164" s="132"/>
      <c r="H164" s="146">
        <v>159</v>
      </c>
      <c r="I164" s="147" t="str">
        <f t="shared" si="13"/>
        <v/>
      </c>
      <c r="J164" s="146">
        <f t="shared" si="14"/>
        <v>-5</v>
      </c>
      <c r="K164" s="146">
        <f t="shared" si="11"/>
        <v>-50</v>
      </c>
      <c r="L164" s="146"/>
      <c r="M164" s="148">
        <f t="shared" si="12"/>
        <v>0</v>
      </c>
    </row>
    <row r="165" spans="1:13" x14ac:dyDescent="0.25">
      <c r="A165" s="162"/>
      <c r="G165" s="132"/>
      <c r="H165" s="146">
        <v>160</v>
      </c>
      <c r="I165" s="147" t="str">
        <f t="shared" si="13"/>
        <v/>
      </c>
      <c r="J165" s="146">
        <f t="shared" si="14"/>
        <v>-5</v>
      </c>
      <c r="K165" s="146">
        <f t="shared" si="11"/>
        <v>-50</v>
      </c>
      <c r="L165" s="146"/>
      <c r="M165" s="148">
        <f t="shared" si="12"/>
        <v>0</v>
      </c>
    </row>
    <row r="166" spans="1:13" x14ac:dyDescent="0.25">
      <c r="A166" s="162"/>
      <c r="G166" s="132"/>
      <c r="H166" s="146">
        <v>161</v>
      </c>
      <c r="I166" s="147" t="str">
        <f t="shared" si="13"/>
        <v/>
      </c>
      <c r="J166" s="146">
        <f t="shared" si="14"/>
        <v>-5</v>
      </c>
      <c r="K166" s="146">
        <f t="shared" si="11"/>
        <v>-50</v>
      </c>
      <c r="L166" s="146"/>
      <c r="M166" s="148">
        <f t="shared" si="12"/>
        <v>0</v>
      </c>
    </row>
    <row r="167" spans="1:13" x14ac:dyDescent="0.25">
      <c r="A167" s="162"/>
      <c r="G167" s="132"/>
      <c r="H167" s="146">
        <v>162</v>
      </c>
      <c r="I167" s="147" t="str">
        <f t="shared" si="13"/>
        <v/>
      </c>
      <c r="J167" s="146">
        <f t="shared" si="14"/>
        <v>-5</v>
      </c>
      <c r="K167" s="146">
        <f t="shared" si="11"/>
        <v>-50</v>
      </c>
      <c r="L167" s="146"/>
      <c r="M167" s="148">
        <f t="shared" si="12"/>
        <v>0</v>
      </c>
    </row>
    <row r="168" spans="1:13" x14ac:dyDescent="0.25">
      <c r="A168" s="162"/>
      <c r="G168" s="132"/>
      <c r="H168" s="146">
        <v>163</v>
      </c>
      <c r="I168" s="147" t="str">
        <f t="shared" si="13"/>
        <v/>
      </c>
      <c r="J168" s="146">
        <f t="shared" si="14"/>
        <v>-5</v>
      </c>
      <c r="K168" s="146">
        <f t="shared" si="11"/>
        <v>-50</v>
      </c>
      <c r="L168" s="146"/>
      <c r="M168" s="148">
        <f t="shared" si="12"/>
        <v>0</v>
      </c>
    </row>
    <row r="169" spans="1:13" x14ac:dyDescent="0.25">
      <c r="A169" s="162"/>
      <c r="G169" s="132"/>
      <c r="H169" s="146">
        <v>164</v>
      </c>
      <c r="I169" s="147" t="str">
        <f t="shared" si="13"/>
        <v/>
      </c>
      <c r="J169" s="146">
        <f t="shared" si="14"/>
        <v>-5</v>
      </c>
      <c r="K169" s="146">
        <f t="shared" si="11"/>
        <v>-50</v>
      </c>
      <c r="L169" s="146"/>
      <c r="M169" s="148">
        <f t="shared" si="12"/>
        <v>0</v>
      </c>
    </row>
    <row r="170" spans="1:13" x14ac:dyDescent="0.25">
      <c r="A170" s="162"/>
      <c r="G170" s="132"/>
      <c r="H170" s="146">
        <v>165</v>
      </c>
      <c r="I170" s="147" t="str">
        <f t="shared" si="13"/>
        <v/>
      </c>
      <c r="J170" s="146">
        <f t="shared" si="14"/>
        <v>-5</v>
      </c>
      <c r="K170" s="146">
        <f t="shared" si="11"/>
        <v>-50</v>
      </c>
      <c r="L170" s="146"/>
      <c r="M170" s="148">
        <f t="shared" si="12"/>
        <v>0</v>
      </c>
    </row>
    <row r="171" spans="1:13" x14ac:dyDescent="0.25">
      <c r="A171" s="162"/>
      <c r="G171" s="132"/>
      <c r="H171" s="146">
        <v>166</v>
      </c>
      <c r="I171" s="147" t="str">
        <f t="shared" si="13"/>
        <v/>
      </c>
      <c r="J171" s="146">
        <f t="shared" si="14"/>
        <v>-5</v>
      </c>
      <c r="K171" s="146">
        <f t="shared" si="11"/>
        <v>-50</v>
      </c>
      <c r="L171" s="146"/>
      <c r="M171" s="148">
        <f t="shared" si="12"/>
        <v>0</v>
      </c>
    </row>
    <row r="172" spans="1:13" x14ac:dyDescent="0.25">
      <c r="A172" s="162"/>
      <c r="G172" s="132"/>
      <c r="H172" s="146">
        <v>167</v>
      </c>
      <c r="I172" s="147" t="str">
        <f t="shared" si="13"/>
        <v/>
      </c>
      <c r="J172" s="146">
        <f t="shared" si="14"/>
        <v>-5</v>
      </c>
      <c r="K172" s="146">
        <f t="shared" si="11"/>
        <v>-50</v>
      </c>
      <c r="L172" s="146"/>
      <c r="M172" s="148">
        <f t="shared" si="12"/>
        <v>0</v>
      </c>
    </row>
    <row r="173" spans="1:13" x14ac:dyDescent="0.25">
      <c r="A173" s="162"/>
      <c r="G173" s="132"/>
      <c r="H173" s="146">
        <v>168</v>
      </c>
      <c r="I173" s="147" t="str">
        <f t="shared" si="13"/>
        <v/>
      </c>
      <c r="J173" s="146">
        <f t="shared" si="14"/>
        <v>-5</v>
      </c>
      <c r="K173" s="146">
        <f t="shared" si="11"/>
        <v>-50</v>
      </c>
      <c r="L173" s="146"/>
      <c r="M173" s="148">
        <f t="shared" si="12"/>
        <v>0</v>
      </c>
    </row>
    <row r="174" spans="1:13" x14ac:dyDescent="0.25">
      <c r="A174" s="162"/>
      <c r="G174" s="132"/>
      <c r="H174" s="146">
        <v>169</v>
      </c>
      <c r="I174" s="147" t="str">
        <f t="shared" si="13"/>
        <v/>
      </c>
      <c r="J174" s="146">
        <f t="shared" si="14"/>
        <v>-5</v>
      </c>
      <c r="K174" s="146">
        <f t="shared" si="11"/>
        <v>-50</v>
      </c>
      <c r="L174" s="146"/>
      <c r="M174" s="148">
        <f t="shared" si="12"/>
        <v>0</v>
      </c>
    </row>
    <row r="175" spans="1:13" x14ac:dyDescent="0.25">
      <c r="A175" s="162"/>
      <c r="G175" s="132"/>
      <c r="H175" s="146">
        <v>170</v>
      </c>
      <c r="I175" s="147" t="str">
        <f t="shared" si="13"/>
        <v/>
      </c>
      <c r="J175" s="146">
        <f t="shared" si="14"/>
        <v>-5</v>
      </c>
      <c r="K175" s="146">
        <f t="shared" si="11"/>
        <v>-50</v>
      </c>
      <c r="L175" s="146"/>
      <c r="M175" s="148">
        <f t="shared" si="12"/>
        <v>0</v>
      </c>
    </row>
    <row r="176" spans="1:13" x14ac:dyDescent="0.25">
      <c r="A176" s="162"/>
      <c r="G176" s="132"/>
      <c r="H176" s="146">
        <v>171</v>
      </c>
      <c r="I176" s="147" t="str">
        <f t="shared" si="13"/>
        <v/>
      </c>
      <c r="J176" s="146">
        <f t="shared" si="14"/>
        <v>-5</v>
      </c>
      <c r="K176" s="146">
        <f t="shared" si="11"/>
        <v>-50</v>
      </c>
      <c r="L176" s="146"/>
      <c r="M176" s="148">
        <f t="shared" si="12"/>
        <v>0</v>
      </c>
    </row>
    <row r="177" spans="1:13" x14ac:dyDescent="0.25">
      <c r="A177" s="162"/>
      <c r="G177" s="132"/>
      <c r="H177" s="146">
        <v>172</v>
      </c>
      <c r="I177" s="147" t="str">
        <f t="shared" si="13"/>
        <v/>
      </c>
      <c r="J177" s="146">
        <f t="shared" si="14"/>
        <v>-5</v>
      </c>
      <c r="K177" s="146">
        <f t="shared" si="11"/>
        <v>-50</v>
      </c>
      <c r="L177" s="146"/>
      <c r="M177" s="148">
        <f t="shared" si="12"/>
        <v>0</v>
      </c>
    </row>
    <row r="178" spans="1:13" x14ac:dyDescent="0.25">
      <c r="A178" s="162"/>
      <c r="G178" s="132"/>
      <c r="H178" s="146">
        <v>173</v>
      </c>
      <c r="I178" s="147" t="str">
        <f t="shared" si="13"/>
        <v/>
      </c>
      <c r="J178" s="146">
        <f t="shared" si="14"/>
        <v>-5</v>
      </c>
      <c r="K178" s="146">
        <f t="shared" si="11"/>
        <v>-50</v>
      </c>
      <c r="L178" s="146"/>
      <c r="M178" s="148">
        <f t="shared" si="12"/>
        <v>0</v>
      </c>
    </row>
    <row r="179" spans="1:13" x14ac:dyDescent="0.25">
      <c r="A179" s="162"/>
      <c r="G179" s="132"/>
      <c r="H179" s="146">
        <v>174</v>
      </c>
      <c r="I179" s="147" t="str">
        <f t="shared" si="13"/>
        <v/>
      </c>
      <c r="J179" s="146">
        <f t="shared" si="14"/>
        <v>-5</v>
      </c>
      <c r="K179" s="146">
        <f t="shared" si="11"/>
        <v>-50</v>
      </c>
      <c r="L179" s="146"/>
      <c r="M179" s="148">
        <f t="shared" si="12"/>
        <v>0</v>
      </c>
    </row>
    <row r="180" spans="1:13" x14ac:dyDescent="0.25">
      <c r="A180" s="162"/>
      <c r="G180" s="132"/>
      <c r="H180" s="146">
        <v>175</v>
      </c>
      <c r="I180" s="147" t="str">
        <f t="shared" si="13"/>
        <v/>
      </c>
      <c r="J180" s="146">
        <f t="shared" si="14"/>
        <v>-5</v>
      </c>
      <c r="K180" s="146">
        <f t="shared" si="11"/>
        <v>-50</v>
      </c>
      <c r="L180" s="146"/>
      <c r="M180" s="148">
        <f t="shared" si="12"/>
        <v>0</v>
      </c>
    </row>
    <row r="181" spans="1:13" x14ac:dyDescent="0.25">
      <c r="A181" s="162"/>
      <c r="G181" s="132"/>
      <c r="H181" s="146">
        <v>176</v>
      </c>
      <c r="I181" s="147" t="str">
        <f t="shared" si="13"/>
        <v/>
      </c>
      <c r="J181" s="146">
        <f t="shared" si="14"/>
        <v>-5</v>
      </c>
      <c r="K181" s="146">
        <f t="shared" si="11"/>
        <v>-50</v>
      </c>
      <c r="L181" s="146"/>
      <c r="M181" s="148">
        <f t="shared" si="12"/>
        <v>0</v>
      </c>
    </row>
    <row r="182" spans="1:13" x14ac:dyDescent="0.25">
      <c r="A182" s="162"/>
      <c r="G182" s="132"/>
      <c r="H182" s="146">
        <v>177</v>
      </c>
      <c r="I182" s="147" t="str">
        <f t="shared" si="13"/>
        <v/>
      </c>
      <c r="J182" s="146">
        <f t="shared" si="14"/>
        <v>-5</v>
      </c>
      <c r="K182" s="146">
        <f t="shared" si="11"/>
        <v>-50</v>
      </c>
      <c r="L182" s="146"/>
      <c r="M182" s="148">
        <f t="shared" si="12"/>
        <v>0</v>
      </c>
    </row>
    <row r="183" spans="1:13" x14ac:dyDescent="0.25">
      <c r="A183" s="162"/>
      <c r="G183" s="132"/>
      <c r="H183" s="146">
        <v>178</v>
      </c>
      <c r="I183" s="147" t="str">
        <f t="shared" si="13"/>
        <v/>
      </c>
      <c r="J183" s="146">
        <f t="shared" si="14"/>
        <v>-5</v>
      </c>
      <c r="K183" s="146">
        <f t="shared" si="11"/>
        <v>-50</v>
      </c>
      <c r="L183" s="146"/>
      <c r="M183" s="148">
        <f t="shared" si="12"/>
        <v>0</v>
      </c>
    </row>
    <row r="184" spans="1:13" x14ac:dyDescent="0.25">
      <c r="A184" s="162"/>
      <c r="G184" s="132"/>
      <c r="H184" s="146">
        <v>179</v>
      </c>
      <c r="I184" s="147" t="str">
        <f t="shared" si="13"/>
        <v/>
      </c>
      <c r="J184" s="146">
        <f t="shared" si="14"/>
        <v>-5</v>
      </c>
      <c r="K184" s="146">
        <f t="shared" si="11"/>
        <v>-50</v>
      </c>
      <c r="L184" s="146"/>
      <c r="M184" s="148">
        <f t="shared" si="12"/>
        <v>0</v>
      </c>
    </row>
    <row r="185" spans="1:13" x14ac:dyDescent="0.25">
      <c r="A185" s="162"/>
      <c r="G185" s="132"/>
      <c r="H185" s="146">
        <v>180</v>
      </c>
      <c r="I185" s="147" t="str">
        <f t="shared" si="13"/>
        <v/>
      </c>
      <c r="J185" s="146">
        <f t="shared" si="14"/>
        <v>-5</v>
      </c>
      <c r="K185" s="146">
        <f t="shared" si="11"/>
        <v>-50</v>
      </c>
      <c r="L185" s="146"/>
      <c r="M185" s="148">
        <f t="shared" si="12"/>
        <v>0</v>
      </c>
    </row>
    <row r="186" spans="1:13" x14ac:dyDescent="0.25">
      <c r="A186" s="162"/>
      <c r="G186" s="132"/>
      <c r="H186" s="146">
        <v>181</v>
      </c>
      <c r="I186" s="147" t="str">
        <f t="shared" si="13"/>
        <v/>
      </c>
      <c r="J186" s="146">
        <f t="shared" si="14"/>
        <v>-5</v>
      </c>
      <c r="K186" s="146">
        <f t="shared" si="11"/>
        <v>-50</v>
      </c>
      <c r="L186" s="146"/>
      <c r="M186" s="148">
        <f t="shared" si="12"/>
        <v>0</v>
      </c>
    </row>
    <row r="187" spans="1:13" x14ac:dyDescent="0.25">
      <c r="A187" s="162"/>
      <c r="G187" s="132"/>
      <c r="H187" s="146">
        <v>182</v>
      </c>
      <c r="I187" s="147" t="str">
        <f t="shared" si="13"/>
        <v/>
      </c>
      <c r="J187" s="146">
        <f t="shared" si="14"/>
        <v>-5</v>
      </c>
      <c r="K187" s="146">
        <f t="shared" si="11"/>
        <v>-50</v>
      </c>
      <c r="L187" s="146"/>
      <c r="M187" s="148">
        <f t="shared" si="12"/>
        <v>0</v>
      </c>
    </row>
    <row r="188" spans="1:13" x14ac:dyDescent="0.25">
      <c r="A188" s="162"/>
      <c r="G188" s="132"/>
      <c r="H188" s="146">
        <v>183</v>
      </c>
      <c r="I188" s="147" t="str">
        <f t="shared" si="13"/>
        <v/>
      </c>
      <c r="J188" s="146">
        <f t="shared" si="14"/>
        <v>-5</v>
      </c>
      <c r="K188" s="146">
        <f t="shared" si="11"/>
        <v>-50</v>
      </c>
      <c r="L188" s="146"/>
      <c r="M188" s="148">
        <f t="shared" si="12"/>
        <v>0</v>
      </c>
    </row>
    <row r="189" spans="1:13" x14ac:dyDescent="0.25">
      <c r="A189" s="162"/>
      <c r="G189" s="132"/>
      <c r="H189" s="146">
        <v>184</v>
      </c>
      <c r="I189" s="147" t="str">
        <f t="shared" si="13"/>
        <v/>
      </c>
      <c r="J189" s="146">
        <f t="shared" si="14"/>
        <v>-5</v>
      </c>
      <c r="K189" s="146">
        <f t="shared" si="11"/>
        <v>-50</v>
      </c>
      <c r="L189" s="146"/>
      <c r="M189" s="148">
        <f t="shared" si="12"/>
        <v>0</v>
      </c>
    </row>
    <row r="190" spans="1:13" x14ac:dyDescent="0.25">
      <c r="A190" s="162"/>
      <c r="G190" s="132"/>
      <c r="H190" s="146">
        <v>185</v>
      </c>
      <c r="I190" s="147" t="str">
        <f t="shared" si="13"/>
        <v/>
      </c>
      <c r="J190" s="146">
        <f t="shared" si="14"/>
        <v>-5</v>
      </c>
      <c r="K190" s="146">
        <f t="shared" si="11"/>
        <v>-50</v>
      </c>
      <c r="L190" s="146"/>
      <c r="M190" s="148">
        <f t="shared" si="12"/>
        <v>0</v>
      </c>
    </row>
    <row r="191" spans="1:13" x14ac:dyDescent="0.25">
      <c r="A191" s="162"/>
      <c r="G191" s="132"/>
      <c r="H191" s="146">
        <v>186</v>
      </c>
      <c r="I191" s="147" t="str">
        <f t="shared" si="13"/>
        <v/>
      </c>
      <c r="J191" s="146">
        <f t="shared" si="14"/>
        <v>-5</v>
      </c>
      <c r="K191" s="146">
        <f t="shared" si="11"/>
        <v>-50</v>
      </c>
      <c r="L191" s="146"/>
      <c r="M191" s="148">
        <f t="shared" si="12"/>
        <v>0</v>
      </c>
    </row>
    <row r="192" spans="1:13" x14ac:dyDescent="0.25">
      <c r="A192" s="162"/>
      <c r="G192" s="132"/>
      <c r="H192" s="146">
        <v>187</v>
      </c>
      <c r="I192" s="147" t="str">
        <f t="shared" si="13"/>
        <v/>
      </c>
      <c r="J192" s="146">
        <f t="shared" si="14"/>
        <v>-5</v>
      </c>
      <c r="K192" s="146">
        <f t="shared" si="11"/>
        <v>-50</v>
      </c>
      <c r="L192" s="146"/>
      <c r="M192" s="148">
        <f t="shared" si="12"/>
        <v>0</v>
      </c>
    </row>
    <row r="193" spans="1:13" x14ac:dyDescent="0.25">
      <c r="A193" s="162"/>
      <c r="G193" s="132"/>
      <c r="H193" s="146">
        <v>188</v>
      </c>
      <c r="I193" s="147" t="str">
        <f t="shared" si="13"/>
        <v/>
      </c>
      <c r="J193" s="146">
        <f t="shared" si="14"/>
        <v>-5</v>
      </c>
      <c r="K193" s="146">
        <f t="shared" si="11"/>
        <v>-50</v>
      </c>
      <c r="L193" s="146"/>
      <c r="M193" s="148">
        <f t="shared" si="12"/>
        <v>0</v>
      </c>
    </row>
    <row r="194" spans="1:13" x14ac:dyDescent="0.25">
      <c r="A194" s="162"/>
      <c r="G194" s="132"/>
      <c r="H194" s="146">
        <v>189</v>
      </c>
      <c r="I194" s="147" t="str">
        <f t="shared" si="13"/>
        <v/>
      </c>
      <c r="J194" s="146">
        <f t="shared" si="14"/>
        <v>-5</v>
      </c>
      <c r="K194" s="146">
        <f t="shared" si="11"/>
        <v>-50</v>
      </c>
      <c r="L194" s="146"/>
      <c r="M194" s="148">
        <f t="shared" si="12"/>
        <v>0</v>
      </c>
    </row>
    <row r="195" spans="1:13" x14ac:dyDescent="0.25">
      <c r="A195" s="162"/>
      <c r="G195" s="132"/>
      <c r="H195" s="146">
        <v>190</v>
      </c>
      <c r="I195" s="147" t="str">
        <f t="shared" si="13"/>
        <v/>
      </c>
      <c r="J195" s="146">
        <f t="shared" si="14"/>
        <v>-5</v>
      </c>
      <c r="K195" s="146">
        <f t="shared" si="11"/>
        <v>-50</v>
      </c>
      <c r="L195" s="146"/>
      <c r="M195" s="148">
        <f t="shared" si="12"/>
        <v>0</v>
      </c>
    </row>
    <row r="196" spans="1:13" x14ac:dyDescent="0.25">
      <c r="A196" s="162"/>
      <c r="G196" s="132"/>
      <c r="H196" s="146">
        <v>191</v>
      </c>
      <c r="I196" s="147" t="str">
        <f t="shared" si="13"/>
        <v/>
      </c>
      <c r="J196" s="146">
        <f t="shared" si="14"/>
        <v>-5</v>
      </c>
      <c r="K196" s="146">
        <f t="shared" si="11"/>
        <v>-50</v>
      </c>
      <c r="L196" s="146"/>
      <c r="M196" s="148">
        <f t="shared" si="12"/>
        <v>0</v>
      </c>
    </row>
    <row r="197" spans="1:13" x14ac:dyDescent="0.25">
      <c r="A197" s="162"/>
      <c r="G197" s="132"/>
      <c r="H197" s="146">
        <v>192</v>
      </c>
      <c r="I197" s="147" t="str">
        <f t="shared" si="13"/>
        <v/>
      </c>
      <c r="J197" s="146">
        <f t="shared" si="14"/>
        <v>-5</v>
      </c>
      <c r="K197" s="146">
        <f t="shared" si="11"/>
        <v>-50</v>
      </c>
      <c r="L197" s="146"/>
      <c r="M197" s="148">
        <f t="shared" si="12"/>
        <v>0</v>
      </c>
    </row>
    <row r="198" spans="1:13" x14ac:dyDescent="0.25">
      <c r="A198" s="162"/>
      <c r="G198" s="132"/>
      <c r="H198" s="146">
        <v>193</v>
      </c>
      <c r="I198" s="147" t="str">
        <f t="shared" si="13"/>
        <v/>
      </c>
      <c r="J198" s="146">
        <f t="shared" si="14"/>
        <v>-5</v>
      </c>
      <c r="K198" s="146">
        <f t="shared" ref="K198:K261" si="15">J198*$J$2</f>
        <v>-50</v>
      </c>
      <c r="L198" s="146"/>
      <c r="M198" s="148">
        <f t="shared" ref="M198:M261" si="16">IF(I198&lt;&gt;"",K198+I198+L198,0)</f>
        <v>0</v>
      </c>
    </row>
    <row r="199" spans="1:13" x14ac:dyDescent="0.25">
      <c r="A199" s="162"/>
      <c r="G199" s="132"/>
      <c r="H199" s="146">
        <v>194</v>
      </c>
      <c r="I199" s="147" t="str">
        <f t="shared" ref="I199:I262" si="17">IF(H199&lt;$H$2+1,($I$2-($I$2-1)*(LOG(H199)/LOG($H$2))),"")</f>
        <v/>
      </c>
      <c r="J199" s="146">
        <f t="shared" ref="J199:J262" si="18">INT(LOG($H$2,2))-ROUNDUP(LOG(H199,2),0)+IF(OR($H$2=1,$H$2=2,$H$2=4,$H$2=8,$H$2=16,$H$2=32,$H$2=64,$H$2=128,$H$2=256),0,1)</f>
        <v>-5</v>
      </c>
      <c r="K199" s="146">
        <f t="shared" si="15"/>
        <v>-50</v>
      </c>
      <c r="L199" s="146"/>
      <c r="M199" s="148">
        <f t="shared" si="16"/>
        <v>0</v>
      </c>
    </row>
    <row r="200" spans="1:13" x14ac:dyDescent="0.25">
      <c r="A200" s="162"/>
      <c r="G200" s="132"/>
      <c r="H200" s="146">
        <v>195</v>
      </c>
      <c r="I200" s="147" t="str">
        <f t="shared" si="17"/>
        <v/>
      </c>
      <c r="J200" s="146">
        <f t="shared" si="18"/>
        <v>-5</v>
      </c>
      <c r="K200" s="146">
        <f t="shared" si="15"/>
        <v>-50</v>
      </c>
      <c r="L200" s="146"/>
      <c r="M200" s="148">
        <f t="shared" si="16"/>
        <v>0</v>
      </c>
    </row>
    <row r="201" spans="1:13" x14ac:dyDescent="0.25">
      <c r="A201" s="162"/>
      <c r="G201" s="132"/>
      <c r="H201" s="146">
        <v>196</v>
      </c>
      <c r="I201" s="147" t="str">
        <f t="shared" si="17"/>
        <v/>
      </c>
      <c r="J201" s="146">
        <f t="shared" si="18"/>
        <v>-5</v>
      </c>
      <c r="K201" s="146">
        <f t="shared" si="15"/>
        <v>-50</v>
      </c>
      <c r="L201" s="146"/>
      <c r="M201" s="148">
        <f t="shared" si="16"/>
        <v>0</v>
      </c>
    </row>
    <row r="202" spans="1:13" x14ac:dyDescent="0.25">
      <c r="A202" s="162"/>
      <c r="G202" s="132"/>
      <c r="H202" s="146">
        <v>197</v>
      </c>
      <c r="I202" s="147" t="str">
        <f t="shared" si="17"/>
        <v/>
      </c>
      <c r="J202" s="146">
        <f t="shared" si="18"/>
        <v>-5</v>
      </c>
      <c r="K202" s="146">
        <f t="shared" si="15"/>
        <v>-50</v>
      </c>
      <c r="L202" s="146"/>
      <c r="M202" s="148">
        <f t="shared" si="16"/>
        <v>0</v>
      </c>
    </row>
    <row r="203" spans="1:13" x14ac:dyDescent="0.25">
      <c r="A203" s="162"/>
      <c r="G203" s="132"/>
      <c r="H203" s="146">
        <v>198</v>
      </c>
      <c r="I203" s="147" t="str">
        <f t="shared" si="17"/>
        <v/>
      </c>
      <c r="J203" s="146">
        <f t="shared" si="18"/>
        <v>-5</v>
      </c>
      <c r="K203" s="146">
        <f t="shared" si="15"/>
        <v>-50</v>
      </c>
      <c r="L203" s="146"/>
      <c r="M203" s="148">
        <f t="shared" si="16"/>
        <v>0</v>
      </c>
    </row>
    <row r="204" spans="1:13" x14ac:dyDescent="0.25">
      <c r="A204" s="162"/>
      <c r="G204" s="132"/>
      <c r="H204" s="146">
        <v>199</v>
      </c>
      <c r="I204" s="147" t="str">
        <f t="shared" si="17"/>
        <v/>
      </c>
      <c r="J204" s="146">
        <f t="shared" si="18"/>
        <v>-5</v>
      </c>
      <c r="K204" s="146">
        <f t="shared" si="15"/>
        <v>-50</v>
      </c>
      <c r="L204" s="146"/>
      <c r="M204" s="148">
        <f t="shared" si="16"/>
        <v>0</v>
      </c>
    </row>
    <row r="205" spans="1:13" x14ac:dyDescent="0.25">
      <c r="A205" s="162"/>
      <c r="G205" s="132"/>
      <c r="H205" s="146">
        <v>200</v>
      </c>
      <c r="I205" s="147" t="str">
        <f t="shared" si="17"/>
        <v/>
      </c>
      <c r="J205" s="146">
        <f t="shared" si="18"/>
        <v>-5</v>
      </c>
      <c r="K205" s="146">
        <f t="shared" si="15"/>
        <v>-50</v>
      </c>
      <c r="L205" s="146"/>
      <c r="M205" s="148">
        <f t="shared" si="16"/>
        <v>0</v>
      </c>
    </row>
    <row r="206" spans="1:13" x14ac:dyDescent="0.25">
      <c r="A206" s="162"/>
      <c r="G206" s="132"/>
      <c r="H206" s="146">
        <v>201</v>
      </c>
      <c r="I206" s="147" t="str">
        <f t="shared" si="17"/>
        <v/>
      </c>
      <c r="J206" s="146">
        <f t="shared" si="18"/>
        <v>-5</v>
      </c>
      <c r="K206" s="146">
        <f t="shared" si="15"/>
        <v>-50</v>
      </c>
      <c r="L206" s="146"/>
      <c r="M206" s="148">
        <f t="shared" si="16"/>
        <v>0</v>
      </c>
    </row>
    <row r="207" spans="1:13" x14ac:dyDescent="0.25">
      <c r="A207" s="162"/>
      <c r="G207" s="132"/>
      <c r="H207" s="146">
        <v>202</v>
      </c>
      <c r="I207" s="147" t="str">
        <f t="shared" si="17"/>
        <v/>
      </c>
      <c r="J207" s="146">
        <f t="shared" si="18"/>
        <v>-5</v>
      </c>
      <c r="K207" s="146">
        <f t="shared" si="15"/>
        <v>-50</v>
      </c>
      <c r="L207" s="146"/>
      <c r="M207" s="148">
        <f t="shared" si="16"/>
        <v>0</v>
      </c>
    </row>
    <row r="208" spans="1:13" x14ac:dyDescent="0.25">
      <c r="A208" s="162"/>
      <c r="G208" s="132"/>
      <c r="H208" s="146">
        <v>203</v>
      </c>
      <c r="I208" s="147" t="str">
        <f t="shared" si="17"/>
        <v/>
      </c>
      <c r="J208" s="146">
        <f t="shared" si="18"/>
        <v>-5</v>
      </c>
      <c r="K208" s="146">
        <f t="shared" si="15"/>
        <v>-50</v>
      </c>
      <c r="L208" s="146"/>
      <c r="M208" s="148">
        <f t="shared" si="16"/>
        <v>0</v>
      </c>
    </row>
    <row r="209" spans="1:13" x14ac:dyDescent="0.25">
      <c r="A209" s="162"/>
      <c r="G209" s="132"/>
      <c r="H209" s="146">
        <v>204</v>
      </c>
      <c r="I209" s="147" t="str">
        <f t="shared" si="17"/>
        <v/>
      </c>
      <c r="J209" s="146">
        <f t="shared" si="18"/>
        <v>-5</v>
      </c>
      <c r="K209" s="146">
        <f t="shared" si="15"/>
        <v>-50</v>
      </c>
      <c r="L209" s="146"/>
      <c r="M209" s="148">
        <f t="shared" si="16"/>
        <v>0</v>
      </c>
    </row>
    <row r="210" spans="1:13" x14ac:dyDescent="0.25">
      <c r="A210" s="162"/>
      <c r="G210" s="132"/>
      <c r="H210" s="146">
        <v>205</v>
      </c>
      <c r="I210" s="147" t="str">
        <f t="shared" si="17"/>
        <v/>
      </c>
      <c r="J210" s="146">
        <f t="shared" si="18"/>
        <v>-5</v>
      </c>
      <c r="K210" s="146">
        <f t="shared" si="15"/>
        <v>-50</v>
      </c>
      <c r="L210" s="146"/>
      <c r="M210" s="148">
        <f t="shared" si="16"/>
        <v>0</v>
      </c>
    </row>
    <row r="211" spans="1:13" x14ac:dyDescent="0.25">
      <c r="A211" s="162"/>
      <c r="G211" s="132"/>
      <c r="H211" s="146">
        <v>206</v>
      </c>
      <c r="I211" s="147" t="str">
        <f t="shared" si="17"/>
        <v/>
      </c>
      <c r="J211" s="146">
        <f t="shared" si="18"/>
        <v>-5</v>
      </c>
      <c r="K211" s="146">
        <f t="shared" si="15"/>
        <v>-50</v>
      </c>
      <c r="L211" s="146"/>
      <c r="M211" s="148">
        <f t="shared" si="16"/>
        <v>0</v>
      </c>
    </row>
    <row r="212" spans="1:13" x14ac:dyDescent="0.25">
      <c r="A212" s="162"/>
      <c r="G212" s="132"/>
      <c r="H212" s="146">
        <v>207</v>
      </c>
      <c r="I212" s="147" t="str">
        <f t="shared" si="17"/>
        <v/>
      </c>
      <c r="J212" s="146">
        <f t="shared" si="18"/>
        <v>-5</v>
      </c>
      <c r="K212" s="146">
        <f t="shared" si="15"/>
        <v>-50</v>
      </c>
      <c r="L212" s="146"/>
      <c r="M212" s="148">
        <f t="shared" si="16"/>
        <v>0</v>
      </c>
    </row>
    <row r="213" spans="1:13" x14ac:dyDescent="0.25">
      <c r="A213" s="162"/>
      <c r="G213" s="132"/>
      <c r="H213" s="146">
        <v>208</v>
      </c>
      <c r="I213" s="147" t="str">
        <f t="shared" si="17"/>
        <v/>
      </c>
      <c r="J213" s="146">
        <f t="shared" si="18"/>
        <v>-5</v>
      </c>
      <c r="K213" s="146">
        <f t="shared" si="15"/>
        <v>-50</v>
      </c>
      <c r="L213" s="146"/>
      <c r="M213" s="148">
        <f t="shared" si="16"/>
        <v>0</v>
      </c>
    </row>
    <row r="214" spans="1:13" x14ac:dyDescent="0.25">
      <c r="A214" s="162"/>
      <c r="G214" s="132"/>
      <c r="H214" s="146">
        <v>209</v>
      </c>
      <c r="I214" s="147" t="str">
        <f t="shared" si="17"/>
        <v/>
      </c>
      <c r="J214" s="146">
        <f t="shared" si="18"/>
        <v>-5</v>
      </c>
      <c r="K214" s="146">
        <f t="shared" si="15"/>
        <v>-50</v>
      </c>
      <c r="L214" s="146"/>
      <c r="M214" s="148">
        <f t="shared" si="16"/>
        <v>0</v>
      </c>
    </row>
    <row r="215" spans="1:13" x14ac:dyDescent="0.25">
      <c r="A215" s="162"/>
      <c r="G215" s="132"/>
      <c r="H215" s="146">
        <v>210</v>
      </c>
      <c r="I215" s="147" t="str">
        <f t="shared" si="17"/>
        <v/>
      </c>
      <c r="J215" s="146">
        <f t="shared" si="18"/>
        <v>-5</v>
      </c>
      <c r="K215" s="146">
        <f t="shared" si="15"/>
        <v>-50</v>
      </c>
      <c r="L215" s="146"/>
      <c r="M215" s="148">
        <f t="shared" si="16"/>
        <v>0</v>
      </c>
    </row>
    <row r="216" spans="1:13" x14ac:dyDescent="0.25">
      <c r="A216" s="162"/>
      <c r="G216" s="132"/>
      <c r="H216" s="146">
        <v>211</v>
      </c>
      <c r="I216" s="147" t="str">
        <f t="shared" si="17"/>
        <v/>
      </c>
      <c r="J216" s="146">
        <f t="shared" si="18"/>
        <v>-5</v>
      </c>
      <c r="K216" s="146">
        <f t="shared" si="15"/>
        <v>-50</v>
      </c>
      <c r="L216" s="146"/>
      <c r="M216" s="148">
        <f t="shared" si="16"/>
        <v>0</v>
      </c>
    </row>
    <row r="217" spans="1:13" x14ac:dyDescent="0.25">
      <c r="A217" s="162"/>
      <c r="G217" s="132"/>
      <c r="H217" s="146">
        <v>212</v>
      </c>
      <c r="I217" s="147" t="str">
        <f t="shared" si="17"/>
        <v/>
      </c>
      <c r="J217" s="146">
        <f t="shared" si="18"/>
        <v>-5</v>
      </c>
      <c r="K217" s="146">
        <f t="shared" si="15"/>
        <v>-50</v>
      </c>
      <c r="L217" s="146"/>
      <c r="M217" s="148">
        <f t="shared" si="16"/>
        <v>0</v>
      </c>
    </row>
    <row r="218" spans="1:13" x14ac:dyDescent="0.25">
      <c r="A218" s="162"/>
      <c r="G218" s="132"/>
      <c r="H218" s="146">
        <v>213</v>
      </c>
      <c r="I218" s="147" t="str">
        <f t="shared" si="17"/>
        <v/>
      </c>
      <c r="J218" s="146">
        <f t="shared" si="18"/>
        <v>-5</v>
      </c>
      <c r="K218" s="146">
        <f t="shared" si="15"/>
        <v>-50</v>
      </c>
      <c r="L218" s="146"/>
      <c r="M218" s="148">
        <f t="shared" si="16"/>
        <v>0</v>
      </c>
    </row>
    <row r="219" spans="1:13" x14ac:dyDescent="0.25">
      <c r="A219" s="162"/>
      <c r="G219" s="132"/>
      <c r="H219" s="146">
        <v>214</v>
      </c>
      <c r="I219" s="147" t="str">
        <f t="shared" si="17"/>
        <v/>
      </c>
      <c r="J219" s="146">
        <f t="shared" si="18"/>
        <v>-5</v>
      </c>
      <c r="K219" s="146">
        <f t="shared" si="15"/>
        <v>-50</v>
      </c>
      <c r="L219" s="146"/>
      <c r="M219" s="148">
        <f t="shared" si="16"/>
        <v>0</v>
      </c>
    </row>
    <row r="220" spans="1:13" x14ac:dyDescent="0.25">
      <c r="A220" s="162"/>
      <c r="G220" s="132"/>
      <c r="H220" s="146">
        <v>215</v>
      </c>
      <c r="I220" s="147" t="str">
        <f t="shared" si="17"/>
        <v/>
      </c>
      <c r="J220" s="146">
        <f t="shared" si="18"/>
        <v>-5</v>
      </c>
      <c r="K220" s="146">
        <f t="shared" si="15"/>
        <v>-50</v>
      </c>
      <c r="L220" s="146"/>
      <c r="M220" s="148">
        <f t="shared" si="16"/>
        <v>0</v>
      </c>
    </row>
    <row r="221" spans="1:13" x14ac:dyDescent="0.25">
      <c r="A221" s="162"/>
      <c r="G221" s="132"/>
      <c r="H221" s="146">
        <v>216</v>
      </c>
      <c r="I221" s="147" t="str">
        <f t="shared" si="17"/>
        <v/>
      </c>
      <c r="J221" s="146">
        <f t="shared" si="18"/>
        <v>-5</v>
      </c>
      <c r="K221" s="146">
        <f t="shared" si="15"/>
        <v>-50</v>
      </c>
      <c r="L221" s="146"/>
      <c r="M221" s="148">
        <f t="shared" si="16"/>
        <v>0</v>
      </c>
    </row>
    <row r="222" spans="1:13" x14ac:dyDescent="0.25">
      <c r="A222" s="162"/>
      <c r="G222" s="132"/>
      <c r="H222" s="146">
        <v>217</v>
      </c>
      <c r="I222" s="147" t="str">
        <f t="shared" si="17"/>
        <v/>
      </c>
      <c r="J222" s="146">
        <f t="shared" si="18"/>
        <v>-5</v>
      </c>
      <c r="K222" s="146">
        <f t="shared" si="15"/>
        <v>-50</v>
      </c>
      <c r="L222" s="146"/>
      <c r="M222" s="148">
        <f t="shared" si="16"/>
        <v>0</v>
      </c>
    </row>
    <row r="223" spans="1:13" x14ac:dyDescent="0.25">
      <c r="A223" s="162"/>
      <c r="G223" s="132"/>
      <c r="H223" s="146">
        <v>218</v>
      </c>
      <c r="I223" s="147" t="str">
        <f t="shared" si="17"/>
        <v/>
      </c>
      <c r="J223" s="146">
        <f t="shared" si="18"/>
        <v>-5</v>
      </c>
      <c r="K223" s="146">
        <f t="shared" si="15"/>
        <v>-50</v>
      </c>
      <c r="L223" s="146"/>
      <c r="M223" s="148">
        <f t="shared" si="16"/>
        <v>0</v>
      </c>
    </row>
    <row r="224" spans="1:13" x14ac:dyDescent="0.25">
      <c r="A224" s="162"/>
      <c r="G224" s="132"/>
      <c r="H224" s="146">
        <v>219</v>
      </c>
      <c r="I224" s="147" t="str">
        <f t="shared" si="17"/>
        <v/>
      </c>
      <c r="J224" s="146">
        <f t="shared" si="18"/>
        <v>-5</v>
      </c>
      <c r="K224" s="146">
        <f t="shared" si="15"/>
        <v>-50</v>
      </c>
      <c r="L224" s="146"/>
      <c r="M224" s="148">
        <f t="shared" si="16"/>
        <v>0</v>
      </c>
    </row>
    <row r="225" spans="1:13" x14ac:dyDescent="0.25">
      <c r="A225" s="162"/>
      <c r="G225" s="132"/>
      <c r="H225" s="146">
        <v>220</v>
      </c>
      <c r="I225" s="147" t="str">
        <f t="shared" si="17"/>
        <v/>
      </c>
      <c r="J225" s="146">
        <f t="shared" si="18"/>
        <v>-5</v>
      </c>
      <c r="K225" s="146">
        <f t="shared" si="15"/>
        <v>-50</v>
      </c>
      <c r="L225" s="146"/>
      <c r="M225" s="148">
        <f t="shared" si="16"/>
        <v>0</v>
      </c>
    </row>
    <row r="226" spans="1:13" x14ac:dyDescent="0.25">
      <c r="A226" s="162"/>
      <c r="G226" s="132"/>
      <c r="H226" s="146">
        <v>221</v>
      </c>
      <c r="I226" s="147" t="str">
        <f t="shared" si="17"/>
        <v/>
      </c>
      <c r="J226" s="146">
        <f t="shared" si="18"/>
        <v>-5</v>
      </c>
      <c r="K226" s="146">
        <f t="shared" si="15"/>
        <v>-50</v>
      </c>
      <c r="L226" s="146"/>
      <c r="M226" s="148">
        <f t="shared" si="16"/>
        <v>0</v>
      </c>
    </row>
    <row r="227" spans="1:13" x14ac:dyDescent="0.25">
      <c r="A227" s="162"/>
      <c r="G227" s="132"/>
      <c r="H227" s="146">
        <v>222</v>
      </c>
      <c r="I227" s="147" t="str">
        <f t="shared" si="17"/>
        <v/>
      </c>
      <c r="J227" s="146">
        <f t="shared" si="18"/>
        <v>-5</v>
      </c>
      <c r="K227" s="146">
        <f t="shared" si="15"/>
        <v>-50</v>
      </c>
      <c r="L227" s="146"/>
      <c r="M227" s="148">
        <f t="shared" si="16"/>
        <v>0</v>
      </c>
    </row>
    <row r="228" spans="1:13" x14ac:dyDescent="0.25">
      <c r="A228" s="162"/>
      <c r="G228" s="132"/>
      <c r="H228" s="146">
        <v>223</v>
      </c>
      <c r="I228" s="147" t="str">
        <f t="shared" si="17"/>
        <v/>
      </c>
      <c r="J228" s="146">
        <f t="shared" si="18"/>
        <v>-5</v>
      </c>
      <c r="K228" s="146">
        <f t="shared" si="15"/>
        <v>-50</v>
      </c>
      <c r="L228" s="146"/>
      <c r="M228" s="148">
        <f t="shared" si="16"/>
        <v>0</v>
      </c>
    </row>
    <row r="229" spans="1:13" x14ac:dyDescent="0.25">
      <c r="A229" s="162"/>
      <c r="G229" s="132"/>
      <c r="H229" s="146">
        <v>224</v>
      </c>
      <c r="I229" s="147" t="str">
        <f t="shared" si="17"/>
        <v/>
      </c>
      <c r="J229" s="146">
        <f t="shared" si="18"/>
        <v>-5</v>
      </c>
      <c r="K229" s="146">
        <f t="shared" si="15"/>
        <v>-50</v>
      </c>
      <c r="L229" s="146"/>
      <c r="M229" s="148">
        <f t="shared" si="16"/>
        <v>0</v>
      </c>
    </row>
    <row r="230" spans="1:13" x14ac:dyDescent="0.25">
      <c r="A230" s="162"/>
      <c r="G230" s="132"/>
      <c r="H230" s="146">
        <v>225</v>
      </c>
      <c r="I230" s="147" t="str">
        <f t="shared" si="17"/>
        <v/>
      </c>
      <c r="J230" s="146">
        <f t="shared" si="18"/>
        <v>-5</v>
      </c>
      <c r="K230" s="146">
        <f t="shared" si="15"/>
        <v>-50</v>
      </c>
      <c r="L230" s="146"/>
      <c r="M230" s="148">
        <f t="shared" si="16"/>
        <v>0</v>
      </c>
    </row>
    <row r="231" spans="1:13" x14ac:dyDescent="0.25">
      <c r="A231" s="162"/>
      <c r="G231" s="132"/>
      <c r="H231" s="146">
        <v>226</v>
      </c>
      <c r="I231" s="147" t="str">
        <f t="shared" si="17"/>
        <v/>
      </c>
      <c r="J231" s="146">
        <f t="shared" si="18"/>
        <v>-5</v>
      </c>
      <c r="K231" s="146">
        <f t="shared" si="15"/>
        <v>-50</v>
      </c>
      <c r="L231" s="146"/>
      <c r="M231" s="148">
        <f t="shared" si="16"/>
        <v>0</v>
      </c>
    </row>
    <row r="232" spans="1:13" x14ac:dyDescent="0.25">
      <c r="A232" s="162"/>
      <c r="G232" s="132"/>
      <c r="H232" s="146">
        <v>227</v>
      </c>
      <c r="I232" s="147" t="str">
        <f t="shared" si="17"/>
        <v/>
      </c>
      <c r="J232" s="146">
        <f t="shared" si="18"/>
        <v>-5</v>
      </c>
      <c r="K232" s="146">
        <f t="shared" si="15"/>
        <v>-50</v>
      </c>
      <c r="L232" s="146"/>
      <c r="M232" s="148">
        <f t="shared" si="16"/>
        <v>0</v>
      </c>
    </row>
    <row r="233" spans="1:13" x14ac:dyDescent="0.25">
      <c r="A233" s="162"/>
      <c r="G233" s="132"/>
      <c r="H233" s="146">
        <v>228</v>
      </c>
      <c r="I233" s="147" t="str">
        <f t="shared" si="17"/>
        <v/>
      </c>
      <c r="J233" s="146">
        <f t="shared" si="18"/>
        <v>-5</v>
      </c>
      <c r="K233" s="146">
        <f t="shared" si="15"/>
        <v>-50</v>
      </c>
      <c r="L233" s="146"/>
      <c r="M233" s="148">
        <f t="shared" si="16"/>
        <v>0</v>
      </c>
    </row>
    <row r="234" spans="1:13" x14ac:dyDescent="0.25">
      <c r="A234" s="162"/>
      <c r="G234" s="132"/>
      <c r="H234" s="146">
        <v>229</v>
      </c>
      <c r="I234" s="147" t="str">
        <f t="shared" si="17"/>
        <v/>
      </c>
      <c r="J234" s="146">
        <f t="shared" si="18"/>
        <v>-5</v>
      </c>
      <c r="K234" s="146">
        <f t="shared" si="15"/>
        <v>-50</v>
      </c>
      <c r="L234" s="146"/>
      <c r="M234" s="148">
        <f t="shared" si="16"/>
        <v>0</v>
      </c>
    </row>
    <row r="235" spans="1:13" x14ac:dyDescent="0.25">
      <c r="A235" s="162"/>
      <c r="G235" s="132"/>
      <c r="H235" s="146">
        <v>230</v>
      </c>
      <c r="I235" s="147" t="str">
        <f t="shared" si="17"/>
        <v/>
      </c>
      <c r="J235" s="146">
        <f t="shared" si="18"/>
        <v>-5</v>
      </c>
      <c r="K235" s="146">
        <f t="shared" si="15"/>
        <v>-50</v>
      </c>
      <c r="L235" s="146"/>
      <c r="M235" s="148">
        <f t="shared" si="16"/>
        <v>0</v>
      </c>
    </row>
    <row r="236" spans="1:13" x14ac:dyDescent="0.25">
      <c r="A236" s="162"/>
      <c r="G236" s="132"/>
      <c r="H236" s="146">
        <v>231</v>
      </c>
      <c r="I236" s="147" t="str">
        <f t="shared" si="17"/>
        <v/>
      </c>
      <c r="J236" s="146">
        <f t="shared" si="18"/>
        <v>-5</v>
      </c>
      <c r="K236" s="146">
        <f t="shared" si="15"/>
        <v>-50</v>
      </c>
      <c r="L236" s="146"/>
      <c r="M236" s="148">
        <f t="shared" si="16"/>
        <v>0</v>
      </c>
    </row>
    <row r="237" spans="1:13" x14ac:dyDescent="0.25">
      <c r="A237" s="162"/>
      <c r="G237" s="132"/>
      <c r="H237" s="146">
        <v>232</v>
      </c>
      <c r="I237" s="147" t="str">
        <f t="shared" si="17"/>
        <v/>
      </c>
      <c r="J237" s="146">
        <f t="shared" si="18"/>
        <v>-5</v>
      </c>
      <c r="K237" s="146">
        <f t="shared" si="15"/>
        <v>-50</v>
      </c>
      <c r="L237" s="146"/>
      <c r="M237" s="148">
        <f t="shared" si="16"/>
        <v>0</v>
      </c>
    </row>
    <row r="238" spans="1:13" x14ac:dyDescent="0.25">
      <c r="A238" s="162"/>
      <c r="G238" s="132"/>
      <c r="H238" s="146">
        <v>233</v>
      </c>
      <c r="I238" s="147" t="str">
        <f t="shared" si="17"/>
        <v/>
      </c>
      <c r="J238" s="146">
        <f t="shared" si="18"/>
        <v>-5</v>
      </c>
      <c r="K238" s="146">
        <f t="shared" si="15"/>
        <v>-50</v>
      </c>
      <c r="L238" s="146"/>
      <c r="M238" s="148">
        <f t="shared" si="16"/>
        <v>0</v>
      </c>
    </row>
    <row r="239" spans="1:13" x14ac:dyDescent="0.25">
      <c r="A239" s="162"/>
      <c r="G239" s="132"/>
      <c r="H239" s="146">
        <v>234</v>
      </c>
      <c r="I239" s="147" t="str">
        <f t="shared" si="17"/>
        <v/>
      </c>
      <c r="J239" s="146">
        <f t="shared" si="18"/>
        <v>-5</v>
      </c>
      <c r="K239" s="146">
        <f t="shared" si="15"/>
        <v>-50</v>
      </c>
      <c r="L239" s="146"/>
      <c r="M239" s="148">
        <f t="shared" si="16"/>
        <v>0</v>
      </c>
    </row>
    <row r="240" spans="1:13" x14ac:dyDescent="0.25">
      <c r="A240" s="162"/>
      <c r="G240" s="132"/>
      <c r="H240" s="146">
        <v>235</v>
      </c>
      <c r="I240" s="147" t="str">
        <f t="shared" si="17"/>
        <v/>
      </c>
      <c r="J240" s="146">
        <f t="shared" si="18"/>
        <v>-5</v>
      </c>
      <c r="K240" s="146">
        <f t="shared" si="15"/>
        <v>-50</v>
      </c>
      <c r="L240" s="146"/>
      <c r="M240" s="148">
        <f t="shared" si="16"/>
        <v>0</v>
      </c>
    </row>
    <row r="241" spans="1:13" x14ac:dyDescent="0.25">
      <c r="A241" s="162"/>
      <c r="G241" s="132"/>
      <c r="H241" s="146">
        <v>236</v>
      </c>
      <c r="I241" s="147" t="str">
        <f t="shared" si="17"/>
        <v/>
      </c>
      <c r="J241" s="146">
        <f t="shared" si="18"/>
        <v>-5</v>
      </c>
      <c r="K241" s="146">
        <f t="shared" si="15"/>
        <v>-50</v>
      </c>
      <c r="L241" s="146"/>
      <c r="M241" s="148">
        <f t="shared" si="16"/>
        <v>0</v>
      </c>
    </row>
    <row r="242" spans="1:13" x14ac:dyDescent="0.25">
      <c r="A242" s="162"/>
      <c r="G242" s="132"/>
      <c r="H242" s="146">
        <v>237</v>
      </c>
      <c r="I242" s="147" t="str">
        <f t="shared" si="17"/>
        <v/>
      </c>
      <c r="J242" s="146">
        <f t="shared" si="18"/>
        <v>-5</v>
      </c>
      <c r="K242" s="146">
        <f t="shared" si="15"/>
        <v>-50</v>
      </c>
      <c r="L242" s="146"/>
      <c r="M242" s="148">
        <f t="shared" si="16"/>
        <v>0</v>
      </c>
    </row>
    <row r="243" spans="1:13" x14ac:dyDescent="0.25">
      <c r="A243" s="162"/>
      <c r="G243" s="132"/>
      <c r="H243" s="146">
        <v>238</v>
      </c>
      <c r="I243" s="147" t="str">
        <f t="shared" si="17"/>
        <v/>
      </c>
      <c r="J243" s="146">
        <f t="shared" si="18"/>
        <v>-5</v>
      </c>
      <c r="K243" s="146">
        <f t="shared" si="15"/>
        <v>-50</v>
      </c>
      <c r="L243" s="146"/>
      <c r="M243" s="148">
        <f t="shared" si="16"/>
        <v>0</v>
      </c>
    </row>
    <row r="244" spans="1:13" x14ac:dyDescent="0.25">
      <c r="A244" s="162"/>
      <c r="G244" s="132"/>
      <c r="H244" s="146">
        <v>239</v>
      </c>
      <c r="I244" s="147" t="str">
        <f t="shared" si="17"/>
        <v/>
      </c>
      <c r="J244" s="146">
        <f t="shared" si="18"/>
        <v>-5</v>
      </c>
      <c r="K244" s="146">
        <f t="shared" si="15"/>
        <v>-50</v>
      </c>
      <c r="L244" s="146"/>
      <c r="M244" s="148">
        <f t="shared" si="16"/>
        <v>0</v>
      </c>
    </row>
    <row r="245" spans="1:13" x14ac:dyDescent="0.25">
      <c r="A245" s="162"/>
      <c r="G245" s="132"/>
      <c r="H245" s="146">
        <v>240</v>
      </c>
      <c r="I245" s="147" t="str">
        <f t="shared" si="17"/>
        <v/>
      </c>
      <c r="J245" s="146">
        <f t="shared" si="18"/>
        <v>-5</v>
      </c>
      <c r="K245" s="146">
        <f t="shared" si="15"/>
        <v>-50</v>
      </c>
      <c r="L245" s="146"/>
      <c r="M245" s="148">
        <f t="shared" si="16"/>
        <v>0</v>
      </c>
    </row>
    <row r="246" spans="1:13" x14ac:dyDescent="0.25">
      <c r="A246" s="162"/>
      <c r="G246" s="132"/>
      <c r="H246" s="146">
        <v>241</v>
      </c>
      <c r="I246" s="147" t="str">
        <f t="shared" si="17"/>
        <v/>
      </c>
      <c r="J246" s="146">
        <f t="shared" si="18"/>
        <v>-5</v>
      </c>
      <c r="K246" s="146">
        <f t="shared" si="15"/>
        <v>-50</v>
      </c>
      <c r="L246" s="146"/>
      <c r="M246" s="148">
        <f t="shared" si="16"/>
        <v>0</v>
      </c>
    </row>
    <row r="247" spans="1:13" x14ac:dyDescent="0.25">
      <c r="A247" s="162"/>
      <c r="G247" s="132"/>
      <c r="H247" s="146">
        <v>242</v>
      </c>
      <c r="I247" s="147" t="str">
        <f t="shared" si="17"/>
        <v/>
      </c>
      <c r="J247" s="146">
        <f t="shared" si="18"/>
        <v>-5</v>
      </c>
      <c r="K247" s="146">
        <f t="shared" si="15"/>
        <v>-50</v>
      </c>
      <c r="L247" s="146"/>
      <c r="M247" s="148">
        <f t="shared" si="16"/>
        <v>0</v>
      </c>
    </row>
    <row r="248" spans="1:13" x14ac:dyDescent="0.25">
      <c r="A248" s="162"/>
      <c r="G248" s="132"/>
      <c r="H248" s="146">
        <v>243</v>
      </c>
      <c r="I248" s="147" t="str">
        <f t="shared" si="17"/>
        <v/>
      </c>
      <c r="J248" s="146">
        <f t="shared" si="18"/>
        <v>-5</v>
      </c>
      <c r="K248" s="146">
        <f t="shared" si="15"/>
        <v>-50</v>
      </c>
      <c r="L248" s="146"/>
      <c r="M248" s="148">
        <f t="shared" si="16"/>
        <v>0</v>
      </c>
    </row>
    <row r="249" spans="1:13" x14ac:dyDescent="0.25">
      <c r="A249" s="162"/>
      <c r="G249" s="132"/>
      <c r="H249" s="146">
        <v>244</v>
      </c>
      <c r="I249" s="147" t="str">
        <f t="shared" si="17"/>
        <v/>
      </c>
      <c r="J249" s="146">
        <f t="shared" si="18"/>
        <v>-5</v>
      </c>
      <c r="K249" s="146">
        <f t="shared" si="15"/>
        <v>-50</v>
      </c>
      <c r="L249" s="146"/>
      <c r="M249" s="148">
        <f t="shared" si="16"/>
        <v>0</v>
      </c>
    </row>
    <row r="250" spans="1:13" x14ac:dyDescent="0.25">
      <c r="A250" s="162"/>
      <c r="G250" s="132"/>
      <c r="H250" s="146">
        <v>245</v>
      </c>
      <c r="I250" s="147" t="str">
        <f t="shared" si="17"/>
        <v/>
      </c>
      <c r="J250" s="146">
        <f t="shared" si="18"/>
        <v>-5</v>
      </c>
      <c r="K250" s="146">
        <f t="shared" si="15"/>
        <v>-50</v>
      </c>
      <c r="L250" s="146"/>
      <c r="M250" s="148">
        <f t="shared" si="16"/>
        <v>0</v>
      </c>
    </row>
    <row r="251" spans="1:13" x14ac:dyDescent="0.25">
      <c r="A251" s="162"/>
      <c r="G251" s="132"/>
      <c r="H251" s="146">
        <v>246</v>
      </c>
      <c r="I251" s="147" t="str">
        <f t="shared" si="17"/>
        <v/>
      </c>
      <c r="J251" s="146">
        <f t="shared" si="18"/>
        <v>-5</v>
      </c>
      <c r="K251" s="146">
        <f t="shared" si="15"/>
        <v>-50</v>
      </c>
      <c r="L251" s="146"/>
      <c r="M251" s="148">
        <f t="shared" si="16"/>
        <v>0</v>
      </c>
    </row>
    <row r="252" spans="1:13" x14ac:dyDescent="0.25">
      <c r="A252" s="162"/>
      <c r="G252" s="132"/>
      <c r="H252" s="146">
        <v>247</v>
      </c>
      <c r="I252" s="147" t="str">
        <f t="shared" si="17"/>
        <v/>
      </c>
      <c r="J252" s="146">
        <f t="shared" si="18"/>
        <v>-5</v>
      </c>
      <c r="K252" s="146">
        <f t="shared" si="15"/>
        <v>-50</v>
      </c>
      <c r="L252" s="146"/>
      <c r="M252" s="148">
        <f t="shared" si="16"/>
        <v>0</v>
      </c>
    </row>
    <row r="253" spans="1:13" x14ac:dyDescent="0.25">
      <c r="A253" s="162"/>
      <c r="G253" s="132"/>
      <c r="H253" s="146">
        <v>248</v>
      </c>
      <c r="I253" s="147" t="str">
        <f t="shared" si="17"/>
        <v/>
      </c>
      <c r="J253" s="146">
        <f t="shared" si="18"/>
        <v>-5</v>
      </c>
      <c r="K253" s="146">
        <f t="shared" si="15"/>
        <v>-50</v>
      </c>
      <c r="L253" s="146"/>
      <c r="M253" s="148">
        <f t="shared" si="16"/>
        <v>0</v>
      </c>
    </row>
    <row r="254" spans="1:13" x14ac:dyDescent="0.25">
      <c r="A254" s="162"/>
      <c r="G254" s="132"/>
      <c r="H254" s="146">
        <v>249</v>
      </c>
      <c r="I254" s="147" t="str">
        <f t="shared" si="17"/>
        <v/>
      </c>
      <c r="J254" s="146">
        <f t="shared" si="18"/>
        <v>-5</v>
      </c>
      <c r="K254" s="146">
        <f t="shared" si="15"/>
        <v>-50</v>
      </c>
      <c r="L254" s="146"/>
      <c r="M254" s="148">
        <f t="shared" si="16"/>
        <v>0</v>
      </c>
    </row>
    <row r="255" spans="1:13" x14ac:dyDescent="0.25">
      <c r="A255" s="162"/>
      <c r="G255" s="132"/>
      <c r="H255" s="146">
        <v>250</v>
      </c>
      <c r="I255" s="147" t="str">
        <f t="shared" si="17"/>
        <v/>
      </c>
      <c r="J255" s="146">
        <f t="shared" si="18"/>
        <v>-5</v>
      </c>
      <c r="K255" s="146">
        <f t="shared" si="15"/>
        <v>-50</v>
      </c>
      <c r="L255" s="146"/>
      <c r="M255" s="148">
        <f t="shared" si="16"/>
        <v>0</v>
      </c>
    </row>
    <row r="256" spans="1:13" x14ac:dyDescent="0.25">
      <c r="A256" s="162"/>
      <c r="G256" s="132"/>
      <c r="H256" s="146">
        <v>251</v>
      </c>
      <c r="I256" s="147" t="str">
        <f t="shared" si="17"/>
        <v/>
      </c>
      <c r="J256" s="146">
        <f t="shared" si="18"/>
        <v>-5</v>
      </c>
      <c r="K256" s="146">
        <f t="shared" si="15"/>
        <v>-50</v>
      </c>
      <c r="L256" s="146"/>
      <c r="M256" s="148">
        <f t="shared" si="16"/>
        <v>0</v>
      </c>
    </row>
    <row r="257" spans="1:13" x14ac:dyDescent="0.25">
      <c r="A257" s="162"/>
      <c r="G257" s="132"/>
      <c r="H257" s="146">
        <v>252</v>
      </c>
      <c r="I257" s="147" t="str">
        <f t="shared" si="17"/>
        <v/>
      </c>
      <c r="J257" s="146">
        <f t="shared" si="18"/>
        <v>-5</v>
      </c>
      <c r="K257" s="146">
        <f t="shared" si="15"/>
        <v>-50</v>
      </c>
      <c r="L257" s="146"/>
      <c r="M257" s="148">
        <f t="shared" si="16"/>
        <v>0</v>
      </c>
    </row>
    <row r="258" spans="1:13" x14ac:dyDescent="0.25">
      <c r="A258" s="162"/>
      <c r="G258" s="132"/>
      <c r="H258" s="146">
        <v>253</v>
      </c>
      <c r="I258" s="147" t="str">
        <f t="shared" si="17"/>
        <v/>
      </c>
      <c r="J258" s="146">
        <f t="shared" si="18"/>
        <v>-5</v>
      </c>
      <c r="K258" s="146">
        <f t="shared" si="15"/>
        <v>-50</v>
      </c>
      <c r="L258" s="146"/>
      <c r="M258" s="148">
        <f t="shared" si="16"/>
        <v>0</v>
      </c>
    </row>
    <row r="259" spans="1:13" x14ac:dyDescent="0.25">
      <c r="A259" s="162"/>
      <c r="G259" s="132"/>
      <c r="H259" s="146">
        <v>254</v>
      </c>
      <c r="I259" s="147" t="str">
        <f t="shared" si="17"/>
        <v/>
      </c>
      <c r="J259" s="146">
        <f t="shared" si="18"/>
        <v>-5</v>
      </c>
      <c r="K259" s="146">
        <f t="shared" si="15"/>
        <v>-50</v>
      </c>
      <c r="L259" s="146"/>
      <c r="M259" s="148">
        <f t="shared" si="16"/>
        <v>0</v>
      </c>
    </row>
    <row r="260" spans="1:13" x14ac:dyDescent="0.25">
      <c r="A260" s="162"/>
      <c r="G260" s="132"/>
      <c r="H260" s="146">
        <v>255</v>
      </c>
      <c r="I260" s="147" t="str">
        <f t="shared" si="17"/>
        <v/>
      </c>
      <c r="J260" s="146">
        <f t="shared" si="18"/>
        <v>-5</v>
      </c>
      <c r="K260" s="146">
        <f t="shared" si="15"/>
        <v>-50</v>
      </c>
      <c r="L260" s="146"/>
      <c r="M260" s="148">
        <f t="shared" si="16"/>
        <v>0</v>
      </c>
    </row>
    <row r="261" spans="1:13" x14ac:dyDescent="0.25">
      <c r="A261" s="162"/>
      <c r="G261" s="132"/>
      <c r="H261" s="146">
        <v>256</v>
      </c>
      <c r="I261" s="147" t="str">
        <f t="shared" si="17"/>
        <v/>
      </c>
      <c r="J261" s="146">
        <f t="shared" si="18"/>
        <v>-5</v>
      </c>
      <c r="K261" s="146">
        <f t="shared" si="15"/>
        <v>-50</v>
      </c>
      <c r="L261" s="146"/>
      <c r="M261" s="148">
        <f t="shared" si="16"/>
        <v>0</v>
      </c>
    </row>
    <row r="262" spans="1:13" x14ac:dyDescent="0.25">
      <c r="A262" s="162"/>
      <c r="G262" s="132"/>
      <c r="H262" s="146">
        <v>257</v>
      </c>
      <c r="I262" s="147" t="str">
        <f t="shared" si="17"/>
        <v/>
      </c>
      <c r="J262" s="146">
        <f t="shared" si="18"/>
        <v>-6</v>
      </c>
      <c r="K262" s="146">
        <f t="shared" ref="K262:K305" si="19">J262*$J$2</f>
        <v>-60</v>
      </c>
      <c r="L262" s="146"/>
      <c r="M262" s="148">
        <f t="shared" ref="M262:M305" si="20">IF(I262&lt;&gt;"",K262+I262+L262,0)</f>
        <v>0</v>
      </c>
    </row>
    <row r="263" spans="1:13" x14ac:dyDescent="0.25">
      <c r="A263" s="162"/>
      <c r="G263" s="132"/>
      <c r="H263" s="146">
        <v>258</v>
      </c>
      <c r="I263" s="147" t="str">
        <f t="shared" ref="I263:I305" si="21">IF(H263&lt;$H$2+1,($I$2-($I$2-1)*(LOG(H263)/LOG($H$2))),"")</f>
        <v/>
      </c>
      <c r="J263" s="146">
        <f t="shared" ref="J263:J305" si="22">INT(LOG($H$2,2))-ROUNDUP(LOG(H263,2),0)+IF(OR($H$2=1,$H$2=2,$H$2=4,$H$2=8,$H$2=16,$H$2=32,$H$2=64,$H$2=128,$H$2=256),0,1)</f>
        <v>-6</v>
      </c>
      <c r="K263" s="146">
        <f t="shared" si="19"/>
        <v>-60</v>
      </c>
      <c r="L263" s="146"/>
      <c r="M263" s="148">
        <f t="shared" si="20"/>
        <v>0</v>
      </c>
    </row>
    <row r="264" spans="1:13" x14ac:dyDescent="0.25">
      <c r="A264" s="162"/>
      <c r="G264" s="132"/>
      <c r="H264" s="146">
        <v>259</v>
      </c>
      <c r="I264" s="147" t="str">
        <f t="shared" si="21"/>
        <v/>
      </c>
      <c r="J264" s="146">
        <f t="shared" si="22"/>
        <v>-6</v>
      </c>
      <c r="K264" s="146">
        <f t="shared" si="19"/>
        <v>-60</v>
      </c>
      <c r="L264" s="146"/>
      <c r="M264" s="148">
        <f t="shared" si="20"/>
        <v>0</v>
      </c>
    </row>
    <row r="265" spans="1:13" x14ac:dyDescent="0.25">
      <c r="A265" s="162"/>
      <c r="G265" s="132"/>
      <c r="H265" s="146">
        <v>260</v>
      </c>
      <c r="I265" s="147" t="str">
        <f t="shared" si="21"/>
        <v/>
      </c>
      <c r="J265" s="146">
        <f t="shared" si="22"/>
        <v>-6</v>
      </c>
      <c r="K265" s="146">
        <f t="shared" si="19"/>
        <v>-60</v>
      </c>
      <c r="L265" s="146"/>
      <c r="M265" s="148">
        <f t="shared" si="20"/>
        <v>0</v>
      </c>
    </row>
    <row r="266" spans="1:13" x14ac:dyDescent="0.25">
      <c r="A266" s="162"/>
      <c r="G266" s="132"/>
      <c r="H266" s="146">
        <v>261</v>
      </c>
      <c r="I266" s="147" t="str">
        <f t="shared" si="21"/>
        <v/>
      </c>
      <c r="J266" s="146">
        <f t="shared" si="22"/>
        <v>-6</v>
      </c>
      <c r="K266" s="146">
        <f t="shared" si="19"/>
        <v>-60</v>
      </c>
      <c r="L266" s="146"/>
      <c r="M266" s="148">
        <f t="shared" si="20"/>
        <v>0</v>
      </c>
    </row>
    <row r="267" spans="1:13" x14ac:dyDescent="0.25">
      <c r="A267" s="162"/>
      <c r="G267" s="132"/>
      <c r="H267" s="146">
        <v>262</v>
      </c>
      <c r="I267" s="147" t="str">
        <f t="shared" si="21"/>
        <v/>
      </c>
      <c r="J267" s="146">
        <f t="shared" si="22"/>
        <v>-6</v>
      </c>
      <c r="K267" s="146">
        <f t="shared" si="19"/>
        <v>-60</v>
      </c>
      <c r="L267" s="146"/>
      <c r="M267" s="148">
        <f t="shared" si="20"/>
        <v>0</v>
      </c>
    </row>
    <row r="268" spans="1:13" x14ac:dyDescent="0.25">
      <c r="A268" s="162"/>
      <c r="G268" s="132"/>
      <c r="H268" s="146">
        <v>263</v>
      </c>
      <c r="I268" s="147" t="str">
        <f t="shared" si="21"/>
        <v/>
      </c>
      <c r="J268" s="146">
        <f t="shared" si="22"/>
        <v>-6</v>
      </c>
      <c r="K268" s="146">
        <f t="shared" si="19"/>
        <v>-60</v>
      </c>
      <c r="L268" s="146"/>
      <c r="M268" s="148">
        <f t="shared" si="20"/>
        <v>0</v>
      </c>
    </row>
    <row r="269" spans="1:13" x14ac:dyDescent="0.25">
      <c r="A269" s="162"/>
      <c r="G269" s="132"/>
      <c r="H269" s="146">
        <v>264</v>
      </c>
      <c r="I269" s="147" t="str">
        <f t="shared" si="21"/>
        <v/>
      </c>
      <c r="J269" s="146">
        <f t="shared" si="22"/>
        <v>-6</v>
      </c>
      <c r="K269" s="146">
        <f t="shared" si="19"/>
        <v>-60</v>
      </c>
      <c r="L269" s="146"/>
      <c r="M269" s="148">
        <f t="shared" si="20"/>
        <v>0</v>
      </c>
    </row>
    <row r="270" spans="1:13" x14ac:dyDescent="0.25">
      <c r="A270" s="162"/>
      <c r="G270" s="132"/>
      <c r="H270" s="146">
        <v>265</v>
      </c>
      <c r="I270" s="147" t="str">
        <f t="shared" si="21"/>
        <v/>
      </c>
      <c r="J270" s="146">
        <f t="shared" si="22"/>
        <v>-6</v>
      </c>
      <c r="K270" s="146">
        <f t="shared" si="19"/>
        <v>-60</v>
      </c>
      <c r="L270" s="146"/>
      <c r="M270" s="148">
        <f t="shared" si="20"/>
        <v>0</v>
      </c>
    </row>
    <row r="271" spans="1:13" x14ac:dyDescent="0.25">
      <c r="A271" s="162"/>
      <c r="G271" s="132"/>
      <c r="H271" s="146">
        <v>266</v>
      </c>
      <c r="I271" s="147" t="str">
        <f t="shared" si="21"/>
        <v/>
      </c>
      <c r="J271" s="146">
        <f t="shared" si="22"/>
        <v>-6</v>
      </c>
      <c r="K271" s="146">
        <f t="shared" si="19"/>
        <v>-60</v>
      </c>
      <c r="L271" s="146"/>
      <c r="M271" s="148">
        <f t="shared" si="20"/>
        <v>0</v>
      </c>
    </row>
    <row r="272" spans="1:13" x14ac:dyDescent="0.25">
      <c r="A272" s="162"/>
      <c r="G272" s="132"/>
      <c r="H272" s="146">
        <v>267</v>
      </c>
      <c r="I272" s="147" t="str">
        <f t="shared" si="21"/>
        <v/>
      </c>
      <c r="J272" s="146">
        <f t="shared" si="22"/>
        <v>-6</v>
      </c>
      <c r="K272" s="146">
        <f t="shared" si="19"/>
        <v>-60</v>
      </c>
      <c r="L272" s="146"/>
      <c r="M272" s="148">
        <f t="shared" si="20"/>
        <v>0</v>
      </c>
    </row>
    <row r="273" spans="1:13" x14ac:dyDescent="0.25">
      <c r="A273" s="162"/>
      <c r="G273" s="132"/>
      <c r="H273" s="146">
        <v>268</v>
      </c>
      <c r="I273" s="147" t="str">
        <f t="shared" si="21"/>
        <v/>
      </c>
      <c r="J273" s="146">
        <f t="shared" si="22"/>
        <v>-6</v>
      </c>
      <c r="K273" s="146">
        <f t="shared" si="19"/>
        <v>-60</v>
      </c>
      <c r="L273" s="146"/>
      <c r="M273" s="148">
        <f t="shared" si="20"/>
        <v>0</v>
      </c>
    </row>
    <row r="274" spans="1:13" x14ac:dyDescent="0.25">
      <c r="A274" s="162"/>
      <c r="G274" s="132"/>
      <c r="H274" s="146">
        <v>269</v>
      </c>
      <c r="I274" s="147" t="str">
        <f t="shared" si="21"/>
        <v/>
      </c>
      <c r="J274" s="146">
        <f t="shared" si="22"/>
        <v>-6</v>
      </c>
      <c r="K274" s="146">
        <f t="shared" si="19"/>
        <v>-60</v>
      </c>
      <c r="L274" s="146"/>
      <c r="M274" s="148">
        <f t="shared" si="20"/>
        <v>0</v>
      </c>
    </row>
    <row r="275" spans="1:13" x14ac:dyDescent="0.25">
      <c r="A275" s="162"/>
      <c r="G275" s="132"/>
      <c r="H275" s="146">
        <v>270</v>
      </c>
      <c r="I275" s="147" t="str">
        <f t="shared" si="21"/>
        <v/>
      </c>
      <c r="J275" s="146">
        <f t="shared" si="22"/>
        <v>-6</v>
      </c>
      <c r="K275" s="146">
        <f t="shared" si="19"/>
        <v>-60</v>
      </c>
      <c r="L275" s="146"/>
      <c r="M275" s="148">
        <f t="shared" si="20"/>
        <v>0</v>
      </c>
    </row>
    <row r="276" spans="1:13" x14ac:dyDescent="0.25">
      <c r="A276" s="162"/>
      <c r="G276" s="132"/>
      <c r="H276" s="146">
        <v>271</v>
      </c>
      <c r="I276" s="147" t="str">
        <f t="shared" si="21"/>
        <v/>
      </c>
      <c r="J276" s="146">
        <f t="shared" si="22"/>
        <v>-6</v>
      </c>
      <c r="K276" s="146">
        <f t="shared" si="19"/>
        <v>-60</v>
      </c>
      <c r="L276" s="146"/>
      <c r="M276" s="148">
        <f t="shared" si="20"/>
        <v>0</v>
      </c>
    </row>
    <row r="277" spans="1:13" x14ac:dyDescent="0.25">
      <c r="A277" s="162"/>
      <c r="G277" s="132"/>
      <c r="H277" s="146">
        <v>272</v>
      </c>
      <c r="I277" s="147" t="str">
        <f t="shared" si="21"/>
        <v/>
      </c>
      <c r="J277" s="146">
        <f t="shared" si="22"/>
        <v>-6</v>
      </c>
      <c r="K277" s="146">
        <f t="shared" si="19"/>
        <v>-60</v>
      </c>
      <c r="L277" s="146"/>
      <c r="M277" s="148">
        <f t="shared" si="20"/>
        <v>0</v>
      </c>
    </row>
    <row r="278" spans="1:13" x14ac:dyDescent="0.25">
      <c r="A278" s="162"/>
      <c r="G278" s="132"/>
      <c r="H278" s="146">
        <v>273</v>
      </c>
      <c r="I278" s="147" t="str">
        <f t="shared" si="21"/>
        <v/>
      </c>
      <c r="J278" s="146">
        <f t="shared" si="22"/>
        <v>-6</v>
      </c>
      <c r="K278" s="146">
        <f t="shared" si="19"/>
        <v>-60</v>
      </c>
      <c r="L278" s="146"/>
      <c r="M278" s="148">
        <f t="shared" si="20"/>
        <v>0</v>
      </c>
    </row>
    <row r="279" spans="1:13" x14ac:dyDescent="0.25">
      <c r="A279" s="162"/>
      <c r="G279" s="132"/>
      <c r="H279" s="146">
        <v>274</v>
      </c>
      <c r="I279" s="147" t="str">
        <f t="shared" si="21"/>
        <v/>
      </c>
      <c r="J279" s="146">
        <f t="shared" si="22"/>
        <v>-6</v>
      </c>
      <c r="K279" s="146">
        <f t="shared" si="19"/>
        <v>-60</v>
      </c>
      <c r="L279" s="146"/>
      <c r="M279" s="148">
        <f t="shared" si="20"/>
        <v>0</v>
      </c>
    </row>
    <row r="280" spans="1:13" x14ac:dyDescent="0.25">
      <c r="A280" s="162"/>
      <c r="G280" s="132"/>
      <c r="H280" s="146">
        <v>275</v>
      </c>
      <c r="I280" s="147" t="str">
        <f t="shared" si="21"/>
        <v/>
      </c>
      <c r="J280" s="146">
        <f t="shared" si="22"/>
        <v>-6</v>
      </c>
      <c r="K280" s="146">
        <f t="shared" si="19"/>
        <v>-60</v>
      </c>
      <c r="L280" s="146"/>
      <c r="M280" s="148">
        <f t="shared" si="20"/>
        <v>0</v>
      </c>
    </row>
    <row r="281" spans="1:13" x14ac:dyDescent="0.25">
      <c r="A281" s="162"/>
      <c r="G281" s="132"/>
      <c r="H281" s="146">
        <v>276</v>
      </c>
      <c r="I281" s="147" t="str">
        <f t="shared" si="21"/>
        <v/>
      </c>
      <c r="J281" s="146">
        <f t="shared" si="22"/>
        <v>-6</v>
      </c>
      <c r="K281" s="146">
        <f t="shared" si="19"/>
        <v>-60</v>
      </c>
      <c r="L281" s="146"/>
      <c r="M281" s="148">
        <f t="shared" si="20"/>
        <v>0</v>
      </c>
    </row>
    <row r="282" spans="1:13" x14ac:dyDescent="0.25">
      <c r="A282" s="162"/>
      <c r="G282" s="132"/>
      <c r="H282" s="146">
        <v>277</v>
      </c>
      <c r="I282" s="147" t="str">
        <f t="shared" si="21"/>
        <v/>
      </c>
      <c r="J282" s="146">
        <f t="shared" si="22"/>
        <v>-6</v>
      </c>
      <c r="K282" s="146">
        <f t="shared" si="19"/>
        <v>-60</v>
      </c>
      <c r="L282" s="146"/>
      <c r="M282" s="148">
        <f t="shared" si="20"/>
        <v>0</v>
      </c>
    </row>
    <row r="283" spans="1:13" x14ac:dyDescent="0.25">
      <c r="A283" s="162"/>
      <c r="G283" s="132"/>
      <c r="H283" s="146">
        <v>278</v>
      </c>
      <c r="I283" s="147" t="str">
        <f t="shared" si="21"/>
        <v/>
      </c>
      <c r="J283" s="146">
        <f t="shared" si="22"/>
        <v>-6</v>
      </c>
      <c r="K283" s="146">
        <f t="shared" si="19"/>
        <v>-60</v>
      </c>
      <c r="L283" s="146"/>
      <c r="M283" s="148">
        <f t="shared" si="20"/>
        <v>0</v>
      </c>
    </row>
    <row r="284" spans="1:13" x14ac:dyDescent="0.25">
      <c r="A284" s="162"/>
      <c r="G284" s="132"/>
      <c r="H284" s="146">
        <v>279</v>
      </c>
      <c r="I284" s="147" t="str">
        <f t="shared" si="21"/>
        <v/>
      </c>
      <c r="J284" s="146">
        <f t="shared" si="22"/>
        <v>-6</v>
      </c>
      <c r="K284" s="146">
        <f t="shared" si="19"/>
        <v>-60</v>
      </c>
      <c r="L284" s="146"/>
      <c r="M284" s="148">
        <f t="shared" si="20"/>
        <v>0</v>
      </c>
    </row>
    <row r="285" spans="1:13" x14ac:dyDescent="0.25">
      <c r="A285" s="162"/>
      <c r="G285" s="132"/>
      <c r="H285" s="146">
        <v>280</v>
      </c>
      <c r="I285" s="147" t="str">
        <f t="shared" si="21"/>
        <v/>
      </c>
      <c r="J285" s="146">
        <f t="shared" si="22"/>
        <v>-6</v>
      </c>
      <c r="K285" s="146">
        <f t="shared" si="19"/>
        <v>-60</v>
      </c>
      <c r="L285" s="146"/>
      <c r="M285" s="148">
        <f t="shared" si="20"/>
        <v>0</v>
      </c>
    </row>
    <row r="286" spans="1:13" x14ac:dyDescent="0.25">
      <c r="A286" s="162"/>
      <c r="G286" s="132"/>
      <c r="H286" s="146">
        <v>281</v>
      </c>
      <c r="I286" s="147" t="str">
        <f t="shared" si="21"/>
        <v/>
      </c>
      <c r="J286" s="146">
        <f t="shared" si="22"/>
        <v>-6</v>
      </c>
      <c r="K286" s="146">
        <f t="shared" si="19"/>
        <v>-60</v>
      </c>
      <c r="L286" s="146"/>
      <c r="M286" s="148">
        <f t="shared" si="20"/>
        <v>0</v>
      </c>
    </row>
    <row r="287" spans="1:13" x14ac:dyDescent="0.25">
      <c r="A287" s="162"/>
      <c r="G287" s="132"/>
      <c r="H287" s="146">
        <v>282</v>
      </c>
      <c r="I287" s="147" t="str">
        <f t="shared" si="21"/>
        <v/>
      </c>
      <c r="J287" s="146">
        <f t="shared" si="22"/>
        <v>-6</v>
      </c>
      <c r="K287" s="146">
        <f t="shared" si="19"/>
        <v>-60</v>
      </c>
      <c r="L287" s="146"/>
      <c r="M287" s="148">
        <f t="shared" si="20"/>
        <v>0</v>
      </c>
    </row>
    <row r="288" spans="1:13" x14ac:dyDescent="0.25">
      <c r="A288" s="162"/>
      <c r="G288" s="132"/>
      <c r="H288" s="146">
        <v>283</v>
      </c>
      <c r="I288" s="147" t="str">
        <f t="shared" si="21"/>
        <v/>
      </c>
      <c r="J288" s="146">
        <f t="shared" si="22"/>
        <v>-6</v>
      </c>
      <c r="K288" s="146">
        <f t="shared" si="19"/>
        <v>-60</v>
      </c>
      <c r="L288" s="146"/>
      <c r="M288" s="148">
        <f t="shared" si="20"/>
        <v>0</v>
      </c>
    </row>
    <row r="289" spans="1:13" x14ac:dyDescent="0.25">
      <c r="A289" s="162"/>
      <c r="G289" s="132"/>
      <c r="H289" s="146">
        <v>284</v>
      </c>
      <c r="I289" s="147" t="str">
        <f t="shared" si="21"/>
        <v/>
      </c>
      <c r="J289" s="146">
        <f t="shared" si="22"/>
        <v>-6</v>
      </c>
      <c r="K289" s="146">
        <f t="shared" si="19"/>
        <v>-60</v>
      </c>
      <c r="L289" s="146"/>
      <c r="M289" s="148">
        <f t="shared" si="20"/>
        <v>0</v>
      </c>
    </row>
    <row r="290" spans="1:13" x14ac:dyDescent="0.25">
      <c r="A290" s="162"/>
      <c r="G290" s="132"/>
      <c r="H290" s="146">
        <v>285</v>
      </c>
      <c r="I290" s="147" t="str">
        <f t="shared" si="21"/>
        <v/>
      </c>
      <c r="J290" s="146">
        <f t="shared" si="22"/>
        <v>-6</v>
      </c>
      <c r="K290" s="146">
        <f t="shared" si="19"/>
        <v>-60</v>
      </c>
      <c r="L290" s="146"/>
      <c r="M290" s="148">
        <f t="shared" si="20"/>
        <v>0</v>
      </c>
    </row>
    <row r="291" spans="1:13" x14ac:dyDescent="0.25">
      <c r="A291" s="162"/>
      <c r="G291" s="132"/>
      <c r="H291" s="146">
        <v>286</v>
      </c>
      <c r="I291" s="147" t="str">
        <f t="shared" si="21"/>
        <v/>
      </c>
      <c r="J291" s="146">
        <f t="shared" si="22"/>
        <v>-6</v>
      </c>
      <c r="K291" s="146">
        <f t="shared" si="19"/>
        <v>-60</v>
      </c>
      <c r="L291" s="146"/>
      <c r="M291" s="148">
        <f t="shared" si="20"/>
        <v>0</v>
      </c>
    </row>
    <row r="292" spans="1:13" x14ac:dyDescent="0.25">
      <c r="A292" s="162"/>
      <c r="G292" s="132"/>
      <c r="H292" s="146">
        <v>287</v>
      </c>
      <c r="I292" s="147" t="str">
        <f t="shared" si="21"/>
        <v/>
      </c>
      <c r="J292" s="146">
        <f t="shared" si="22"/>
        <v>-6</v>
      </c>
      <c r="K292" s="146">
        <f t="shared" si="19"/>
        <v>-60</v>
      </c>
      <c r="L292" s="146"/>
      <c r="M292" s="148">
        <f t="shared" si="20"/>
        <v>0</v>
      </c>
    </row>
    <row r="293" spans="1:13" x14ac:dyDescent="0.25">
      <c r="A293" s="162"/>
      <c r="G293" s="132"/>
      <c r="H293" s="146">
        <v>288</v>
      </c>
      <c r="I293" s="147" t="str">
        <f t="shared" si="21"/>
        <v/>
      </c>
      <c r="J293" s="146">
        <f t="shared" si="22"/>
        <v>-6</v>
      </c>
      <c r="K293" s="146">
        <f t="shared" si="19"/>
        <v>-60</v>
      </c>
      <c r="L293" s="146"/>
      <c r="M293" s="148">
        <f t="shared" si="20"/>
        <v>0</v>
      </c>
    </row>
    <row r="294" spans="1:13" x14ac:dyDescent="0.25">
      <c r="A294" s="162"/>
      <c r="G294" s="132"/>
      <c r="H294" s="146">
        <v>289</v>
      </c>
      <c r="I294" s="147" t="str">
        <f t="shared" si="21"/>
        <v/>
      </c>
      <c r="J294" s="146">
        <f t="shared" si="22"/>
        <v>-6</v>
      </c>
      <c r="K294" s="146">
        <f t="shared" si="19"/>
        <v>-60</v>
      </c>
      <c r="L294" s="146"/>
      <c r="M294" s="148">
        <f t="shared" si="20"/>
        <v>0</v>
      </c>
    </row>
    <row r="295" spans="1:13" x14ac:dyDescent="0.25">
      <c r="A295" s="162"/>
      <c r="G295" s="132"/>
      <c r="H295" s="146">
        <v>290</v>
      </c>
      <c r="I295" s="147" t="str">
        <f t="shared" si="21"/>
        <v/>
      </c>
      <c r="J295" s="146">
        <f t="shared" si="22"/>
        <v>-6</v>
      </c>
      <c r="K295" s="146">
        <f t="shared" si="19"/>
        <v>-60</v>
      </c>
      <c r="L295" s="146"/>
      <c r="M295" s="148">
        <f t="shared" si="20"/>
        <v>0</v>
      </c>
    </row>
    <row r="296" spans="1:13" x14ac:dyDescent="0.25">
      <c r="A296" s="162"/>
      <c r="G296" s="132"/>
      <c r="H296" s="146">
        <v>291</v>
      </c>
      <c r="I296" s="147" t="str">
        <f t="shared" si="21"/>
        <v/>
      </c>
      <c r="J296" s="146">
        <f t="shared" si="22"/>
        <v>-6</v>
      </c>
      <c r="K296" s="146">
        <f t="shared" si="19"/>
        <v>-60</v>
      </c>
      <c r="L296" s="146"/>
      <c r="M296" s="148">
        <f t="shared" si="20"/>
        <v>0</v>
      </c>
    </row>
    <row r="297" spans="1:13" x14ac:dyDescent="0.25">
      <c r="A297" s="162"/>
      <c r="G297" s="132"/>
      <c r="H297" s="146">
        <v>292</v>
      </c>
      <c r="I297" s="147" t="str">
        <f t="shared" si="21"/>
        <v/>
      </c>
      <c r="J297" s="146">
        <f t="shared" si="22"/>
        <v>-6</v>
      </c>
      <c r="K297" s="146">
        <f t="shared" si="19"/>
        <v>-60</v>
      </c>
      <c r="L297" s="146"/>
      <c r="M297" s="148">
        <f t="shared" si="20"/>
        <v>0</v>
      </c>
    </row>
    <row r="298" spans="1:13" x14ac:dyDescent="0.25">
      <c r="A298" s="162"/>
      <c r="G298" s="132"/>
      <c r="H298" s="146">
        <v>293</v>
      </c>
      <c r="I298" s="147" t="str">
        <f t="shared" si="21"/>
        <v/>
      </c>
      <c r="J298" s="146">
        <f t="shared" si="22"/>
        <v>-6</v>
      </c>
      <c r="K298" s="146">
        <f t="shared" si="19"/>
        <v>-60</v>
      </c>
      <c r="L298" s="146"/>
      <c r="M298" s="148">
        <f t="shared" si="20"/>
        <v>0</v>
      </c>
    </row>
    <row r="299" spans="1:13" x14ac:dyDescent="0.25">
      <c r="A299" s="162"/>
      <c r="G299" s="132"/>
      <c r="H299" s="146">
        <v>294</v>
      </c>
      <c r="I299" s="147" t="str">
        <f t="shared" si="21"/>
        <v/>
      </c>
      <c r="J299" s="146">
        <f t="shared" si="22"/>
        <v>-6</v>
      </c>
      <c r="K299" s="146">
        <f t="shared" si="19"/>
        <v>-60</v>
      </c>
      <c r="L299" s="146"/>
      <c r="M299" s="148">
        <f t="shared" si="20"/>
        <v>0</v>
      </c>
    </row>
    <row r="300" spans="1:13" x14ac:dyDescent="0.25">
      <c r="A300" s="162"/>
      <c r="G300" s="132"/>
      <c r="H300" s="146">
        <v>295</v>
      </c>
      <c r="I300" s="147" t="str">
        <f t="shared" si="21"/>
        <v/>
      </c>
      <c r="J300" s="146">
        <f t="shared" si="22"/>
        <v>-6</v>
      </c>
      <c r="K300" s="146">
        <f t="shared" si="19"/>
        <v>-60</v>
      </c>
      <c r="L300" s="146"/>
      <c r="M300" s="148">
        <f t="shared" si="20"/>
        <v>0</v>
      </c>
    </row>
    <row r="301" spans="1:13" x14ac:dyDescent="0.25">
      <c r="A301" s="162"/>
      <c r="G301" s="132"/>
      <c r="H301" s="146">
        <v>296</v>
      </c>
      <c r="I301" s="147" t="str">
        <f t="shared" si="21"/>
        <v/>
      </c>
      <c r="J301" s="146">
        <f t="shared" si="22"/>
        <v>-6</v>
      </c>
      <c r="K301" s="146">
        <f t="shared" si="19"/>
        <v>-60</v>
      </c>
      <c r="L301" s="146"/>
      <c r="M301" s="148">
        <f t="shared" si="20"/>
        <v>0</v>
      </c>
    </row>
    <row r="302" spans="1:13" x14ac:dyDescent="0.25">
      <c r="A302" s="162"/>
      <c r="G302" s="132"/>
      <c r="H302" s="146">
        <v>297</v>
      </c>
      <c r="I302" s="147" t="str">
        <f t="shared" si="21"/>
        <v/>
      </c>
      <c r="J302" s="146">
        <f t="shared" si="22"/>
        <v>-6</v>
      </c>
      <c r="K302" s="146">
        <f t="shared" si="19"/>
        <v>-60</v>
      </c>
      <c r="L302" s="146"/>
      <c r="M302" s="148">
        <f t="shared" si="20"/>
        <v>0</v>
      </c>
    </row>
    <row r="303" spans="1:13" x14ac:dyDescent="0.25">
      <c r="A303" s="162"/>
      <c r="G303" s="132"/>
      <c r="H303" s="146">
        <v>298</v>
      </c>
      <c r="I303" s="147" t="str">
        <f t="shared" si="21"/>
        <v/>
      </c>
      <c r="J303" s="146">
        <f t="shared" si="22"/>
        <v>-6</v>
      </c>
      <c r="K303" s="146">
        <f t="shared" si="19"/>
        <v>-60</v>
      </c>
      <c r="L303" s="146"/>
      <c r="M303" s="148">
        <f t="shared" si="20"/>
        <v>0</v>
      </c>
    </row>
    <row r="304" spans="1:13" x14ac:dyDescent="0.25">
      <c r="A304" s="162"/>
      <c r="G304" s="132"/>
      <c r="H304" s="146">
        <v>299</v>
      </c>
      <c r="I304" s="147" t="str">
        <f t="shared" si="21"/>
        <v/>
      </c>
      <c r="J304" s="146">
        <f t="shared" si="22"/>
        <v>-6</v>
      </c>
      <c r="K304" s="146">
        <f t="shared" si="19"/>
        <v>-60</v>
      </c>
      <c r="L304" s="146"/>
      <c r="M304" s="148">
        <f t="shared" si="20"/>
        <v>0</v>
      </c>
    </row>
    <row r="305" spans="1:16" x14ac:dyDescent="0.25">
      <c r="A305" s="162"/>
      <c r="G305" s="132"/>
      <c r="H305" s="146">
        <v>300</v>
      </c>
      <c r="I305" s="147" t="str">
        <f t="shared" si="21"/>
        <v/>
      </c>
      <c r="J305" s="146">
        <f t="shared" si="22"/>
        <v>-6</v>
      </c>
      <c r="K305" s="146">
        <f t="shared" si="19"/>
        <v>-60</v>
      </c>
      <c r="L305" s="146"/>
      <c r="M305" s="148">
        <f t="shared" si="20"/>
        <v>0</v>
      </c>
    </row>
    <row r="306" spans="1:16" x14ac:dyDescent="0.25">
      <c r="A306" s="164"/>
    </row>
    <row r="314" spans="1:16" x14ac:dyDescent="0.25">
      <c r="L314" s="167"/>
      <c r="P314" s="263"/>
    </row>
    <row r="315" spans="1:16" x14ac:dyDescent="0.25">
      <c r="L315" s="167"/>
      <c r="P315" s="263"/>
    </row>
    <row r="316" spans="1:16" x14ac:dyDescent="0.25">
      <c r="L316" s="167"/>
      <c r="P316" s="263"/>
    </row>
    <row r="317" spans="1:16" x14ac:dyDescent="0.25">
      <c r="L317" s="167"/>
      <c r="P317" s="263"/>
    </row>
  </sheetData>
  <mergeCells count="3">
    <mergeCell ref="C2:D2"/>
    <mergeCell ref="C3:D3"/>
    <mergeCell ref="P5:R5"/>
  </mergeCells>
  <conditionalFormatting sqref="J6:K305">
    <cfRule type="cellIs" dxfId="28" priority="1" operator="lessThanOrEqual">
      <formula>0</formula>
    </cfRule>
  </conditionalFormatting>
  <dataValidations disablePrompts="1" count="1">
    <dataValidation type="list" allowBlank="1" showInputMessage="1" showErrorMessage="1" sqref="C38:C69" xr:uid="{7A77066D-AA80-4958-8DBE-C944A9B5704C}">
      <formula1>#REF!</formula1>
    </dataValidation>
  </dataValidations>
  <hyperlinks>
    <hyperlink ref="C2:D2" r:id="rId1" display="KRAKÓW" xr:uid="{C5FB9F16-4BCB-4D05-8647-A3C3E427B295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C8A9-6AAD-4241-8F95-FE86B3B5449D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63" customWidth="1"/>
    <col min="2" max="2" width="8.25" style="163" customWidth="1"/>
    <col min="3" max="3" width="34.75" style="163" customWidth="1"/>
    <col min="4" max="4" width="11.25" style="163" customWidth="1"/>
    <col min="5" max="6" width="8.875" style="163"/>
    <col min="7" max="7" width="0.875" style="163" customWidth="1"/>
    <col min="8" max="8" width="8.875" style="165"/>
    <col min="9" max="9" width="11" style="165" customWidth="1"/>
    <col min="10" max="10" width="15.25" style="165" customWidth="1"/>
    <col min="11" max="11" width="8.75" style="165" customWidth="1"/>
    <col min="12" max="12" width="11" style="165" customWidth="1"/>
    <col min="13" max="13" width="11.75" style="166" customWidth="1"/>
    <col min="14" max="15" width="13.875" style="132" customWidth="1"/>
    <col min="16" max="18" width="8.875" style="132"/>
    <col min="19" max="20" width="8.875" style="137"/>
    <col min="21" max="21" width="12.125" style="137" customWidth="1"/>
    <col min="22" max="22" width="27.375" style="137" customWidth="1"/>
    <col min="23" max="38" width="8.875" style="137"/>
    <col min="39" max="16384" width="8.875" style="163"/>
  </cols>
  <sheetData>
    <row r="1" spans="1:36" x14ac:dyDescent="0.25">
      <c r="A1" s="132"/>
      <c r="B1" s="132"/>
      <c r="C1" s="132"/>
      <c r="D1" s="132"/>
      <c r="E1" s="132"/>
      <c r="F1" s="132"/>
      <c r="G1" s="132"/>
      <c r="H1" s="133" t="s">
        <v>29</v>
      </c>
      <c r="I1" s="134" t="s">
        <v>30</v>
      </c>
      <c r="J1" s="134" t="s">
        <v>31</v>
      </c>
      <c r="K1" s="135" t="s">
        <v>32</v>
      </c>
      <c r="L1" s="136"/>
      <c r="M1" s="136"/>
    </row>
    <row r="2" spans="1:36" ht="14.45" customHeight="1" x14ac:dyDescent="0.25">
      <c r="A2" s="132"/>
      <c r="B2" s="19" t="s">
        <v>33</v>
      </c>
      <c r="C2" s="283" t="s">
        <v>242</v>
      </c>
      <c r="D2" s="283"/>
      <c r="E2" s="20"/>
      <c r="F2" s="20"/>
      <c r="G2" s="20"/>
      <c r="H2" s="138">
        <v>2</v>
      </c>
      <c r="I2" s="139">
        <v>50</v>
      </c>
      <c r="J2" s="139">
        <v>10</v>
      </c>
      <c r="K2" s="140">
        <f>3*H2^(1/3)</f>
        <v>3.7797631496846193</v>
      </c>
      <c r="L2" s="136"/>
      <c r="M2" s="136"/>
    </row>
    <row r="3" spans="1:36" ht="14.45" customHeight="1" x14ac:dyDescent="0.25">
      <c r="A3" s="132"/>
      <c r="B3" s="141" t="s">
        <v>35</v>
      </c>
      <c r="C3" s="284" t="s">
        <v>243</v>
      </c>
      <c r="D3" s="284"/>
      <c r="E3" s="25"/>
      <c r="F3" s="25"/>
      <c r="G3" s="25"/>
      <c r="H3" s="136"/>
      <c r="I3" s="136"/>
      <c r="J3" s="142"/>
      <c r="K3" s="136"/>
      <c r="L3" s="136"/>
      <c r="M3" s="13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6"/>
      <c r="I4" s="136"/>
      <c r="J4" s="142"/>
      <c r="K4" s="136"/>
      <c r="L4" s="136"/>
      <c r="M4" s="136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43" t="s">
        <v>43</v>
      </c>
      <c r="I5" s="144" t="s">
        <v>44</v>
      </c>
      <c r="J5" s="145" t="s">
        <v>45</v>
      </c>
      <c r="K5" s="144" t="s">
        <v>46</v>
      </c>
      <c r="L5" s="144" t="s">
        <v>47</v>
      </c>
      <c r="M5" s="143" t="s">
        <v>48</v>
      </c>
    </row>
    <row r="6" spans="1:36" ht="14.45" customHeight="1" x14ac:dyDescent="0.25">
      <c r="A6" s="32">
        <f>M6</f>
        <v>71.339289449053865</v>
      </c>
      <c r="B6" s="33">
        <f t="shared" ref="B6:B13" si="0">IF(H6&gt;$H$2,"",(ROW()-5))</f>
        <v>1</v>
      </c>
      <c r="C6" s="34" t="s">
        <v>20</v>
      </c>
      <c r="D6" s="34"/>
      <c r="E6" s="34"/>
      <c r="F6" s="34"/>
      <c r="G6" s="27"/>
      <c r="H6" s="146">
        <v>1</v>
      </c>
      <c r="I6" s="147">
        <f>IF(H2=1,50,IF(H6&lt;$H$2+1,($I$2-($I$2-1)*(LOG(H6)/LOG($H$2))),""))</f>
        <v>50</v>
      </c>
      <c r="J6" s="146">
        <f>INT(LOG($H$2,2))-ROUNDUP(LOG(H6,2),0)+IF(OR($H$2=1,$H$2=2,$H$2=4,$H$2=8,$H$2=16,$H$2=32,$H$2=64,$H$2=128,$H$2=256),0,1)</f>
        <v>1</v>
      </c>
      <c r="K6" s="146">
        <f t="shared" ref="K6:K69" si="1">J6*$J$2</f>
        <v>10</v>
      </c>
      <c r="L6" s="148">
        <f>3*K2</f>
        <v>11.339289449053858</v>
      </c>
      <c r="M6" s="148">
        <f t="shared" ref="M6:M69" si="2">IF(I6&lt;&gt;"",K6+I6+L6,0)</f>
        <v>71.339289449053865</v>
      </c>
    </row>
    <row r="7" spans="1:36" ht="14.45" customHeight="1" x14ac:dyDescent="0.25">
      <c r="A7" s="38">
        <f t="shared" ref="A7:A37" si="3">M7</f>
        <v>8.5595262993692387</v>
      </c>
      <c r="B7" s="39">
        <f t="shared" si="0"/>
        <v>2</v>
      </c>
      <c r="C7" s="40" t="s">
        <v>24</v>
      </c>
      <c r="D7" s="40"/>
      <c r="E7" s="40"/>
      <c r="F7" s="40"/>
      <c r="G7" s="27"/>
      <c r="H7" s="149">
        <v>2</v>
      </c>
      <c r="I7" s="150">
        <f t="shared" ref="I7:I70" si="4">IF(H7&lt;$H$2+1,($I$2-($I$2-1)*(LOG(H7)/LOG($H$2))),"")</f>
        <v>1</v>
      </c>
      <c r="J7" s="149">
        <f t="shared" ref="J7:J70" si="5">INT(LOG($H$2,2))-ROUNDUP(LOG(H7,2),0)+IF(OR($H$2=1,$H$2=2,$H$2=4,$H$2=8,$H$2=16,$H$2=32,$H$2=64,$H$2=128,$H$2=256),0,1)</f>
        <v>0</v>
      </c>
      <c r="K7" s="149">
        <f t="shared" si="1"/>
        <v>0</v>
      </c>
      <c r="L7" s="151">
        <f>2*K2</f>
        <v>7.5595262993692387</v>
      </c>
      <c r="M7" s="151">
        <f t="shared" si="2"/>
        <v>8.5595262993692387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46">
        <v>3</v>
      </c>
      <c r="I8" s="147" t="str">
        <f t="shared" si="4"/>
        <v/>
      </c>
      <c r="J8" s="146">
        <f t="shared" si="5"/>
        <v>-1</v>
      </c>
      <c r="K8" s="146">
        <f t="shared" si="1"/>
        <v>-10</v>
      </c>
      <c r="L8" s="148">
        <f>K2</f>
        <v>3.7797631496846193</v>
      </c>
      <c r="M8" s="148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49">
        <v>4</v>
      </c>
      <c r="I9" s="150" t="str">
        <f t="shared" si="4"/>
        <v/>
      </c>
      <c r="J9" s="149">
        <f t="shared" si="5"/>
        <v>-1</v>
      </c>
      <c r="K9" s="149">
        <f t="shared" si="1"/>
        <v>-10</v>
      </c>
      <c r="L9" s="151"/>
      <c r="M9" s="151">
        <f t="shared" si="2"/>
        <v>0</v>
      </c>
      <c r="V9" s="152"/>
      <c r="Z9" s="153"/>
      <c r="AA9" s="153"/>
      <c r="AG9" s="154"/>
      <c r="AH9" s="137" t="s">
        <v>54</v>
      </c>
      <c r="AI9" s="13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46">
        <v>5</v>
      </c>
      <c r="I10" s="147" t="str">
        <f t="shared" si="4"/>
        <v/>
      </c>
      <c r="J10" s="146">
        <f t="shared" si="5"/>
        <v>-2</v>
      </c>
      <c r="K10" s="146">
        <f t="shared" si="1"/>
        <v>-20</v>
      </c>
      <c r="L10" s="146"/>
      <c r="M10" s="148">
        <f t="shared" si="2"/>
        <v>0</v>
      </c>
      <c r="V10" s="152"/>
      <c r="Z10" s="153"/>
      <c r="AA10" s="153"/>
      <c r="AG10" s="154"/>
      <c r="AH10" s="137" t="s">
        <v>55</v>
      </c>
      <c r="AI10" s="13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49">
        <v>6</v>
      </c>
      <c r="I11" s="150" t="str">
        <f t="shared" si="4"/>
        <v/>
      </c>
      <c r="J11" s="149">
        <f t="shared" si="5"/>
        <v>-2</v>
      </c>
      <c r="K11" s="149">
        <f t="shared" si="1"/>
        <v>-20</v>
      </c>
      <c r="L11" s="149"/>
      <c r="M11" s="151">
        <f t="shared" si="2"/>
        <v>0</v>
      </c>
      <c r="V11" s="155"/>
      <c r="Z11" s="153"/>
      <c r="AA11" s="153"/>
      <c r="AG11" s="154"/>
      <c r="AH11" s="137" t="s">
        <v>56</v>
      </c>
      <c r="AI11" s="13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46">
        <v>7</v>
      </c>
      <c r="I12" s="147" t="str">
        <f t="shared" si="4"/>
        <v/>
      </c>
      <c r="J12" s="146">
        <f t="shared" si="5"/>
        <v>-2</v>
      </c>
      <c r="K12" s="146">
        <f t="shared" si="1"/>
        <v>-20</v>
      </c>
      <c r="L12" s="146"/>
      <c r="M12" s="148">
        <f t="shared" si="2"/>
        <v>0</v>
      </c>
      <c r="Z12" s="153"/>
      <c r="AA12" s="153"/>
      <c r="AG12" s="154"/>
      <c r="AH12" s="137" t="s">
        <v>57</v>
      </c>
      <c r="AI12" s="13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49">
        <v>8</v>
      </c>
      <c r="I13" s="150" t="str">
        <f t="shared" si="4"/>
        <v/>
      </c>
      <c r="J13" s="149">
        <f t="shared" si="5"/>
        <v>-2</v>
      </c>
      <c r="K13" s="149">
        <f t="shared" si="1"/>
        <v>-20</v>
      </c>
      <c r="L13" s="149"/>
      <c r="M13" s="151">
        <f t="shared" si="2"/>
        <v>0</v>
      </c>
      <c r="X13" s="152"/>
      <c r="AG13" s="154"/>
      <c r="AH13" s="137" t="s">
        <v>58</v>
      </c>
      <c r="AI13" s="13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46">
        <v>9</v>
      </c>
      <c r="I14" s="147" t="str">
        <f t="shared" si="4"/>
        <v/>
      </c>
      <c r="J14" s="146">
        <f t="shared" si="5"/>
        <v>-3</v>
      </c>
      <c r="K14" s="146">
        <f t="shared" si="1"/>
        <v>-30</v>
      </c>
      <c r="L14" s="146"/>
      <c r="M14" s="148">
        <f t="shared" si="2"/>
        <v>0</v>
      </c>
      <c r="X14" s="156"/>
      <c r="Z14" s="153"/>
      <c r="AA14" s="153"/>
      <c r="AG14" s="154"/>
      <c r="AH14" s="137" t="s">
        <v>59</v>
      </c>
      <c r="AI14" s="13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49">
        <v>10</v>
      </c>
      <c r="I15" s="150" t="str">
        <f t="shared" si="4"/>
        <v/>
      </c>
      <c r="J15" s="149">
        <f t="shared" si="5"/>
        <v>-3</v>
      </c>
      <c r="K15" s="149">
        <f t="shared" si="1"/>
        <v>-30</v>
      </c>
      <c r="L15" s="149"/>
      <c r="M15" s="151">
        <f t="shared" si="2"/>
        <v>0</v>
      </c>
      <c r="X15" s="152"/>
      <c r="Z15" s="153"/>
      <c r="AA15" s="15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46">
        <v>11</v>
      </c>
      <c r="I16" s="147" t="str">
        <f t="shared" si="4"/>
        <v/>
      </c>
      <c r="J16" s="146">
        <f t="shared" si="5"/>
        <v>-3</v>
      </c>
      <c r="K16" s="146">
        <f t="shared" si="1"/>
        <v>-30</v>
      </c>
      <c r="L16" s="146"/>
      <c r="M16" s="148">
        <f t="shared" si="2"/>
        <v>0</v>
      </c>
      <c r="R16" s="157"/>
      <c r="Z16" s="153"/>
      <c r="AA16" s="153"/>
      <c r="AH16" s="158" t="s">
        <v>60</v>
      </c>
      <c r="AI16" s="137">
        <f>AI11-AI12*AI13/AI14</f>
        <v>9.6393909380186855</v>
      </c>
      <c r="AJ16" s="137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49">
        <v>12</v>
      </c>
      <c r="I17" s="150" t="str">
        <f t="shared" si="4"/>
        <v/>
      </c>
      <c r="J17" s="149">
        <f t="shared" si="5"/>
        <v>-3</v>
      </c>
      <c r="K17" s="149">
        <f t="shared" si="1"/>
        <v>-30</v>
      </c>
      <c r="L17" s="149"/>
      <c r="M17" s="15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46">
        <v>13</v>
      </c>
      <c r="I18" s="147" t="str">
        <f t="shared" si="4"/>
        <v/>
      </c>
      <c r="J18" s="146">
        <f t="shared" si="5"/>
        <v>-3</v>
      </c>
      <c r="K18" s="146">
        <f t="shared" si="1"/>
        <v>-30</v>
      </c>
      <c r="L18" s="146"/>
      <c r="M18" s="14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49">
        <v>14</v>
      </c>
      <c r="I19" s="150" t="str">
        <f t="shared" si="4"/>
        <v/>
      </c>
      <c r="J19" s="149">
        <f t="shared" si="5"/>
        <v>-3</v>
      </c>
      <c r="K19" s="149">
        <f t="shared" si="1"/>
        <v>-30</v>
      </c>
      <c r="L19" s="149"/>
      <c r="M19" s="15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46">
        <v>15</v>
      </c>
      <c r="I20" s="147" t="str">
        <f t="shared" si="4"/>
        <v/>
      </c>
      <c r="J20" s="146">
        <f t="shared" si="5"/>
        <v>-3</v>
      </c>
      <c r="K20" s="146">
        <f t="shared" si="1"/>
        <v>-30</v>
      </c>
      <c r="L20" s="146"/>
      <c r="M20" s="148">
        <f t="shared" si="2"/>
        <v>0</v>
      </c>
      <c r="R20" s="159"/>
      <c r="S20" s="16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49">
        <v>16</v>
      </c>
      <c r="I21" s="150" t="str">
        <f t="shared" si="4"/>
        <v/>
      </c>
      <c r="J21" s="149">
        <f t="shared" si="5"/>
        <v>-3</v>
      </c>
      <c r="K21" s="149">
        <f t="shared" si="1"/>
        <v>-30</v>
      </c>
      <c r="L21" s="149"/>
      <c r="M21" s="15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46">
        <v>17</v>
      </c>
      <c r="I22" s="147" t="str">
        <f t="shared" si="4"/>
        <v/>
      </c>
      <c r="J22" s="146">
        <f t="shared" si="5"/>
        <v>-4</v>
      </c>
      <c r="K22" s="146">
        <f t="shared" si="1"/>
        <v>-40</v>
      </c>
      <c r="L22" s="146"/>
      <c r="M22" s="14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49">
        <v>18</v>
      </c>
      <c r="I23" s="150" t="str">
        <f t="shared" si="4"/>
        <v/>
      </c>
      <c r="J23" s="149">
        <f t="shared" si="5"/>
        <v>-4</v>
      </c>
      <c r="K23" s="149">
        <f t="shared" si="1"/>
        <v>-40</v>
      </c>
      <c r="L23" s="149"/>
      <c r="M23" s="15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46">
        <v>19</v>
      </c>
      <c r="I24" s="147" t="str">
        <f t="shared" si="4"/>
        <v/>
      </c>
      <c r="J24" s="146">
        <f t="shared" si="5"/>
        <v>-4</v>
      </c>
      <c r="K24" s="146">
        <f t="shared" si="1"/>
        <v>-40</v>
      </c>
      <c r="L24" s="146"/>
      <c r="M24" s="148">
        <f t="shared" si="2"/>
        <v>0</v>
      </c>
      <c r="R24" s="159"/>
      <c r="S24" s="16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49">
        <v>20</v>
      </c>
      <c r="I25" s="150" t="str">
        <f t="shared" si="4"/>
        <v/>
      </c>
      <c r="J25" s="149">
        <f t="shared" si="5"/>
        <v>-4</v>
      </c>
      <c r="K25" s="149">
        <f t="shared" si="1"/>
        <v>-40</v>
      </c>
      <c r="L25" s="149"/>
      <c r="M25" s="15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46">
        <v>21</v>
      </c>
      <c r="I26" s="147" t="str">
        <f t="shared" si="4"/>
        <v/>
      </c>
      <c r="J26" s="146">
        <f t="shared" si="5"/>
        <v>-4</v>
      </c>
      <c r="K26" s="146">
        <f t="shared" si="1"/>
        <v>-40</v>
      </c>
      <c r="L26" s="146"/>
      <c r="M26" s="14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49">
        <v>22</v>
      </c>
      <c r="I27" s="150" t="str">
        <f t="shared" si="4"/>
        <v/>
      </c>
      <c r="J27" s="149">
        <f t="shared" si="5"/>
        <v>-4</v>
      </c>
      <c r="K27" s="149">
        <f t="shared" si="1"/>
        <v>-40</v>
      </c>
      <c r="L27" s="149"/>
      <c r="M27" s="15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46">
        <v>23</v>
      </c>
      <c r="I28" s="147" t="str">
        <f t="shared" si="4"/>
        <v/>
      </c>
      <c r="J28" s="146">
        <f t="shared" si="5"/>
        <v>-4</v>
      </c>
      <c r="K28" s="146">
        <f t="shared" si="1"/>
        <v>-40</v>
      </c>
      <c r="L28" s="146"/>
      <c r="M28" s="148">
        <f t="shared" si="2"/>
        <v>0</v>
      </c>
      <c r="R28" s="159"/>
      <c r="S28" s="16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2"/>
      <c r="H29" s="149">
        <v>24</v>
      </c>
      <c r="I29" s="150" t="str">
        <f t="shared" si="4"/>
        <v/>
      </c>
      <c r="J29" s="149">
        <f t="shared" si="5"/>
        <v>-4</v>
      </c>
      <c r="K29" s="149">
        <f t="shared" si="1"/>
        <v>-40</v>
      </c>
      <c r="L29" s="149"/>
      <c r="M29" s="15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2"/>
      <c r="H30" s="146">
        <v>25</v>
      </c>
      <c r="I30" s="147" t="str">
        <f t="shared" si="4"/>
        <v/>
      </c>
      <c r="J30" s="146">
        <f t="shared" si="5"/>
        <v>-4</v>
      </c>
      <c r="K30" s="146">
        <f t="shared" si="1"/>
        <v>-40</v>
      </c>
      <c r="L30" s="146"/>
      <c r="M30" s="14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2"/>
      <c r="H31" s="149">
        <v>26</v>
      </c>
      <c r="I31" s="150" t="str">
        <f t="shared" si="4"/>
        <v/>
      </c>
      <c r="J31" s="149">
        <f t="shared" si="5"/>
        <v>-4</v>
      </c>
      <c r="K31" s="149">
        <f t="shared" si="1"/>
        <v>-40</v>
      </c>
      <c r="L31" s="149"/>
      <c r="M31" s="15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2"/>
      <c r="H32" s="146">
        <v>27</v>
      </c>
      <c r="I32" s="147" t="str">
        <f t="shared" si="4"/>
        <v/>
      </c>
      <c r="J32" s="146">
        <f t="shared" si="5"/>
        <v>-4</v>
      </c>
      <c r="K32" s="146">
        <f t="shared" si="1"/>
        <v>-40</v>
      </c>
      <c r="L32" s="146"/>
      <c r="M32" s="148">
        <f t="shared" si="2"/>
        <v>0</v>
      </c>
      <c r="R32" s="159"/>
      <c r="S32" s="16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2"/>
      <c r="H33" s="149">
        <v>28</v>
      </c>
      <c r="I33" s="150" t="str">
        <f t="shared" si="4"/>
        <v/>
      </c>
      <c r="J33" s="149">
        <f t="shared" si="5"/>
        <v>-4</v>
      </c>
      <c r="K33" s="149">
        <f t="shared" si="1"/>
        <v>-40</v>
      </c>
      <c r="L33" s="149"/>
      <c r="M33" s="15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2"/>
      <c r="H34" s="146">
        <v>29</v>
      </c>
      <c r="I34" s="147" t="str">
        <f t="shared" si="4"/>
        <v/>
      </c>
      <c r="J34" s="146">
        <f t="shared" si="5"/>
        <v>-4</v>
      </c>
      <c r="K34" s="146">
        <f t="shared" si="1"/>
        <v>-40</v>
      </c>
      <c r="L34" s="146"/>
      <c r="M34" s="14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2"/>
      <c r="H35" s="149">
        <v>30</v>
      </c>
      <c r="I35" s="150" t="str">
        <f t="shared" si="4"/>
        <v/>
      </c>
      <c r="J35" s="149">
        <f t="shared" si="5"/>
        <v>-4</v>
      </c>
      <c r="K35" s="149">
        <f t="shared" si="1"/>
        <v>-40</v>
      </c>
      <c r="L35" s="149"/>
      <c r="M35" s="15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2"/>
      <c r="H36" s="146">
        <v>31</v>
      </c>
      <c r="I36" s="147" t="str">
        <f t="shared" si="4"/>
        <v/>
      </c>
      <c r="J36" s="146">
        <f t="shared" si="5"/>
        <v>-4</v>
      </c>
      <c r="K36" s="146">
        <f t="shared" si="1"/>
        <v>-40</v>
      </c>
      <c r="L36" s="146"/>
      <c r="M36" s="148">
        <f t="shared" si="2"/>
        <v>0</v>
      </c>
      <c r="R36" s="159"/>
      <c r="S36" s="16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2"/>
      <c r="H37" s="149">
        <v>32</v>
      </c>
      <c r="I37" s="150" t="str">
        <f t="shared" si="4"/>
        <v/>
      </c>
      <c r="J37" s="149">
        <f t="shared" si="5"/>
        <v>-4</v>
      </c>
      <c r="K37" s="149">
        <f t="shared" si="1"/>
        <v>-40</v>
      </c>
      <c r="L37" s="149"/>
      <c r="M37" s="15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2"/>
      <c r="H38" s="146">
        <v>33</v>
      </c>
      <c r="I38" s="147" t="str">
        <f t="shared" si="4"/>
        <v/>
      </c>
      <c r="J38" s="146">
        <f t="shared" si="5"/>
        <v>-5</v>
      </c>
      <c r="K38" s="146">
        <f t="shared" si="1"/>
        <v>-50</v>
      </c>
      <c r="L38" s="146"/>
      <c r="M38" s="14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2"/>
      <c r="H39" s="149">
        <v>34</v>
      </c>
      <c r="I39" s="150" t="str">
        <f t="shared" si="4"/>
        <v/>
      </c>
      <c r="J39" s="149">
        <f t="shared" si="5"/>
        <v>-5</v>
      </c>
      <c r="K39" s="149">
        <f t="shared" si="1"/>
        <v>-50</v>
      </c>
      <c r="L39" s="149"/>
      <c r="M39" s="15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2"/>
      <c r="H40" s="146">
        <v>35</v>
      </c>
      <c r="I40" s="147" t="str">
        <f t="shared" si="4"/>
        <v/>
      </c>
      <c r="J40" s="146">
        <f t="shared" si="5"/>
        <v>-5</v>
      </c>
      <c r="K40" s="146">
        <f t="shared" si="1"/>
        <v>-50</v>
      </c>
      <c r="L40" s="146"/>
      <c r="M40" s="14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2"/>
      <c r="H41" s="149">
        <v>36</v>
      </c>
      <c r="I41" s="150" t="str">
        <f t="shared" si="4"/>
        <v/>
      </c>
      <c r="J41" s="149">
        <f t="shared" si="5"/>
        <v>-5</v>
      </c>
      <c r="K41" s="149">
        <f t="shared" si="1"/>
        <v>-50</v>
      </c>
      <c r="L41" s="149"/>
      <c r="M41" s="151">
        <f t="shared" si="2"/>
        <v>0</v>
      </c>
      <c r="S41" s="16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2"/>
      <c r="H42" s="146">
        <v>37</v>
      </c>
      <c r="I42" s="147" t="str">
        <f t="shared" si="4"/>
        <v/>
      </c>
      <c r="J42" s="146">
        <f t="shared" si="5"/>
        <v>-5</v>
      </c>
      <c r="K42" s="146">
        <f t="shared" si="1"/>
        <v>-50</v>
      </c>
      <c r="L42" s="146"/>
      <c r="M42" s="14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2"/>
      <c r="H43" s="149">
        <v>38</v>
      </c>
      <c r="I43" s="150" t="str">
        <f t="shared" si="4"/>
        <v/>
      </c>
      <c r="J43" s="149">
        <f t="shared" si="5"/>
        <v>-5</v>
      </c>
      <c r="K43" s="149">
        <f t="shared" si="1"/>
        <v>-50</v>
      </c>
      <c r="L43" s="149"/>
      <c r="M43" s="15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2"/>
      <c r="H44" s="146">
        <v>39</v>
      </c>
      <c r="I44" s="147" t="str">
        <f t="shared" si="4"/>
        <v/>
      </c>
      <c r="J44" s="146">
        <f t="shared" si="5"/>
        <v>-5</v>
      </c>
      <c r="K44" s="146">
        <f t="shared" si="1"/>
        <v>-50</v>
      </c>
      <c r="L44" s="146"/>
      <c r="M44" s="14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2"/>
      <c r="H45" s="149">
        <v>40</v>
      </c>
      <c r="I45" s="150" t="str">
        <f t="shared" si="4"/>
        <v/>
      </c>
      <c r="J45" s="149">
        <f t="shared" si="5"/>
        <v>-5</v>
      </c>
      <c r="K45" s="149">
        <f t="shared" si="1"/>
        <v>-50</v>
      </c>
      <c r="L45" s="149"/>
      <c r="M45" s="15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2"/>
      <c r="H46" s="146">
        <v>41</v>
      </c>
      <c r="I46" s="147" t="str">
        <f t="shared" si="4"/>
        <v/>
      </c>
      <c r="J46" s="146">
        <f t="shared" si="5"/>
        <v>-5</v>
      </c>
      <c r="K46" s="146">
        <f t="shared" si="1"/>
        <v>-50</v>
      </c>
      <c r="L46" s="146"/>
      <c r="M46" s="148">
        <f t="shared" si="2"/>
        <v>0</v>
      </c>
      <c r="R46" s="132">
        <f>LOG($H$2,2)</f>
        <v>1</v>
      </c>
      <c r="T46" s="137">
        <f>LOG(H38,2)</f>
        <v>5.0443941193584534</v>
      </c>
      <c r="U46" s="137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2"/>
      <c r="H47" s="149">
        <v>42</v>
      </c>
      <c r="I47" s="150" t="str">
        <f t="shared" si="4"/>
        <v/>
      </c>
      <c r="J47" s="149">
        <f t="shared" si="5"/>
        <v>-5</v>
      </c>
      <c r="K47" s="149">
        <f t="shared" si="1"/>
        <v>-50</v>
      </c>
      <c r="L47" s="149"/>
      <c r="M47" s="15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2"/>
      <c r="H48" s="146">
        <v>43</v>
      </c>
      <c r="I48" s="147" t="str">
        <f t="shared" si="4"/>
        <v/>
      </c>
      <c r="J48" s="146">
        <f t="shared" si="5"/>
        <v>-5</v>
      </c>
      <c r="K48" s="146">
        <f t="shared" si="1"/>
        <v>-50</v>
      </c>
      <c r="L48" s="146"/>
      <c r="M48" s="14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2"/>
      <c r="H49" s="149">
        <v>44</v>
      </c>
      <c r="I49" s="150" t="str">
        <f t="shared" si="4"/>
        <v/>
      </c>
      <c r="J49" s="149">
        <f t="shared" si="5"/>
        <v>-5</v>
      </c>
      <c r="K49" s="149">
        <f t="shared" si="1"/>
        <v>-50</v>
      </c>
      <c r="L49" s="149"/>
      <c r="M49" s="15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2"/>
      <c r="H50" s="146">
        <v>45</v>
      </c>
      <c r="I50" s="147" t="str">
        <f t="shared" si="4"/>
        <v/>
      </c>
      <c r="J50" s="146">
        <f t="shared" si="5"/>
        <v>-5</v>
      </c>
      <c r="K50" s="146">
        <f t="shared" si="1"/>
        <v>-50</v>
      </c>
      <c r="L50" s="146"/>
      <c r="M50" s="14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2"/>
      <c r="H51" s="149">
        <v>46</v>
      </c>
      <c r="I51" s="150" t="str">
        <f t="shared" si="4"/>
        <v/>
      </c>
      <c r="J51" s="149">
        <f t="shared" si="5"/>
        <v>-5</v>
      </c>
      <c r="K51" s="149">
        <f t="shared" si="1"/>
        <v>-50</v>
      </c>
      <c r="L51" s="149"/>
      <c r="M51" s="15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2"/>
      <c r="H52" s="146">
        <v>47</v>
      </c>
      <c r="I52" s="147" t="str">
        <f t="shared" si="4"/>
        <v/>
      </c>
      <c r="J52" s="146">
        <f t="shared" si="5"/>
        <v>-5</v>
      </c>
      <c r="K52" s="146">
        <f t="shared" si="1"/>
        <v>-50</v>
      </c>
      <c r="L52" s="146"/>
      <c r="M52" s="14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2"/>
      <c r="H53" s="149">
        <v>48</v>
      </c>
      <c r="I53" s="150" t="str">
        <f t="shared" si="4"/>
        <v/>
      </c>
      <c r="J53" s="149">
        <f t="shared" si="5"/>
        <v>-5</v>
      </c>
      <c r="K53" s="149">
        <f t="shared" si="1"/>
        <v>-50</v>
      </c>
      <c r="L53" s="149"/>
      <c r="M53" s="15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2"/>
      <c r="H54" s="146">
        <v>49</v>
      </c>
      <c r="I54" s="147" t="str">
        <f t="shared" si="4"/>
        <v/>
      </c>
      <c r="J54" s="146">
        <f t="shared" si="5"/>
        <v>-5</v>
      </c>
      <c r="K54" s="146">
        <f t="shared" si="1"/>
        <v>-50</v>
      </c>
      <c r="L54" s="146"/>
      <c r="M54" s="14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2"/>
      <c r="H55" s="149">
        <v>50</v>
      </c>
      <c r="I55" s="150" t="str">
        <f t="shared" si="4"/>
        <v/>
      </c>
      <c r="J55" s="149">
        <f t="shared" si="5"/>
        <v>-5</v>
      </c>
      <c r="K55" s="149">
        <f t="shared" si="1"/>
        <v>-50</v>
      </c>
      <c r="L55" s="149"/>
      <c r="M55" s="15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2"/>
      <c r="H56" s="146">
        <v>51</v>
      </c>
      <c r="I56" s="147" t="str">
        <f t="shared" si="4"/>
        <v/>
      </c>
      <c r="J56" s="146">
        <f t="shared" si="5"/>
        <v>-5</v>
      </c>
      <c r="K56" s="146">
        <f t="shared" si="1"/>
        <v>-50</v>
      </c>
      <c r="L56" s="146"/>
      <c r="M56" s="14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2"/>
      <c r="H57" s="149">
        <v>52</v>
      </c>
      <c r="I57" s="150" t="str">
        <f t="shared" si="4"/>
        <v/>
      </c>
      <c r="J57" s="149">
        <f t="shared" si="5"/>
        <v>-5</v>
      </c>
      <c r="K57" s="149">
        <f t="shared" si="1"/>
        <v>-50</v>
      </c>
      <c r="L57" s="149"/>
      <c r="M57" s="15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2"/>
      <c r="H58" s="146">
        <v>53</v>
      </c>
      <c r="I58" s="147" t="str">
        <f t="shared" si="4"/>
        <v/>
      </c>
      <c r="J58" s="146">
        <f t="shared" si="5"/>
        <v>-5</v>
      </c>
      <c r="K58" s="146">
        <f t="shared" si="1"/>
        <v>-50</v>
      </c>
      <c r="L58" s="146"/>
      <c r="M58" s="14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2"/>
      <c r="H59" s="149">
        <v>54</v>
      </c>
      <c r="I59" s="150" t="str">
        <f t="shared" si="4"/>
        <v/>
      </c>
      <c r="J59" s="149">
        <f t="shared" si="5"/>
        <v>-5</v>
      </c>
      <c r="K59" s="149">
        <f t="shared" si="1"/>
        <v>-50</v>
      </c>
      <c r="L59" s="149"/>
      <c r="M59" s="15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2"/>
      <c r="H60" s="146">
        <v>55</v>
      </c>
      <c r="I60" s="147" t="str">
        <f t="shared" si="4"/>
        <v/>
      </c>
      <c r="J60" s="146">
        <f t="shared" si="5"/>
        <v>-5</v>
      </c>
      <c r="K60" s="146">
        <f t="shared" si="1"/>
        <v>-50</v>
      </c>
      <c r="L60" s="146"/>
      <c r="M60" s="14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2"/>
      <c r="H61" s="149">
        <v>56</v>
      </c>
      <c r="I61" s="150" t="str">
        <f t="shared" si="4"/>
        <v/>
      </c>
      <c r="J61" s="149">
        <f t="shared" si="5"/>
        <v>-5</v>
      </c>
      <c r="K61" s="149">
        <f t="shared" si="1"/>
        <v>-50</v>
      </c>
      <c r="L61" s="149"/>
      <c r="M61" s="15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2"/>
      <c r="H62" s="146">
        <v>57</v>
      </c>
      <c r="I62" s="147" t="str">
        <f t="shared" si="4"/>
        <v/>
      </c>
      <c r="J62" s="146">
        <f t="shared" si="5"/>
        <v>-5</v>
      </c>
      <c r="K62" s="146">
        <f t="shared" si="1"/>
        <v>-50</v>
      </c>
      <c r="L62" s="146"/>
      <c r="M62" s="14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2"/>
      <c r="H63" s="149">
        <v>58</v>
      </c>
      <c r="I63" s="150" t="str">
        <f t="shared" si="4"/>
        <v/>
      </c>
      <c r="J63" s="149">
        <f t="shared" si="5"/>
        <v>-5</v>
      </c>
      <c r="K63" s="149">
        <f t="shared" si="1"/>
        <v>-50</v>
      </c>
      <c r="L63" s="149"/>
      <c r="M63" s="15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2"/>
      <c r="H64" s="146">
        <v>59</v>
      </c>
      <c r="I64" s="147" t="str">
        <f t="shared" si="4"/>
        <v/>
      </c>
      <c r="J64" s="146">
        <f t="shared" si="5"/>
        <v>-5</v>
      </c>
      <c r="K64" s="146">
        <f t="shared" si="1"/>
        <v>-50</v>
      </c>
      <c r="L64" s="146"/>
      <c r="M64" s="14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2"/>
      <c r="H65" s="149">
        <v>60</v>
      </c>
      <c r="I65" s="150" t="str">
        <f t="shared" si="4"/>
        <v/>
      </c>
      <c r="J65" s="149">
        <f t="shared" si="5"/>
        <v>-5</v>
      </c>
      <c r="K65" s="149">
        <f t="shared" si="1"/>
        <v>-50</v>
      </c>
      <c r="L65" s="149"/>
      <c r="M65" s="151">
        <f t="shared" si="2"/>
        <v>0</v>
      </c>
    </row>
    <row r="66" spans="1:13" x14ac:dyDescent="0.25">
      <c r="A66" s="162"/>
      <c r="B66" s="33"/>
      <c r="G66" s="132"/>
      <c r="H66" s="146">
        <v>61</v>
      </c>
      <c r="I66" s="147" t="str">
        <f t="shared" si="4"/>
        <v/>
      </c>
      <c r="J66" s="146">
        <f t="shared" si="5"/>
        <v>-5</v>
      </c>
      <c r="K66" s="146">
        <f t="shared" si="1"/>
        <v>-50</v>
      </c>
      <c r="L66" s="146"/>
      <c r="M66" s="148">
        <f t="shared" si="2"/>
        <v>0</v>
      </c>
    </row>
    <row r="67" spans="1:13" x14ac:dyDescent="0.25">
      <c r="A67" s="162"/>
      <c r="B67" s="39"/>
      <c r="G67" s="132"/>
      <c r="H67" s="146">
        <v>62</v>
      </c>
      <c r="I67" s="147" t="str">
        <f t="shared" si="4"/>
        <v/>
      </c>
      <c r="J67" s="146">
        <f t="shared" si="5"/>
        <v>-5</v>
      </c>
      <c r="K67" s="146">
        <f t="shared" si="1"/>
        <v>-50</v>
      </c>
      <c r="L67" s="146"/>
      <c r="M67" s="148">
        <f t="shared" si="2"/>
        <v>0</v>
      </c>
    </row>
    <row r="68" spans="1:13" x14ac:dyDescent="0.25">
      <c r="A68" s="162"/>
      <c r="B68" s="33"/>
      <c r="G68" s="132"/>
      <c r="H68" s="146">
        <v>63</v>
      </c>
      <c r="I68" s="147" t="str">
        <f t="shared" si="4"/>
        <v/>
      </c>
      <c r="J68" s="146">
        <f t="shared" si="5"/>
        <v>-5</v>
      </c>
      <c r="K68" s="146">
        <f t="shared" si="1"/>
        <v>-50</v>
      </c>
      <c r="L68" s="146"/>
      <c r="M68" s="148">
        <f t="shared" si="2"/>
        <v>0</v>
      </c>
    </row>
    <row r="69" spans="1:13" x14ac:dyDescent="0.25">
      <c r="A69" s="162"/>
      <c r="B69" s="39"/>
      <c r="G69" s="132"/>
      <c r="H69" s="146">
        <v>64</v>
      </c>
      <c r="I69" s="147" t="str">
        <f t="shared" si="4"/>
        <v/>
      </c>
      <c r="J69" s="146">
        <f t="shared" si="5"/>
        <v>-5</v>
      </c>
      <c r="K69" s="146">
        <f t="shared" si="1"/>
        <v>-50</v>
      </c>
      <c r="L69" s="146"/>
      <c r="M69" s="148">
        <f t="shared" si="2"/>
        <v>0</v>
      </c>
    </row>
    <row r="70" spans="1:13" x14ac:dyDescent="0.25">
      <c r="A70" s="162"/>
      <c r="G70" s="132"/>
      <c r="H70" s="146">
        <v>65</v>
      </c>
      <c r="I70" s="147" t="str">
        <f t="shared" si="4"/>
        <v/>
      </c>
      <c r="J70" s="146">
        <f t="shared" si="5"/>
        <v>-6</v>
      </c>
      <c r="K70" s="146">
        <f t="shared" ref="K70:K133" si="7">J70*$J$2</f>
        <v>-60</v>
      </c>
      <c r="L70" s="146"/>
      <c r="M70" s="148">
        <f t="shared" ref="M70:M133" si="8">IF(I70&lt;&gt;"",K70+I70+L70,0)</f>
        <v>0</v>
      </c>
    </row>
    <row r="71" spans="1:13" x14ac:dyDescent="0.25">
      <c r="A71" s="162"/>
      <c r="G71" s="132"/>
      <c r="H71" s="146">
        <v>66</v>
      </c>
      <c r="I71" s="147" t="str">
        <f t="shared" ref="I71:I134" si="9">IF(H71&lt;$H$2+1,($I$2-($I$2-1)*(LOG(H71)/LOG($H$2))),"")</f>
        <v/>
      </c>
      <c r="J71" s="146">
        <f t="shared" ref="J71:J134" si="10">INT(LOG($H$2,2))-ROUNDUP(LOG(H71,2),0)+IF(OR($H$2=1,$H$2=2,$H$2=4,$H$2=8,$H$2=16,$H$2=32,$H$2=64,$H$2=128,$H$2=256),0,1)</f>
        <v>-6</v>
      </c>
      <c r="K71" s="146">
        <f t="shared" si="7"/>
        <v>-60</v>
      </c>
      <c r="L71" s="146"/>
      <c r="M71" s="148">
        <f t="shared" si="8"/>
        <v>0</v>
      </c>
    </row>
    <row r="72" spans="1:13" x14ac:dyDescent="0.25">
      <c r="A72" s="162"/>
      <c r="G72" s="132"/>
      <c r="H72" s="146">
        <v>67</v>
      </c>
      <c r="I72" s="147" t="str">
        <f t="shared" si="9"/>
        <v/>
      </c>
      <c r="J72" s="146">
        <f t="shared" si="10"/>
        <v>-6</v>
      </c>
      <c r="K72" s="146">
        <f t="shared" si="7"/>
        <v>-60</v>
      </c>
      <c r="L72" s="146"/>
      <c r="M72" s="148">
        <f t="shared" si="8"/>
        <v>0</v>
      </c>
    </row>
    <row r="73" spans="1:13" x14ac:dyDescent="0.25">
      <c r="A73" s="162"/>
      <c r="G73" s="132"/>
      <c r="H73" s="146">
        <v>68</v>
      </c>
      <c r="I73" s="147" t="str">
        <f t="shared" si="9"/>
        <v/>
      </c>
      <c r="J73" s="146">
        <f t="shared" si="10"/>
        <v>-6</v>
      </c>
      <c r="K73" s="146">
        <f t="shared" si="7"/>
        <v>-60</v>
      </c>
      <c r="L73" s="146"/>
      <c r="M73" s="148">
        <f t="shared" si="8"/>
        <v>0</v>
      </c>
    </row>
    <row r="74" spans="1:13" x14ac:dyDescent="0.25">
      <c r="A74" s="162"/>
      <c r="G74" s="132"/>
      <c r="H74" s="146">
        <v>69</v>
      </c>
      <c r="I74" s="147" t="str">
        <f t="shared" si="9"/>
        <v/>
      </c>
      <c r="J74" s="146">
        <f t="shared" si="10"/>
        <v>-6</v>
      </c>
      <c r="K74" s="146">
        <f t="shared" si="7"/>
        <v>-60</v>
      </c>
      <c r="L74" s="146"/>
      <c r="M74" s="148">
        <f t="shared" si="8"/>
        <v>0</v>
      </c>
    </row>
    <row r="75" spans="1:13" x14ac:dyDescent="0.25">
      <c r="A75" s="162"/>
      <c r="G75" s="132"/>
      <c r="H75" s="146">
        <v>70</v>
      </c>
      <c r="I75" s="147" t="str">
        <f t="shared" si="9"/>
        <v/>
      </c>
      <c r="J75" s="146">
        <f t="shared" si="10"/>
        <v>-6</v>
      </c>
      <c r="K75" s="146">
        <f t="shared" si="7"/>
        <v>-60</v>
      </c>
      <c r="L75" s="146"/>
      <c r="M75" s="148">
        <f t="shared" si="8"/>
        <v>0</v>
      </c>
    </row>
    <row r="76" spans="1:13" x14ac:dyDescent="0.25">
      <c r="A76" s="162"/>
      <c r="G76" s="132"/>
      <c r="H76" s="146">
        <v>71</v>
      </c>
      <c r="I76" s="147" t="str">
        <f t="shared" si="9"/>
        <v/>
      </c>
      <c r="J76" s="146">
        <f t="shared" si="10"/>
        <v>-6</v>
      </c>
      <c r="K76" s="146">
        <f t="shared" si="7"/>
        <v>-60</v>
      </c>
      <c r="L76" s="146"/>
      <c r="M76" s="148">
        <f t="shared" si="8"/>
        <v>0</v>
      </c>
    </row>
    <row r="77" spans="1:13" x14ac:dyDescent="0.25">
      <c r="A77" s="162"/>
      <c r="G77" s="132"/>
      <c r="H77" s="146">
        <v>72</v>
      </c>
      <c r="I77" s="147" t="str">
        <f t="shared" si="9"/>
        <v/>
      </c>
      <c r="J77" s="146">
        <f t="shared" si="10"/>
        <v>-6</v>
      </c>
      <c r="K77" s="146">
        <f t="shared" si="7"/>
        <v>-60</v>
      </c>
      <c r="L77" s="146"/>
      <c r="M77" s="148">
        <f t="shared" si="8"/>
        <v>0</v>
      </c>
    </row>
    <row r="78" spans="1:13" x14ac:dyDescent="0.25">
      <c r="A78" s="162"/>
      <c r="G78" s="132"/>
      <c r="H78" s="146">
        <v>73</v>
      </c>
      <c r="I78" s="147" t="str">
        <f t="shared" si="9"/>
        <v/>
      </c>
      <c r="J78" s="146">
        <f t="shared" si="10"/>
        <v>-6</v>
      </c>
      <c r="K78" s="146">
        <f t="shared" si="7"/>
        <v>-60</v>
      </c>
      <c r="L78" s="146"/>
      <c r="M78" s="148">
        <f t="shared" si="8"/>
        <v>0</v>
      </c>
    </row>
    <row r="79" spans="1:13" x14ac:dyDescent="0.25">
      <c r="A79" s="162"/>
      <c r="G79" s="132"/>
      <c r="H79" s="146">
        <v>74</v>
      </c>
      <c r="I79" s="147" t="str">
        <f t="shared" si="9"/>
        <v/>
      </c>
      <c r="J79" s="146">
        <f t="shared" si="10"/>
        <v>-6</v>
      </c>
      <c r="K79" s="146">
        <f t="shared" si="7"/>
        <v>-60</v>
      </c>
      <c r="L79" s="146"/>
      <c r="M79" s="148">
        <f t="shared" si="8"/>
        <v>0</v>
      </c>
    </row>
    <row r="80" spans="1:13" x14ac:dyDescent="0.25">
      <c r="A80" s="162"/>
      <c r="G80" s="132"/>
      <c r="H80" s="146">
        <v>75</v>
      </c>
      <c r="I80" s="147" t="str">
        <f t="shared" si="9"/>
        <v/>
      </c>
      <c r="J80" s="146">
        <f t="shared" si="10"/>
        <v>-6</v>
      </c>
      <c r="K80" s="146">
        <f t="shared" si="7"/>
        <v>-60</v>
      </c>
      <c r="L80" s="146"/>
      <c r="M80" s="148">
        <f t="shared" si="8"/>
        <v>0</v>
      </c>
    </row>
    <row r="81" spans="1:13" x14ac:dyDescent="0.25">
      <c r="A81" s="162"/>
      <c r="G81" s="132"/>
      <c r="H81" s="146">
        <v>76</v>
      </c>
      <c r="I81" s="147" t="str">
        <f t="shared" si="9"/>
        <v/>
      </c>
      <c r="J81" s="146">
        <f t="shared" si="10"/>
        <v>-6</v>
      </c>
      <c r="K81" s="146">
        <f t="shared" si="7"/>
        <v>-60</v>
      </c>
      <c r="L81" s="146"/>
      <c r="M81" s="148">
        <f t="shared" si="8"/>
        <v>0</v>
      </c>
    </row>
    <row r="82" spans="1:13" x14ac:dyDescent="0.25">
      <c r="A82" s="162"/>
      <c r="G82" s="132"/>
      <c r="H82" s="146">
        <v>77</v>
      </c>
      <c r="I82" s="147" t="str">
        <f t="shared" si="9"/>
        <v/>
      </c>
      <c r="J82" s="146">
        <f t="shared" si="10"/>
        <v>-6</v>
      </c>
      <c r="K82" s="146">
        <f t="shared" si="7"/>
        <v>-60</v>
      </c>
      <c r="L82" s="146"/>
      <c r="M82" s="148">
        <f t="shared" si="8"/>
        <v>0</v>
      </c>
    </row>
    <row r="83" spans="1:13" x14ac:dyDescent="0.25">
      <c r="A83" s="162"/>
      <c r="G83" s="132"/>
      <c r="H83" s="146">
        <v>78</v>
      </c>
      <c r="I83" s="147" t="str">
        <f t="shared" si="9"/>
        <v/>
      </c>
      <c r="J83" s="146">
        <f t="shared" si="10"/>
        <v>-6</v>
      </c>
      <c r="K83" s="146">
        <f t="shared" si="7"/>
        <v>-60</v>
      </c>
      <c r="L83" s="146"/>
      <c r="M83" s="148">
        <f t="shared" si="8"/>
        <v>0</v>
      </c>
    </row>
    <row r="84" spans="1:13" x14ac:dyDescent="0.25">
      <c r="A84" s="162"/>
      <c r="G84" s="132"/>
      <c r="H84" s="146">
        <v>79</v>
      </c>
      <c r="I84" s="147" t="str">
        <f t="shared" si="9"/>
        <v/>
      </c>
      <c r="J84" s="146">
        <f t="shared" si="10"/>
        <v>-6</v>
      </c>
      <c r="K84" s="146">
        <f t="shared" si="7"/>
        <v>-60</v>
      </c>
      <c r="L84" s="146"/>
      <c r="M84" s="148">
        <f t="shared" si="8"/>
        <v>0</v>
      </c>
    </row>
    <row r="85" spans="1:13" x14ac:dyDescent="0.25">
      <c r="A85" s="162"/>
      <c r="G85" s="132"/>
      <c r="H85" s="146">
        <v>80</v>
      </c>
      <c r="I85" s="147" t="str">
        <f t="shared" si="9"/>
        <v/>
      </c>
      <c r="J85" s="146">
        <f t="shared" si="10"/>
        <v>-6</v>
      </c>
      <c r="K85" s="146">
        <f t="shared" si="7"/>
        <v>-60</v>
      </c>
      <c r="L85" s="146"/>
      <c r="M85" s="148">
        <f t="shared" si="8"/>
        <v>0</v>
      </c>
    </row>
    <row r="86" spans="1:13" x14ac:dyDescent="0.25">
      <c r="A86" s="162"/>
      <c r="G86" s="132"/>
      <c r="H86" s="146">
        <v>81</v>
      </c>
      <c r="I86" s="147" t="str">
        <f t="shared" si="9"/>
        <v/>
      </c>
      <c r="J86" s="146">
        <f t="shared" si="10"/>
        <v>-6</v>
      </c>
      <c r="K86" s="146">
        <f t="shared" si="7"/>
        <v>-60</v>
      </c>
      <c r="L86" s="146"/>
      <c r="M86" s="148">
        <f t="shared" si="8"/>
        <v>0</v>
      </c>
    </row>
    <row r="87" spans="1:13" x14ac:dyDescent="0.25">
      <c r="A87" s="162"/>
      <c r="G87" s="132"/>
      <c r="H87" s="146">
        <v>82</v>
      </c>
      <c r="I87" s="147" t="str">
        <f t="shared" si="9"/>
        <v/>
      </c>
      <c r="J87" s="146">
        <f t="shared" si="10"/>
        <v>-6</v>
      </c>
      <c r="K87" s="146">
        <f t="shared" si="7"/>
        <v>-60</v>
      </c>
      <c r="L87" s="146"/>
      <c r="M87" s="148">
        <f t="shared" si="8"/>
        <v>0</v>
      </c>
    </row>
    <row r="88" spans="1:13" x14ac:dyDescent="0.25">
      <c r="A88" s="162"/>
      <c r="G88" s="132"/>
      <c r="H88" s="146">
        <v>83</v>
      </c>
      <c r="I88" s="147" t="str">
        <f t="shared" si="9"/>
        <v/>
      </c>
      <c r="J88" s="146">
        <f t="shared" si="10"/>
        <v>-6</v>
      </c>
      <c r="K88" s="146">
        <f t="shared" si="7"/>
        <v>-60</v>
      </c>
      <c r="L88" s="146"/>
      <c r="M88" s="148">
        <f t="shared" si="8"/>
        <v>0</v>
      </c>
    </row>
    <row r="89" spans="1:13" x14ac:dyDescent="0.25">
      <c r="A89" s="162"/>
      <c r="G89" s="132"/>
      <c r="H89" s="146">
        <v>84</v>
      </c>
      <c r="I89" s="147" t="str">
        <f t="shared" si="9"/>
        <v/>
      </c>
      <c r="J89" s="146">
        <f t="shared" si="10"/>
        <v>-6</v>
      </c>
      <c r="K89" s="146">
        <f t="shared" si="7"/>
        <v>-60</v>
      </c>
      <c r="L89" s="146"/>
      <c r="M89" s="148">
        <f t="shared" si="8"/>
        <v>0</v>
      </c>
    </row>
    <row r="90" spans="1:13" x14ac:dyDescent="0.25">
      <c r="A90" s="162"/>
      <c r="G90" s="132"/>
      <c r="H90" s="146">
        <v>85</v>
      </c>
      <c r="I90" s="147" t="str">
        <f t="shared" si="9"/>
        <v/>
      </c>
      <c r="J90" s="146">
        <f t="shared" si="10"/>
        <v>-6</v>
      </c>
      <c r="K90" s="146">
        <f t="shared" si="7"/>
        <v>-60</v>
      </c>
      <c r="L90" s="146"/>
      <c r="M90" s="148">
        <f t="shared" si="8"/>
        <v>0</v>
      </c>
    </row>
    <row r="91" spans="1:13" x14ac:dyDescent="0.25">
      <c r="A91" s="162"/>
      <c r="G91" s="132"/>
      <c r="H91" s="146">
        <v>86</v>
      </c>
      <c r="I91" s="147" t="str">
        <f t="shared" si="9"/>
        <v/>
      </c>
      <c r="J91" s="146">
        <f t="shared" si="10"/>
        <v>-6</v>
      </c>
      <c r="K91" s="146">
        <f t="shared" si="7"/>
        <v>-60</v>
      </c>
      <c r="L91" s="146"/>
      <c r="M91" s="148">
        <f t="shared" si="8"/>
        <v>0</v>
      </c>
    </row>
    <row r="92" spans="1:13" x14ac:dyDescent="0.25">
      <c r="A92" s="162"/>
      <c r="G92" s="132"/>
      <c r="H92" s="146">
        <v>87</v>
      </c>
      <c r="I92" s="147" t="str">
        <f t="shared" si="9"/>
        <v/>
      </c>
      <c r="J92" s="146">
        <f t="shared" si="10"/>
        <v>-6</v>
      </c>
      <c r="K92" s="146">
        <f t="shared" si="7"/>
        <v>-60</v>
      </c>
      <c r="L92" s="146"/>
      <c r="M92" s="148">
        <f t="shared" si="8"/>
        <v>0</v>
      </c>
    </row>
    <row r="93" spans="1:13" x14ac:dyDescent="0.25">
      <c r="A93" s="162"/>
      <c r="G93" s="132"/>
      <c r="H93" s="146">
        <v>88</v>
      </c>
      <c r="I93" s="147" t="str">
        <f t="shared" si="9"/>
        <v/>
      </c>
      <c r="J93" s="146">
        <f t="shared" si="10"/>
        <v>-6</v>
      </c>
      <c r="K93" s="146">
        <f t="shared" si="7"/>
        <v>-60</v>
      </c>
      <c r="L93" s="146"/>
      <c r="M93" s="148">
        <f t="shared" si="8"/>
        <v>0</v>
      </c>
    </row>
    <row r="94" spans="1:13" x14ac:dyDescent="0.25">
      <c r="A94" s="162"/>
      <c r="G94" s="132"/>
      <c r="H94" s="146">
        <v>89</v>
      </c>
      <c r="I94" s="147" t="str">
        <f t="shared" si="9"/>
        <v/>
      </c>
      <c r="J94" s="146">
        <f t="shared" si="10"/>
        <v>-6</v>
      </c>
      <c r="K94" s="146">
        <f t="shared" si="7"/>
        <v>-60</v>
      </c>
      <c r="L94" s="146"/>
      <c r="M94" s="148">
        <f t="shared" si="8"/>
        <v>0</v>
      </c>
    </row>
    <row r="95" spans="1:13" x14ac:dyDescent="0.25">
      <c r="A95" s="162"/>
      <c r="G95" s="132"/>
      <c r="H95" s="146">
        <v>90</v>
      </c>
      <c r="I95" s="147" t="str">
        <f t="shared" si="9"/>
        <v/>
      </c>
      <c r="J95" s="146">
        <f t="shared" si="10"/>
        <v>-6</v>
      </c>
      <c r="K95" s="146">
        <f t="shared" si="7"/>
        <v>-60</v>
      </c>
      <c r="L95" s="146"/>
      <c r="M95" s="148">
        <f t="shared" si="8"/>
        <v>0</v>
      </c>
    </row>
    <row r="96" spans="1:13" x14ac:dyDescent="0.25">
      <c r="A96" s="162"/>
      <c r="G96" s="132"/>
      <c r="H96" s="146">
        <v>91</v>
      </c>
      <c r="I96" s="147" t="str">
        <f t="shared" si="9"/>
        <v/>
      </c>
      <c r="J96" s="146">
        <f t="shared" si="10"/>
        <v>-6</v>
      </c>
      <c r="K96" s="146">
        <f t="shared" si="7"/>
        <v>-60</v>
      </c>
      <c r="L96" s="146"/>
      <c r="M96" s="148">
        <f t="shared" si="8"/>
        <v>0</v>
      </c>
    </row>
    <row r="97" spans="1:13" x14ac:dyDescent="0.25">
      <c r="A97" s="162"/>
      <c r="G97" s="132"/>
      <c r="H97" s="146">
        <v>92</v>
      </c>
      <c r="I97" s="147" t="str">
        <f t="shared" si="9"/>
        <v/>
      </c>
      <c r="J97" s="146">
        <f t="shared" si="10"/>
        <v>-6</v>
      </c>
      <c r="K97" s="146">
        <f t="shared" si="7"/>
        <v>-60</v>
      </c>
      <c r="L97" s="146"/>
      <c r="M97" s="148">
        <f t="shared" si="8"/>
        <v>0</v>
      </c>
    </row>
    <row r="98" spans="1:13" x14ac:dyDescent="0.25">
      <c r="A98" s="162"/>
      <c r="G98" s="132"/>
      <c r="H98" s="146">
        <v>93</v>
      </c>
      <c r="I98" s="147" t="str">
        <f t="shared" si="9"/>
        <v/>
      </c>
      <c r="J98" s="146">
        <f t="shared" si="10"/>
        <v>-6</v>
      </c>
      <c r="K98" s="146">
        <f t="shared" si="7"/>
        <v>-60</v>
      </c>
      <c r="L98" s="146"/>
      <c r="M98" s="148">
        <f t="shared" si="8"/>
        <v>0</v>
      </c>
    </row>
    <row r="99" spans="1:13" x14ac:dyDescent="0.25">
      <c r="A99" s="162"/>
      <c r="G99" s="132"/>
      <c r="H99" s="146">
        <v>94</v>
      </c>
      <c r="I99" s="147" t="str">
        <f t="shared" si="9"/>
        <v/>
      </c>
      <c r="J99" s="146">
        <f t="shared" si="10"/>
        <v>-6</v>
      </c>
      <c r="K99" s="146">
        <f t="shared" si="7"/>
        <v>-60</v>
      </c>
      <c r="L99" s="146"/>
      <c r="M99" s="148">
        <f t="shared" si="8"/>
        <v>0</v>
      </c>
    </row>
    <row r="100" spans="1:13" x14ac:dyDescent="0.25">
      <c r="A100" s="162"/>
      <c r="G100" s="132"/>
      <c r="H100" s="146">
        <v>95</v>
      </c>
      <c r="I100" s="147" t="str">
        <f t="shared" si="9"/>
        <v/>
      </c>
      <c r="J100" s="146">
        <f t="shared" si="10"/>
        <v>-6</v>
      </c>
      <c r="K100" s="146">
        <f t="shared" si="7"/>
        <v>-60</v>
      </c>
      <c r="L100" s="146"/>
      <c r="M100" s="148">
        <f t="shared" si="8"/>
        <v>0</v>
      </c>
    </row>
    <row r="101" spans="1:13" x14ac:dyDescent="0.25">
      <c r="A101" s="162"/>
      <c r="G101" s="132"/>
      <c r="H101" s="146">
        <v>96</v>
      </c>
      <c r="I101" s="147" t="str">
        <f t="shared" si="9"/>
        <v/>
      </c>
      <c r="J101" s="146">
        <f t="shared" si="10"/>
        <v>-6</v>
      </c>
      <c r="K101" s="146">
        <f t="shared" si="7"/>
        <v>-60</v>
      </c>
      <c r="L101" s="146"/>
      <c r="M101" s="148">
        <f t="shared" si="8"/>
        <v>0</v>
      </c>
    </row>
    <row r="102" spans="1:13" x14ac:dyDescent="0.25">
      <c r="A102" s="162"/>
      <c r="G102" s="132"/>
      <c r="H102" s="146">
        <v>97</v>
      </c>
      <c r="I102" s="147" t="str">
        <f t="shared" si="9"/>
        <v/>
      </c>
      <c r="J102" s="146">
        <f t="shared" si="10"/>
        <v>-6</v>
      </c>
      <c r="K102" s="146">
        <f t="shared" si="7"/>
        <v>-60</v>
      </c>
      <c r="L102" s="146"/>
      <c r="M102" s="148">
        <f t="shared" si="8"/>
        <v>0</v>
      </c>
    </row>
    <row r="103" spans="1:13" x14ac:dyDescent="0.25">
      <c r="A103" s="162"/>
      <c r="G103" s="132"/>
      <c r="H103" s="146">
        <v>98</v>
      </c>
      <c r="I103" s="147" t="str">
        <f t="shared" si="9"/>
        <v/>
      </c>
      <c r="J103" s="146">
        <f t="shared" si="10"/>
        <v>-6</v>
      </c>
      <c r="K103" s="146">
        <f t="shared" si="7"/>
        <v>-60</v>
      </c>
      <c r="L103" s="146"/>
      <c r="M103" s="148">
        <f t="shared" si="8"/>
        <v>0</v>
      </c>
    </row>
    <row r="104" spans="1:13" x14ac:dyDescent="0.25">
      <c r="A104" s="162"/>
      <c r="G104" s="132"/>
      <c r="H104" s="146">
        <v>99</v>
      </c>
      <c r="I104" s="147" t="str">
        <f t="shared" si="9"/>
        <v/>
      </c>
      <c r="J104" s="146">
        <f t="shared" si="10"/>
        <v>-6</v>
      </c>
      <c r="K104" s="146">
        <f t="shared" si="7"/>
        <v>-60</v>
      </c>
      <c r="L104" s="146"/>
      <c r="M104" s="148">
        <f t="shared" si="8"/>
        <v>0</v>
      </c>
    </row>
    <row r="105" spans="1:13" x14ac:dyDescent="0.25">
      <c r="A105" s="162"/>
      <c r="G105" s="132"/>
      <c r="H105" s="146">
        <v>100</v>
      </c>
      <c r="I105" s="147" t="str">
        <f t="shared" si="9"/>
        <v/>
      </c>
      <c r="J105" s="146">
        <f t="shared" si="10"/>
        <v>-6</v>
      </c>
      <c r="K105" s="146">
        <f t="shared" si="7"/>
        <v>-60</v>
      </c>
      <c r="L105" s="146"/>
      <c r="M105" s="148">
        <f t="shared" si="8"/>
        <v>0</v>
      </c>
    </row>
    <row r="106" spans="1:13" x14ac:dyDescent="0.25">
      <c r="A106" s="162"/>
      <c r="G106" s="132"/>
      <c r="H106" s="146">
        <v>101</v>
      </c>
      <c r="I106" s="147" t="str">
        <f t="shared" si="9"/>
        <v/>
      </c>
      <c r="J106" s="146">
        <f t="shared" si="10"/>
        <v>-6</v>
      </c>
      <c r="K106" s="146">
        <f t="shared" si="7"/>
        <v>-60</v>
      </c>
      <c r="L106" s="146"/>
      <c r="M106" s="148">
        <f t="shared" si="8"/>
        <v>0</v>
      </c>
    </row>
    <row r="107" spans="1:13" x14ac:dyDescent="0.25">
      <c r="A107" s="162"/>
      <c r="G107" s="132"/>
      <c r="H107" s="146">
        <v>102</v>
      </c>
      <c r="I107" s="147" t="str">
        <f t="shared" si="9"/>
        <v/>
      </c>
      <c r="J107" s="146">
        <f t="shared" si="10"/>
        <v>-6</v>
      </c>
      <c r="K107" s="146">
        <f t="shared" si="7"/>
        <v>-60</v>
      </c>
      <c r="L107" s="146"/>
      <c r="M107" s="148">
        <f t="shared" si="8"/>
        <v>0</v>
      </c>
    </row>
    <row r="108" spans="1:13" x14ac:dyDescent="0.25">
      <c r="A108" s="162"/>
      <c r="G108" s="132"/>
      <c r="H108" s="146">
        <v>103</v>
      </c>
      <c r="I108" s="147" t="str">
        <f t="shared" si="9"/>
        <v/>
      </c>
      <c r="J108" s="146">
        <f t="shared" si="10"/>
        <v>-6</v>
      </c>
      <c r="K108" s="146">
        <f t="shared" si="7"/>
        <v>-60</v>
      </c>
      <c r="L108" s="146"/>
      <c r="M108" s="148">
        <f t="shared" si="8"/>
        <v>0</v>
      </c>
    </row>
    <row r="109" spans="1:13" x14ac:dyDescent="0.25">
      <c r="A109" s="162"/>
      <c r="G109" s="132"/>
      <c r="H109" s="146">
        <v>104</v>
      </c>
      <c r="I109" s="147" t="str">
        <f t="shared" si="9"/>
        <v/>
      </c>
      <c r="J109" s="146">
        <f t="shared" si="10"/>
        <v>-6</v>
      </c>
      <c r="K109" s="146">
        <f t="shared" si="7"/>
        <v>-60</v>
      </c>
      <c r="L109" s="146"/>
      <c r="M109" s="148">
        <f t="shared" si="8"/>
        <v>0</v>
      </c>
    </row>
    <row r="110" spans="1:13" x14ac:dyDescent="0.25">
      <c r="A110" s="162"/>
      <c r="G110" s="132"/>
      <c r="H110" s="146">
        <v>105</v>
      </c>
      <c r="I110" s="147" t="str">
        <f t="shared" si="9"/>
        <v/>
      </c>
      <c r="J110" s="146">
        <f t="shared" si="10"/>
        <v>-6</v>
      </c>
      <c r="K110" s="146">
        <f t="shared" si="7"/>
        <v>-60</v>
      </c>
      <c r="L110" s="146"/>
      <c r="M110" s="148">
        <f t="shared" si="8"/>
        <v>0</v>
      </c>
    </row>
    <row r="111" spans="1:13" x14ac:dyDescent="0.25">
      <c r="A111" s="162"/>
      <c r="G111" s="132"/>
      <c r="H111" s="146">
        <v>106</v>
      </c>
      <c r="I111" s="147" t="str">
        <f t="shared" si="9"/>
        <v/>
      </c>
      <c r="J111" s="146">
        <f t="shared" si="10"/>
        <v>-6</v>
      </c>
      <c r="K111" s="146">
        <f t="shared" si="7"/>
        <v>-60</v>
      </c>
      <c r="L111" s="146"/>
      <c r="M111" s="148">
        <f t="shared" si="8"/>
        <v>0</v>
      </c>
    </row>
    <row r="112" spans="1:13" x14ac:dyDescent="0.25">
      <c r="A112" s="162"/>
      <c r="G112" s="132"/>
      <c r="H112" s="146">
        <v>107</v>
      </c>
      <c r="I112" s="147" t="str">
        <f t="shared" si="9"/>
        <v/>
      </c>
      <c r="J112" s="146">
        <f t="shared" si="10"/>
        <v>-6</v>
      </c>
      <c r="K112" s="146">
        <f t="shared" si="7"/>
        <v>-60</v>
      </c>
      <c r="L112" s="146"/>
      <c r="M112" s="148">
        <f t="shared" si="8"/>
        <v>0</v>
      </c>
    </row>
    <row r="113" spans="1:13" x14ac:dyDescent="0.25">
      <c r="A113" s="162"/>
      <c r="G113" s="132"/>
      <c r="H113" s="146">
        <v>108</v>
      </c>
      <c r="I113" s="147" t="str">
        <f t="shared" si="9"/>
        <v/>
      </c>
      <c r="J113" s="146">
        <f t="shared" si="10"/>
        <v>-6</v>
      </c>
      <c r="K113" s="146">
        <f t="shared" si="7"/>
        <v>-60</v>
      </c>
      <c r="L113" s="146"/>
      <c r="M113" s="148">
        <f t="shared" si="8"/>
        <v>0</v>
      </c>
    </row>
    <row r="114" spans="1:13" x14ac:dyDescent="0.25">
      <c r="A114" s="162"/>
      <c r="G114" s="132"/>
      <c r="H114" s="146">
        <v>109</v>
      </c>
      <c r="I114" s="147" t="str">
        <f t="shared" si="9"/>
        <v/>
      </c>
      <c r="J114" s="146">
        <f t="shared" si="10"/>
        <v>-6</v>
      </c>
      <c r="K114" s="146">
        <f t="shared" si="7"/>
        <v>-60</v>
      </c>
      <c r="L114" s="146"/>
      <c r="M114" s="148">
        <f t="shared" si="8"/>
        <v>0</v>
      </c>
    </row>
    <row r="115" spans="1:13" x14ac:dyDescent="0.25">
      <c r="A115" s="162"/>
      <c r="G115" s="132"/>
      <c r="H115" s="146">
        <v>110</v>
      </c>
      <c r="I115" s="147" t="str">
        <f t="shared" si="9"/>
        <v/>
      </c>
      <c r="J115" s="146">
        <f t="shared" si="10"/>
        <v>-6</v>
      </c>
      <c r="K115" s="146">
        <f t="shared" si="7"/>
        <v>-60</v>
      </c>
      <c r="L115" s="146"/>
      <c r="M115" s="148">
        <f t="shared" si="8"/>
        <v>0</v>
      </c>
    </row>
    <row r="116" spans="1:13" x14ac:dyDescent="0.25">
      <c r="A116" s="162"/>
      <c r="G116" s="132"/>
      <c r="H116" s="146">
        <v>111</v>
      </c>
      <c r="I116" s="147" t="str">
        <f t="shared" si="9"/>
        <v/>
      </c>
      <c r="J116" s="146">
        <f t="shared" si="10"/>
        <v>-6</v>
      </c>
      <c r="K116" s="146">
        <f t="shared" si="7"/>
        <v>-60</v>
      </c>
      <c r="L116" s="146"/>
      <c r="M116" s="148">
        <f t="shared" si="8"/>
        <v>0</v>
      </c>
    </row>
    <row r="117" spans="1:13" x14ac:dyDescent="0.25">
      <c r="A117" s="162"/>
      <c r="G117" s="132"/>
      <c r="H117" s="146">
        <v>112</v>
      </c>
      <c r="I117" s="147" t="str">
        <f t="shared" si="9"/>
        <v/>
      </c>
      <c r="J117" s="146">
        <f t="shared" si="10"/>
        <v>-6</v>
      </c>
      <c r="K117" s="146">
        <f t="shared" si="7"/>
        <v>-60</v>
      </c>
      <c r="L117" s="146"/>
      <c r="M117" s="148">
        <f t="shared" si="8"/>
        <v>0</v>
      </c>
    </row>
    <row r="118" spans="1:13" x14ac:dyDescent="0.25">
      <c r="A118" s="162"/>
      <c r="G118" s="132"/>
      <c r="H118" s="146">
        <v>113</v>
      </c>
      <c r="I118" s="147" t="str">
        <f t="shared" si="9"/>
        <v/>
      </c>
      <c r="J118" s="146">
        <f t="shared" si="10"/>
        <v>-6</v>
      </c>
      <c r="K118" s="146">
        <f t="shared" si="7"/>
        <v>-60</v>
      </c>
      <c r="L118" s="146"/>
      <c r="M118" s="148">
        <f t="shared" si="8"/>
        <v>0</v>
      </c>
    </row>
    <row r="119" spans="1:13" x14ac:dyDescent="0.25">
      <c r="A119" s="162"/>
      <c r="G119" s="132"/>
      <c r="H119" s="146">
        <v>114</v>
      </c>
      <c r="I119" s="147" t="str">
        <f t="shared" si="9"/>
        <v/>
      </c>
      <c r="J119" s="146">
        <f t="shared" si="10"/>
        <v>-6</v>
      </c>
      <c r="K119" s="146">
        <f t="shared" si="7"/>
        <v>-60</v>
      </c>
      <c r="L119" s="146"/>
      <c r="M119" s="148">
        <f t="shared" si="8"/>
        <v>0</v>
      </c>
    </row>
    <row r="120" spans="1:13" x14ac:dyDescent="0.25">
      <c r="A120" s="162"/>
      <c r="G120" s="132"/>
      <c r="H120" s="146">
        <v>115</v>
      </c>
      <c r="I120" s="147" t="str">
        <f t="shared" si="9"/>
        <v/>
      </c>
      <c r="J120" s="146">
        <f t="shared" si="10"/>
        <v>-6</v>
      </c>
      <c r="K120" s="146">
        <f t="shared" si="7"/>
        <v>-60</v>
      </c>
      <c r="L120" s="146"/>
      <c r="M120" s="148">
        <f t="shared" si="8"/>
        <v>0</v>
      </c>
    </row>
    <row r="121" spans="1:13" x14ac:dyDescent="0.25">
      <c r="A121" s="162"/>
      <c r="G121" s="132"/>
      <c r="H121" s="146">
        <v>116</v>
      </c>
      <c r="I121" s="147" t="str">
        <f t="shared" si="9"/>
        <v/>
      </c>
      <c r="J121" s="146">
        <f t="shared" si="10"/>
        <v>-6</v>
      </c>
      <c r="K121" s="146">
        <f t="shared" si="7"/>
        <v>-60</v>
      </c>
      <c r="L121" s="146"/>
      <c r="M121" s="148">
        <f t="shared" si="8"/>
        <v>0</v>
      </c>
    </row>
    <row r="122" spans="1:13" x14ac:dyDescent="0.25">
      <c r="A122" s="162"/>
      <c r="G122" s="132"/>
      <c r="H122" s="146">
        <v>117</v>
      </c>
      <c r="I122" s="147" t="str">
        <f t="shared" si="9"/>
        <v/>
      </c>
      <c r="J122" s="146">
        <f t="shared" si="10"/>
        <v>-6</v>
      </c>
      <c r="K122" s="146">
        <f t="shared" si="7"/>
        <v>-60</v>
      </c>
      <c r="L122" s="146"/>
      <c r="M122" s="148">
        <f t="shared" si="8"/>
        <v>0</v>
      </c>
    </row>
    <row r="123" spans="1:13" x14ac:dyDescent="0.25">
      <c r="A123" s="162"/>
      <c r="G123" s="132"/>
      <c r="H123" s="146">
        <v>118</v>
      </c>
      <c r="I123" s="147" t="str">
        <f t="shared" si="9"/>
        <v/>
      </c>
      <c r="J123" s="146">
        <f t="shared" si="10"/>
        <v>-6</v>
      </c>
      <c r="K123" s="146">
        <f t="shared" si="7"/>
        <v>-60</v>
      </c>
      <c r="L123" s="146"/>
      <c r="M123" s="148">
        <f t="shared" si="8"/>
        <v>0</v>
      </c>
    </row>
    <row r="124" spans="1:13" x14ac:dyDescent="0.25">
      <c r="A124" s="162"/>
      <c r="G124" s="132"/>
      <c r="H124" s="146">
        <v>119</v>
      </c>
      <c r="I124" s="147" t="str">
        <f t="shared" si="9"/>
        <v/>
      </c>
      <c r="J124" s="146">
        <f t="shared" si="10"/>
        <v>-6</v>
      </c>
      <c r="K124" s="146">
        <f t="shared" si="7"/>
        <v>-60</v>
      </c>
      <c r="L124" s="146"/>
      <c r="M124" s="148">
        <f t="shared" si="8"/>
        <v>0</v>
      </c>
    </row>
    <row r="125" spans="1:13" x14ac:dyDescent="0.25">
      <c r="A125" s="162"/>
      <c r="G125" s="132"/>
      <c r="H125" s="146">
        <v>120</v>
      </c>
      <c r="I125" s="147" t="str">
        <f t="shared" si="9"/>
        <v/>
      </c>
      <c r="J125" s="146">
        <f t="shared" si="10"/>
        <v>-6</v>
      </c>
      <c r="K125" s="146">
        <f t="shared" si="7"/>
        <v>-60</v>
      </c>
      <c r="L125" s="146"/>
      <c r="M125" s="148">
        <f t="shared" si="8"/>
        <v>0</v>
      </c>
    </row>
    <row r="126" spans="1:13" x14ac:dyDescent="0.25">
      <c r="A126" s="162"/>
      <c r="G126" s="132"/>
      <c r="H126" s="146">
        <v>121</v>
      </c>
      <c r="I126" s="147" t="str">
        <f t="shared" si="9"/>
        <v/>
      </c>
      <c r="J126" s="146">
        <f t="shared" si="10"/>
        <v>-6</v>
      </c>
      <c r="K126" s="146">
        <f t="shared" si="7"/>
        <v>-60</v>
      </c>
      <c r="L126" s="146"/>
      <c r="M126" s="148">
        <f t="shared" si="8"/>
        <v>0</v>
      </c>
    </row>
    <row r="127" spans="1:13" x14ac:dyDescent="0.25">
      <c r="A127" s="162"/>
      <c r="G127" s="132"/>
      <c r="H127" s="146">
        <v>122</v>
      </c>
      <c r="I127" s="147" t="str">
        <f t="shared" si="9"/>
        <v/>
      </c>
      <c r="J127" s="146">
        <f t="shared" si="10"/>
        <v>-6</v>
      </c>
      <c r="K127" s="146">
        <f t="shared" si="7"/>
        <v>-60</v>
      </c>
      <c r="L127" s="146"/>
      <c r="M127" s="148">
        <f t="shared" si="8"/>
        <v>0</v>
      </c>
    </row>
    <row r="128" spans="1:13" x14ac:dyDescent="0.25">
      <c r="A128" s="162"/>
      <c r="G128" s="132"/>
      <c r="H128" s="146">
        <v>123</v>
      </c>
      <c r="I128" s="147" t="str">
        <f t="shared" si="9"/>
        <v/>
      </c>
      <c r="J128" s="146">
        <f t="shared" si="10"/>
        <v>-6</v>
      </c>
      <c r="K128" s="146">
        <f t="shared" si="7"/>
        <v>-60</v>
      </c>
      <c r="L128" s="146"/>
      <c r="M128" s="148">
        <f t="shared" si="8"/>
        <v>0</v>
      </c>
    </row>
    <row r="129" spans="1:13" x14ac:dyDescent="0.25">
      <c r="A129" s="162"/>
      <c r="G129" s="132"/>
      <c r="H129" s="146">
        <v>124</v>
      </c>
      <c r="I129" s="147" t="str">
        <f t="shared" si="9"/>
        <v/>
      </c>
      <c r="J129" s="146">
        <f t="shared" si="10"/>
        <v>-6</v>
      </c>
      <c r="K129" s="146">
        <f t="shared" si="7"/>
        <v>-60</v>
      </c>
      <c r="L129" s="146"/>
      <c r="M129" s="148">
        <f t="shared" si="8"/>
        <v>0</v>
      </c>
    </row>
    <row r="130" spans="1:13" x14ac:dyDescent="0.25">
      <c r="A130" s="162"/>
      <c r="G130" s="132"/>
      <c r="H130" s="146">
        <v>125</v>
      </c>
      <c r="I130" s="147" t="str">
        <f t="shared" si="9"/>
        <v/>
      </c>
      <c r="J130" s="146">
        <f t="shared" si="10"/>
        <v>-6</v>
      </c>
      <c r="K130" s="146">
        <f t="shared" si="7"/>
        <v>-60</v>
      </c>
      <c r="L130" s="146"/>
      <c r="M130" s="148">
        <f t="shared" si="8"/>
        <v>0</v>
      </c>
    </row>
    <row r="131" spans="1:13" x14ac:dyDescent="0.25">
      <c r="A131" s="162"/>
      <c r="G131" s="132"/>
      <c r="H131" s="146">
        <v>126</v>
      </c>
      <c r="I131" s="147" t="str">
        <f t="shared" si="9"/>
        <v/>
      </c>
      <c r="J131" s="146">
        <f t="shared" si="10"/>
        <v>-6</v>
      </c>
      <c r="K131" s="146">
        <f t="shared" si="7"/>
        <v>-60</v>
      </c>
      <c r="L131" s="146"/>
      <c r="M131" s="148">
        <f t="shared" si="8"/>
        <v>0</v>
      </c>
    </row>
    <row r="132" spans="1:13" x14ac:dyDescent="0.25">
      <c r="A132" s="162"/>
      <c r="G132" s="132"/>
      <c r="H132" s="146">
        <v>127</v>
      </c>
      <c r="I132" s="147" t="str">
        <f t="shared" si="9"/>
        <v/>
      </c>
      <c r="J132" s="146">
        <f t="shared" si="10"/>
        <v>-6</v>
      </c>
      <c r="K132" s="146">
        <f t="shared" si="7"/>
        <v>-60</v>
      </c>
      <c r="L132" s="146"/>
      <c r="M132" s="148">
        <f t="shared" si="8"/>
        <v>0</v>
      </c>
    </row>
    <row r="133" spans="1:13" x14ac:dyDescent="0.25">
      <c r="A133" s="162"/>
      <c r="G133" s="132"/>
      <c r="H133" s="146">
        <v>128</v>
      </c>
      <c r="I133" s="147" t="str">
        <f t="shared" si="9"/>
        <v/>
      </c>
      <c r="J133" s="146">
        <f t="shared" si="10"/>
        <v>-6</v>
      </c>
      <c r="K133" s="146">
        <f t="shared" si="7"/>
        <v>-60</v>
      </c>
      <c r="L133" s="146"/>
      <c r="M133" s="148">
        <f t="shared" si="8"/>
        <v>0</v>
      </c>
    </row>
    <row r="134" spans="1:13" x14ac:dyDescent="0.25">
      <c r="A134" s="162"/>
      <c r="G134" s="132"/>
      <c r="H134" s="146">
        <v>129</v>
      </c>
      <c r="I134" s="147" t="str">
        <f t="shared" si="9"/>
        <v/>
      </c>
      <c r="J134" s="146">
        <f t="shared" si="10"/>
        <v>-7</v>
      </c>
      <c r="K134" s="146">
        <f t="shared" ref="K134:K197" si="11">J134*$J$2</f>
        <v>-70</v>
      </c>
      <c r="L134" s="146"/>
      <c r="M134" s="148">
        <f t="shared" ref="M134:M197" si="12">IF(I134&lt;&gt;"",K134+I134+L134,0)</f>
        <v>0</v>
      </c>
    </row>
    <row r="135" spans="1:13" x14ac:dyDescent="0.25">
      <c r="A135" s="162"/>
      <c r="G135" s="132"/>
      <c r="H135" s="146">
        <v>130</v>
      </c>
      <c r="I135" s="147" t="str">
        <f t="shared" ref="I135:I198" si="13">IF(H135&lt;$H$2+1,($I$2-($I$2-1)*(LOG(H135)/LOG($H$2))),"")</f>
        <v/>
      </c>
      <c r="J135" s="146">
        <f t="shared" ref="J135:J198" si="14">INT(LOG($H$2,2))-ROUNDUP(LOG(H135,2),0)+IF(OR($H$2=1,$H$2=2,$H$2=4,$H$2=8,$H$2=16,$H$2=32,$H$2=64,$H$2=128,$H$2=256),0,1)</f>
        <v>-7</v>
      </c>
      <c r="K135" s="146">
        <f t="shared" si="11"/>
        <v>-70</v>
      </c>
      <c r="L135" s="146"/>
      <c r="M135" s="148">
        <f t="shared" si="12"/>
        <v>0</v>
      </c>
    </row>
    <row r="136" spans="1:13" x14ac:dyDescent="0.25">
      <c r="A136" s="162"/>
      <c r="G136" s="132"/>
      <c r="H136" s="146">
        <v>131</v>
      </c>
      <c r="I136" s="147" t="str">
        <f t="shared" si="13"/>
        <v/>
      </c>
      <c r="J136" s="146">
        <f t="shared" si="14"/>
        <v>-7</v>
      </c>
      <c r="K136" s="146">
        <f t="shared" si="11"/>
        <v>-70</v>
      </c>
      <c r="L136" s="146"/>
      <c r="M136" s="148">
        <f t="shared" si="12"/>
        <v>0</v>
      </c>
    </row>
    <row r="137" spans="1:13" x14ac:dyDescent="0.25">
      <c r="A137" s="162"/>
      <c r="G137" s="132"/>
      <c r="H137" s="146">
        <v>132</v>
      </c>
      <c r="I137" s="147" t="str">
        <f t="shared" si="13"/>
        <v/>
      </c>
      <c r="J137" s="146">
        <f t="shared" si="14"/>
        <v>-7</v>
      </c>
      <c r="K137" s="146">
        <f t="shared" si="11"/>
        <v>-70</v>
      </c>
      <c r="L137" s="146"/>
      <c r="M137" s="148">
        <f t="shared" si="12"/>
        <v>0</v>
      </c>
    </row>
    <row r="138" spans="1:13" x14ac:dyDescent="0.25">
      <c r="A138" s="162"/>
      <c r="G138" s="132"/>
      <c r="H138" s="146">
        <v>133</v>
      </c>
      <c r="I138" s="147" t="str">
        <f t="shared" si="13"/>
        <v/>
      </c>
      <c r="J138" s="146">
        <f t="shared" si="14"/>
        <v>-7</v>
      </c>
      <c r="K138" s="146">
        <f t="shared" si="11"/>
        <v>-70</v>
      </c>
      <c r="L138" s="146"/>
      <c r="M138" s="148">
        <f t="shared" si="12"/>
        <v>0</v>
      </c>
    </row>
    <row r="139" spans="1:13" x14ac:dyDescent="0.25">
      <c r="A139" s="162"/>
      <c r="G139" s="132"/>
      <c r="H139" s="146">
        <v>134</v>
      </c>
      <c r="I139" s="147" t="str">
        <f t="shared" si="13"/>
        <v/>
      </c>
      <c r="J139" s="146">
        <f t="shared" si="14"/>
        <v>-7</v>
      </c>
      <c r="K139" s="146">
        <f t="shared" si="11"/>
        <v>-70</v>
      </c>
      <c r="L139" s="146"/>
      <c r="M139" s="148">
        <f t="shared" si="12"/>
        <v>0</v>
      </c>
    </row>
    <row r="140" spans="1:13" x14ac:dyDescent="0.25">
      <c r="A140" s="162"/>
      <c r="G140" s="132"/>
      <c r="H140" s="146">
        <v>135</v>
      </c>
      <c r="I140" s="147" t="str">
        <f t="shared" si="13"/>
        <v/>
      </c>
      <c r="J140" s="146">
        <f t="shared" si="14"/>
        <v>-7</v>
      </c>
      <c r="K140" s="146">
        <f t="shared" si="11"/>
        <v>-70</v>
      </c>
      <c r="L140" s="146"/>
      <c r="M140" s="148">
        <f t="shared" si="12"/>
        <v>0</v>
      </c>
    </row>
    <row r="141" spans="1:13" x14ac:dyDescent="0.25">
      <c r="A141" s="162"/>
      <c r="G141" s="132"/>
      <c r="H141" s="146">
        <v>136</v>
      </c>
      <c r="I141" s="147" t="str">
        <f t="shared" si="13"/>
        <v/>
      </c>
      <c r="J141" s="146">
        <f t="shared" si="14"/>
        <v>-7</v>
      </c>
      <c r="K141" s="146">
        <f t="shared" si="11"/>
        <v>-70</v>
      </c>
      <c r="L141" s="146"/>
      <c r="M141" s="148">
        <f t="shared" si="12"/>
        <v>0</v>
      </c>
    </row>
    <row r="142" spans="1:13" x14ac:dyDescent="0.25">
      <c r="A142" s="162"/>
      <c r="G142" s="132"/>
      <c r="H142" s="146">
        <v>137</v>
      </c>
      <c r="I142" s="147" t="str">
        <f t="shared" si="13"/>
        <v/>
      </c>
      <c r="J142" s="146">
        <f t="shared" si="14"/>
        <v>-7</v>
      </c>
      <c r="K142" s="146">
        <f t="shared" si="11"/>
        <v>-70</v>
      </c>
      <c r="L142" s="146"/>
      <c r="M142" s="148">
        <f t="shared" si="12"/>
        <v>0</v>
      </c>
    </row>
    <row r="143" spans="1:13" x14ac:dyDescent="0.25">
      <c r="A143" s="162"/>
      <c r="G143" s="132"/>
      <c r="H143" s="146">
        <v>138</v>
      </c>
      <c r="I143" s="147" t="str">
        <f t="shared" si="13"/>
        <v/>
      </c>
      <c r="J143" s="146">
        <f t="shared" si="14"/>
        <v>-7</v>
      </c>
      <c r="K143" s="146">
        <f t="shared" si="11"/>
        <v>-70</v>
      </c>
      <c r="L143" s="146"/>
      <c r="M143" s="148">
        <f t="shared" si="12"/>
        <v>0</v>
      </c>
    </row>
    <row r="144" spans="1:13" x14ac:dyDescent="0.25">
      <c r="A144" s="162"/>
      <c r="G144" s="132"/>
      <c r="H144" s="146">
        <v>139</v>
      </c>
      <c r="I144" s="147" t="str">
        <f t="shared" si="13"/>
        <v/>
      </c>
      <c r="J144" s="146">
        <f t="shared" si="14"/>
        <v>-7</v>
      </c>
      <c r="K144" s="146">
        <f t="shared" si="11"/>
        <v>-70</v>
      </c>
      <c r="L144" s="146"/>
      <c r="M144" s="148">
        <f t="shared" si="12"/>
        <v>0</v>
      </c>
    </row>
    <row r="145" spans="1:13" x14ac:dyDescent="0.25">
      <c r="A145" s="162"/>
      <c r="G145" s="132"/>
      <c r="H145" s="146">
        <v>140</v>
      </c>
      <c r="I145" s="147" t="str">
        <f t="shared" si="13"/>
        <v/>
      </c>
      <c r="J145" s="146">
        <f t="shared" si="14"/>
        <v>-7</v>
      </c>
      <c r="K145" s="146">
        <f t="shared" si="11"/>
        <v>-70</v>
      </c>
      <c r="L145" s="146"/>
      <c r="M145" s="148">
        <f t="shared" si="12"/>
        <v>0</v>
      </c>
    </row>
    <row r="146" spans="1:13" x14ac:dyDescent="0.25">
      <c r="A146" s="162"/>
      <c r="G146" s="132"/>
      <c r="H146" s="146">
        <v>141</v>
      </c>
      <c r="I146" s="147" t="str">
        <f t="shared" si="13"/>
        <v/>
      </c>
      <c r="J146" s="146">
        <f t="shared" si="14"/>
        <v>-7</v>
      </c>
      <c r="K146" s="146">
        <f t="shared" si="11"/>
        <v>-70</v>
      </c>
      <c r="L146" s="146"/>
      <c r="M146" s="148">
        <f t="shared" si="12"/>
        <v>0</v>
      </c>
    </row>
    <row r="147" spans="1:13" x14ac:dyDescent="0.25">
      <c r="A147" s="162"/>
      <c r="G147" s="132"/>
      <c r="H147" s="146">
        <v>142</v>
      </c>
      <c r="I147" s="147" t="str">
        <f t="shared" si="13"/>
        <v/>
      </c>
      <c r="J147" s="146">
        <f t="shared" si="14"/>
        <v>-7</v>
      </c>
      <c r="K147" s="146">
        <f t="shared" si="11"/>
        <v>-70</v>
      </c>
      <c r="L147" s="146"/>
      <c r="M147" s="148">
        <f t="shared" si="12"/>
        <v>0</v>
      </c>
    </row>
    <row r="148" spans="1:13" x14ac:dyDescent="0.25">
      <c r="A148" s="162"/>
      <c r="G148" s="132"/>
      <c r="H148" s="146">
        <v>143</v>
      </c>
      <c r="I148" s="147" t="str">
        <f t="shared" si="13"/>
        <v/>
      </c>
      <c r="J148" s="146">
        <f t="shared" si="14"/>
        <v>-7</v>
      </c>
      <c r="K148" s="146">
        <f t="shared" si="11"/>
        <v>-70</v>
      </c>
      <c r="L148" s="146"/>
      <c r="M148" s="148">
        <f t="shared" si="12"/>
        <v>0</v>
      </c>
    </row>
    <row r="149" spans="1:13" x14ac:dyDescent="0.25">
      <c r="A149" s="162"/>
      <c r="G149" s="132"/>
      <c r="H149" s="146">
        <v>144</v>
      </c>
      <c r="I149" s="147" t="str">
        <f t="shared" si="13"/>
        <v/>
      </c>
      <c r="J149" s="146">
        <f t="shared" si="14"/>
        <v>-7</v>
      </c>
      <c r="K149" s="146">
        <f t="shared" si="11"/>
        <v>-70</v>
      </c>
      <c r="L149" s="146"/>
      <c r="M149" s="148">
        <f t="shared" si="12"/>
        <v>0</v>
      </c>
    </row>
    <row r="150" spans="1:13" x14ac:dyDescent="0.25">
      <c r="A150" s="162"/>
      <c r="G150" s="132"/>
      <c r="H150" s="146">
        <v>145</v>
      </c>
      <c r="I150" s="147" t="str">
        <f t="shared" si="13"/>
        <v/>
      </c>
      <c r="J150" s="146">
        <f t="shared" si="14"/>
        <v>-7</v>
      </c>
      <c r="K150" s="146">
        <f t="shared" si="11"/>
        <v>-70</v>
      </c>
      <c r="L150" s="146"/>
      <c r="M150" s="148">
        <f t="shared" si="12"/>
        <v>0</v>
      </c>
    </row>
    <row r="151" spans="1:13" x14ac:dyDescent="0.25">
      <c r="A151" s="162"/>
      <c r="G151" s="132"/>
      <c r="H151" s="146">
        <v>146</v>
      </c>
      <c r="I151" s="147" t="str">
        <f t="shared" si="13"/>
        <v/>
      </c>
      <c r="J151" s="146">
        <f t="shared" si="14"/>
        <v>-7</v>
      </c>
      <c r="K151" s="146">
        <f t="shared" si="11"/>
        <v>-70</v>
      </c>
      <c r="L151" s="146"/>
      <c r="M151" s="148">
        <f t="shared" si="12"/>
        <v>0</v>
      </c>
    </row>
    <row r="152" spans="1:13" x14ac:dyDescent="0.25">
      <c r="A152" s="162"/>
      <c r="G152" s="132"/>
      <c r="H152" s="146">
        <v>147</v>
      </c>
      <c r="I152" s="147" t="str">
        <f t="shared" si="13"/>
        <v/>
      </c>
      <c r="J152" s="146">
        <f t="shared" si="14"/>
        <v>-7</v>
      </c>
      <c r="K152" s="146">
        <f t="shared" si="11"/>
        <v>-70</v>
      </c>
      <c r="L152" s="146"/>
      <c r="M152" s="148">
        <f t="shared" si="12"/>
        <v>0</v>
      </c>
    </row>
    <row r="153" spans="1:13" x14ac:dyDescent="0.25">
      <c r="A153" s="162"/>
      <c r="G153" s="132"/>
      <c r="H153" s="146">
        <v>148</v>
      </c>
      <c r="I153" s="147" t="str">
        <f t="shared" si="13"/>
        <v/>
      </c>
      <c r="J153" s="146">
        <f t="shared" si="14"/>
        <v>-7</v>
      </c>
      <c r="K153" s="146">
        <f t="shared" si="11"/>
        <v>-70</v>
      </c>
      <c r="L153" s="146"/>
      <c r="M153" s="148">
        <f t="shared" si="12"/>
        <v>0</v>
      </c>
    </row>
    <row r="154" spans="1:13" x14ac:dyDescent="0.25">
      <c r="A154" s="162"/>
      <c r="G154" s="132"/>
      <c r="H154" s="146">
        <v>149</v>
      </c>
      <c r="I154" s="147" t="str">
        <f t="shared" si="13"/>
        <v/>
      </c>
      <c r="J154" s="146">
        <f t="shared" si="14"/>
        <v>-7</v>
      </c>
      <c r="K154" s="146">
        <f t="shared" si="11"/>
        <v>-70</v>
      </c>
      <c r="L154" s="146"/>
      <c r="M154" s="148">
        <f t="shared" si="12"/>
        <v>0</v>
      </c>
    </row>
    <row r="155" spans="1:13" x14ac:dyDescent="0.25">
      <c r="A155" s="162"/>
      <c r="G155" s="132"/>
      <c r="H155" s="146">
        <v>150</v>
      </c>
      <c r="I155" s="147" t="str">
        <f t="shared" si="13"/>
        <v/>
      </c>
      <c r="J155" s="146">
        <f t="shared" si="14"/>
        <v>-7</v>
      </c>
      <c r="K155" s="146">
        <f t="shared" si="11"/>
        <v>-70</v>
      </c>
      <c r="L155" s="146"/>
      <c r="M155" s="148">
        <f t="shared" si="12"/>
        <v>0</v>
      </c>
    </row>
    <row r="156" spans="1:13" x14ac:dyDescent="0.25">
      <c r="A156" s="162"/>
      <c r="G156" s="132"/>
      <c r="H156" s="146">
        <v>151</v>
      </c>
      <c r="I156" s="147" t="str">
        <f t="shared" si="13"/>
        <v/>
      </c>
      <c r="J156" s="146">
        <f t="shared" si="14"/>
        <v>-7</v>
      </c>
      <c r="K156" s="146">
        <f t="shared" si="11"/>
        <v>-70</v>
      </c>
      <c r="L156" s="146"/>
      <c r="M156" s="148">
        <f t="shared" si="12"/>
        <v>0</v>
      </c>
    </row>
    <row r="157" spans="1:13" x14ac:dyDescent="0.25">
      <c r="A157" s="162"/>
      <c r="G157" s="132"/>
      <c r="H157" s="146">
        <v>152</v>
      </c>
      <c r="I157" s="147" t="str">
        <f t="shared" si="13"/>
        <v/>
      </c>
      <c r="J157" s="146">
        <f t="shared" si="14"/>
        <v>-7</v>
      </c>
      <c r="K157" s="146">
        <f t="shared" si="11"/>
        <v>-70</v>
      </c>
      <c r="L157" s="146"/>
      <c r="M157" s="148">
        <f t="shared" si="12"/>
        <v>0</v>
      </c>
    </row>
    <row r="158" spans="1:13" x14ac:dyDescent="0.25">
      <c r="A158" s="162"/>
      <c r="G158" s="132"/>
      <c r="H158" s="146">
        <v>153</v>
      </c>
      <c r="I158" s="147" t="str">
        <f t="shared" si="13"/>
        <v/>
      </c>
      <c r="J158" s="146">
        <f t="shared" si="14"/>
        <v>-7</v>
      </c>
      <c r="K158" s="146">
        <f t="shared" si="11"/>
        <v>-70</v>
      </c>
      <c r="L158" s="146"/>
      <c r="M158" s="148">
        <f t="shared" si="12"/>
        <v>0</v>
      </c>
    </row>
    <row r="159" spans="1:13" x14ac:dyDescent="0.25">
      <c r="A159" s="162"/>
      <c r="G159" s="132"/>
      <c r="H159" s="146">
        <v>154</v>
      </c>
      <c r="I159" s="147" t="str">
        <f t="shared" si="13"/>
        <v/>
      </c>
      <c r="J159" s="146">
        <f t="shared" si="14"/>
        <v>-7</v>
      </c>
      <c r="K159" s="146">
        <f t="shared" si="11"/>
        <v>-70</v>
      </c>
      <c r="L159" s="146"/>
      <c r="M159" s="148">
        <f t="shared" si="12"/>
        <v>0</v>
      </c>
    </row>
    <row r="160" spans="1:13" x14ac:dyDescent="0.25">
      <c r="A160" s="162"/>
      <c r="G160" s="132"/>
      <c r="H160" s="146">
        <v>155</v>
      </c>
      <c r="I160" s="147" t="str">
        <f t="shared" si="13"/>
        <v/>
      </c>
      <c r="J160" s="146">
        <f t="shared" si="14"/>
        <v>-7</v>
      </c>
      <c r="K160" s="146">
        <f t="shared" si="11"/>
        <v>-70</v>
      </c>
      <c r="L160" s="146"/>
      <c r="M160" s="148">
        <f t="shared" si="12"/>
        <v>0</v>
      </c>
    </row>
    <row r="161" spans="1:13" x14ac:dyDescent="0.25">
      <c r="A161" s="162"/>
      <c r="G161" s="132"/>
      <c r="H161" s="146">
        <v>156</v>
      </c>
      <c r="I161" s="147" t="str">
        <f t="shared" si="13"/>
        <v/>
      </c>
      <c r="J161" s="146">
        <f t="shared" si="14"/>
        <v>-7</v>
      </c>
      <c r="K161" s="146">
        <f t="shared" si="11"/>
        <v>-70</v>
      </c>
      <c r="L161" s="146"/>
      <c r="M161" s="148">
        <f t="shared" si="12"/>
        <v>0</v>
      </c>
    </row>
    <row r="162" spans="1:13" x14ac:dyDescent="0.25">
      <c r="A162" s="162"/>
      <c r="G162" s="132"/>
      <c r="H162" s="146">
        <v>157</v>
      </c>
      <c r="I162" s="147" t="str">
        <f t="shared" si="13"/>
        <v/>
      </c>
      <c r="J162" s="146">
        <f t="shared" si="14"/>
        <v>-7</v>
      </c>
      <c r="K162" s="146">
        <f t="shared" si="11"/>
        <v>-70</v>
      </c>
      <c r="L162" s="146"/>
      <c r="M162" s="148">
        <f t="shared" si="12"/>
        <v>0</v>
      </c>
    </row>
    <row r="163" spans="1:13" x14ac:dyDescent="0.25">
      <c r="A163" s="162"/>
      <c r="G163" s="132"/>
      <c r="H163" s="146">
        <v>158</v>
      </c>
      <c r="I163" s="147" t="str">
        <f t="shared" si="13"/>
        <v/>
      </c>
      <c r="J163" s="146">
        <f t="shared" si="14"/>
        <v>-7</v>
      </c>
      <c r="K163" s="146">
        <f t="shared" si="11"/>
        <v>-70</v>
      </c>
      <c r="L163" s="146"/>
      <c r="M163" s="148">
        <f t="shared" si="12"/>
        <v>0</v>
      </c>
    </row>
    <row r="164" spans="1:13" x14ac:dyDescent="0.25">
      <c r="A164" s="162"/>
      <c r="G164" s="132"/>
      <c r="H164" s="146">
        <v>159</v>
      </c>
      <c r="I164" s="147" t="str">
        <f t="shared" si="13"/>
        <v/>
      </c>
      <c r="J164" s="146">
        <f t="shared" si="14"/>
        <v>-7</v>
      </c>
      <c r="K164" s="146">
        <f t="shared" si="11"/>
        <v>-70</v>
      </c>
      <c r="L164" s="146"/>
      <c r="M164" s="148">
        <f t="shared" si="12"/>
        <v>0</v>
      </c>
    </row>
    <row r="165" spans="1:13" x14ac:dyDescent="0.25">
      <c r="A165" s="162"/>
      <c r="G165" s="132"/>
      <c r="H165" s="146">
        <v>160</v>
      </c>
      <c r="I165" s="147" t="str">
        <f t="shared" si="13"/>
        <v/>
      </c>
      <c r="J165" s="146">
        <f t="shared" si="14"/>
        <v>-7</v>
      </c>
      <c r="K165" s="146">
        <f t="shared" si="11"/>
        <v>-70</v>
      </c>
      <c r="L165" s="146"/>
      <c r="M165" s="148">
        <f t="shared" si="12"/>
        <v>0</v>
      </c>
    </row>
    <row r="166" spans="1:13" x14ac:dyDescent="0.25">
      <c r="A166" s="162"/>
      <c r="G166" s="132"/>
      <c r="H166" s="146">
        <v>161</v>
      </c>
      <c r="I166" s="147" t="str">
        <f t="shared" si="13"/>
        <v/>
      </c>
      <c r="J166" s="146">
        <f t="shared" si="14"/>
        <v>-7</v>
      </c>
      <c r="K166" s="146">
        <f t="shared" si="11"/>
        <v>-70</v>
      </c>
      <c r="L166" s="146"/>
      <c r="M166" s="148">
        <f t="shared" si="12"/>
        <v>0</v>
      </c>
    </row>
    <row r="167" spans="1:13" x14ac:dyDescent="0.25">
      <c r="A167" s="162"/>
      <c r="G167" s="132"/>
      <c r="H167" s="146">
        <v>162</v>
      </c>
      <c r="I167" s="147" t="str">
        <f t="shared" si="13"/>
        <v/>
      </c>
      <c r="J167" s="146">
        <f t="shared" si="14"/>
        <v>-7</v>
      </c>
      <c r="K167" s="146">
        <f t="shared" si="11"/>
        <v>-70</v>
      </c>
      <c r="L167" s="146"/>
      <c r="M167" s="148">
        <f t="shared" si="12"/>
        <v>0</v>
      </c>
    </row>
    <row r="168" spans="1:13" x14ac:dyDescent="0.25">
      <c r="A168" s="162"/>
      <c r="G168" s="132"/>
      <c r="H168" s="146">
        <v>163</v>
      </c>
      <c r="I168" s="147" t="str">
        <f t="shared" si="13"/>
        <v/>
      </c>
      <c r="J168" s="146">
        <f t="shared" si="14"/>
        <v>-7</v>
      </c>
      <c r="K168" s="146">
        <f t="shared" si="11"/>
        <v>-70</v>
      </c>
      <c r="L168" s="146"/>
      <c r="M168" s="148">
        <f t="shared" si="12"/>
        <v>0</v>
      </c>
    </row>
    <row r="169" spans="1:13" x14ac:dyDescent="0.25">
      <c r="A169" s="162"/>
      <c r="G169" s="132"/>
      <c r="H169" s="146">
        <v>164</v>
      </c>
      <c r="I169" s="147" t="str">
        <f t="shared" si="13"/>
        <v/>
      </c>
      <c r="J169" s="146">
        <f t="shared" si="14"/>
        <v>-7</v>
      </c>
      <c r="K169" s="146">
        <f t="shared" si="11"/>
        <v>-70</v>
      </c>
      <c r="L169" s="146"/>
      <c r="M169" s="148">
        <f t="shared" si="12"/>
        <v>0</v>
      </c>
    </row>
    <row r="170" spans="1:13" x14ac:dyDescent="0.25">
      <c r="A170" s="162"/>
      <c r="G170" s="132"/>
      <c r="H170" s="146">
        <v>165</v>
      </c>
      <c r="I170" s="147" t="str">
        <f t="shared" si="13"/>
        <v/>
      </c>
      <c r="J170" s="146">
        <f t="shared" si="14"/>
        <v>-7</v>
      </c>
      <c r="K170" s="146">
        <f t="shared" si="11"/>
        <v>-70</v>
      </c>
      <c r="L170" s="146"/>
      <c r="M170" s="148">
        <f t="shared" si="12"/>
        <v>0</v>
      </c>
    </row>
    <row r="171" spans="1:13" x14ac:dyDescent="0.25">
      <c r="A171" s="162"/>
      <c r="G171" s="132"/>
      <c r="H171" s="146">
        <v>166</v>
      </c>
      <c r="I171" s="147" t="str">
        <f t="shared" si="13"/>
        <v/>
      </c>
      <c r="J171" s="146">
        <f t="shared" si="14"/>
        <v>-7</v>
      </c>
      <c r="K171" s="146">
        <f t="shared" si="11"/>
        <v>-70</v>
      </c>
      <c r="L171" s="146"/>
      <c r="M171" s="148">
        <f t="shared" si="12"/>
        <v>0</v>
      </c>
    </row>
    <row r="172" spans="1:13" x14ac:dyDescent="0.25">
      <c r="A172" s="162"/>
      <c r="G172" s="132"/>
      <c r="H172" s="146">
        <v>167</v>
      </c>
      <c r="I172" s="147" t="str">
        <f t="shared" si="13"/>
        <v/>
      </c>
      <c r="J172" s="146">
        <f t="shared" si="14"/>
        <v>-7</v>
      </c>
      <c r="K172" s="146">
        <f t="shared" si="11"/>
        <v>-70</v>
      </c>
      <c r="L172" s="146"/>
      <c r="M172" s="148">
        <f t="shared" si="12"/>
        <v>0</v>
      </c>
    </row>
    <row r="173" spans="1:13" x14ac:dyDescent="0.25">
      <c r="A173" s="162"/>
      <c r="G173" s="132"/>
      <c r="H173" s="146">
        <v>168</v>
      </c>
      <c r="I173" s="147" t="str">
        <f t="shared" si="13"/>
        <v/>
      </c>
      <c r="J173" s="146">
        <f t="shared" si="14"/>
        <v>-7</v>
      </c>
      <c r="K173" s="146">
        <f t="shared" si="11"/>
        <v>-70</v>
      </c>
      <c r="L173" s="146"/>
      <c r="M173" s="148">
        <f t="shared" si="12"/>
        <v>0</v>
      </c>
    </row>
    <row r="174" spans="1:13" x14ac:dyDescent="0.25">
      <c r="A174" s="162"/>
      <c r="G174" s="132"/>
      <c r="H174" s="146">
        <v>169</v>
      </c>
      <c r="I174" s="147" t="str">
        <f t="shared" si="13"/>
        <v/>
      </c>
      <c r="J174" s="146">
        <f t="shared" si="14"/>
        <v>-7</v>
      </c>
      <c r="K174" s="146">
        <f t="shared" si="11"/>
        <v>-70</v>
      </c>
      <c r="L174" s="146"/>
      <c r="M174" s="148">
        <f t="shared" si="12"/>
        <v>0</v>
      </c>
    </row>
    <row r="175" spans="1:13" x14ac:dyDescent="0.25">
      <c r="A175" s="162"/>
      <c r="G175" s="132"/>
      <c r="H175" s="146">
        <v>170</v>
      </c>
      <c r="I175" s="147" t="str">
        <f t="shared" si="13"/>
        <v/>
      </c>
      <c r="J175" s="146">
        <f t="shared" si="14"/>
        <v>-7</v>
      </c>
      <c r="K175" s="146">
        <f t="shared" si="11"/>
        <v>-70</v>
      </c>
      <c r="L175" s="146"/>
      <c r="M175" s="148">
        <f t="shared" si="12"/>
        <v>0</v>
      </c>
    </row>
    <row r="176" spans="1:13" x14ac:dyDescent="0.25">
      <c r="A176" s="162"/>
      <c r="G176" s="132"/>
      <c r="H176" s="146">
        <v>171</v>
      </c>
      <c r="I176" s="147" t="str">
        <f t="shared" si="13"/>
        <v/>
      </c>
      <c r="J176" s="146">
        <f t="shared" si="14"/>
        <v>-7</v>
      </c>
      <c r="K176" s="146">
        <f t="shared" si="11"/>
        <v>-70</v>
      </c>
      <c r="L176" s="146"/>
      <c r="M176" s="148">
        <f t="shared" si="12"/>
        <v>0</v>
      </c>
    </row>
    <row r="177" spans="1:13" x14ac:dyDescent="0.25">
      <c r="A177" s="162"/>
      <c r="G177" s="132"/>
      <c r="H177" s="146">
        <v>172</v>
      </c>
      <c r="I177" s="147" t="str">
        <f t="shared" si="13"/>
        <v/>
      </c>
      <c r="J177" s="146">
        <f t="shared" si="14"/>
        <v>-7</v>
      </c>
      <c r="K177" s="146">
        <f t="shared" si="11"/>
        <v>-70</v>
      </c>
      <c r="L177" s="146"/>
      <c r="M177" s="148">
        <f t="shared" si="12"/>
        <v>0</v>
      </c>
    </row>
    <row r="178" spans="1:13" x14ac:dyDescent="0.25">
      <c r="A178" s="162"/>
      <c r="G178" s="132"/>
      <c r="H178" s="146">
        <v>173</v>
      </c>
      <c r="I178" s="147" t="str">
        <f t="shared" si="13"/>
        <v/>
      </c>
      <c r="J178" s="146">
        <f t="shared" si="14"/>
        <v>-7</v>
      </c>
      <c r="K178" s="146">
        <f t="shared" si="11"/>
        <v>-70</v>
      </c>
      <c r="L178" s="146"/>
      <c r="M178" s="148">
        <f t="shared" si="12"/>
        <v>0</v>
      </c>
    </row>
    <row r="179" spans="1:13" x14ac:dyDescent="0.25">
      <c r="A179" s="162"/>
      <c r="G179" s="132"/>
      <c r="H179" s="146">
        <v>174</v>
      </c>
      <c r="I179" s="147" t="str">
        <f t="shared" si="13"/>
        <v/>
      </c>
      <c r="J179" s="146">
        <f t="shared" si="14"/>
        <v>-7</v>
      </c>
      <c r="K179" s="146">
        <f t="shared" si="11"/>
        <v>-70</v>
      </c>
      <c r="L179" s="146"/>
      <c r="M179" s="148">
        <f t="shared" si="12"/>
        <v>0</v>
      </c>
    </row>
    <row r="180" spans="1:13" x14ac:dyDescent="0.25">
      <c r="A180" s="162"/>
      <c r="G180" s="132"/>
      <c r="H180" s="146">
        <v>175</v>
      </c>
      <c r="I180" s="147" t="str">
        <f t="shared" si="13"/>
        <v/>
      </c>
      <c r="J180" s="146">
        <f t="shared" si="14"/>
        <v>-7</v>
      </c>
      <c r="K180" s="146">
        <f t="shared" si="11"/>
        <v>-70</v>
      </c>
      <c r="L180" s="146"/>
      <c r="M180" s="148">
        <f t="shared" si="12"/>
        <v>0</v>
      </c>
    </row>
    <row r="181" spans="1:13" x14ac:dyDescent="0.25">
      <c r="A181" s="162"/>
      <c r="G181" s="132"/>
      <c r="H181" s="146">
        <v>176</v>
      </c>
      <c r="I181" s="147" t="str">
        <f t="shared" si="13"/>
        <v/>
      </c>
      <c r="J181" s="146">
        <f t="shared" si="14"/>
        <v>-7</v>
      </c>
      <c r="K181" s="146">
        <f t="shared" si="11"/>
        <v>-70</v>
      </c>
      <c r="L181" s="146"/>
      <c r="M181" s="148">
        <f t="shared" si="12"/>
        <v>0</v>
      </c>
    </row>
    <row r="182" spans="1:13" x14ac:dyDescent="0.25">
      <c r="A182" s="162"/>
      <c r="G182" s="132"/>
      <c r="H182" s="146">
        <v>177</v>
      </c>
      <c r="I182" s="147" t="str">
        <f t="shared" si="13"/>
        <v/>
      </c>
      <c r="J182" s="146">
        <f t="shared" si="14"/>
        <v>-7</v>
      </c>
      <c r="K182" s="146">
        <f t="shared" si="11"/>
        <v>-70</v>
      </c>
      <c r="L182" s="146"/>
      <c r="M182" s="148">
        <f t="shared" si="12"/>
        <v>0</v>
      </c>
    </row>
    <row r="183" spans="1:13" x14ac:dyDescent="0.25">
      <c r="A183" s="162"/>
      <c r="G183" s="132"/>
      <c r="H183" s="146">
        <v>178</v>
      </c>
      <c r="I183" s="147" t="str">
        <f t="shared" si="13"/>
        <v/>
      </c>
      <c r="J183" s="146">
        <f t="shared" si="14"/>
        <v>-7</v>
      </c>
      <c r="K183" s="146">
        <f t="shared" si="11"/>
        <v>-70</v>
      </c>
      <c r="L183" s="146"/>
      <c r="M183" s="148">
        <f t="shared" si="12"/>
        <v>0</v>
      </c>
    </row>
    <row r="184" spans="1:13" x14ac:dyDescent="0.25">
      <c r="A184" s="162"/>
      <c r="G184" s="132"/>
      <c r="H184" s="146">
        <v>179</v>
      </c>
      <c r="I184" s="147" t="str">
        <f t="shared" si="13"/>
        <v/>
      </c>
      <c r="J184" s="146">
        <f t="shared" si="14"/>
        <v>-7</v>
      </c>
      <c r="K184" s="146">
        <f t="shared" si="11"/>
        <v>-70</v>
      </c>
      <c r="L184" s="146"/>
      <c r="M184" s="148">
        <f t="shared" si="12"/>
        <v>0</v>
      </c>
    </row>
    <row r="185" spans="1:13" x14ac:dyDescent="0.25">
      <c r="A185" s="162"/>
      <c r="G185" s="132"/>
      <c r="H185" s="146">
        <v>180</v>
      </c>
      <c r="I185" s="147" t="str">
        <f t="shared" si="13"/>
        <v/>
      </c>
      <c r="J185" s="146">
        <f t="shared" si="14"/>
        <v>-7</v>
      </c>
      <c r="K185" s="146">
        <f t="shared" si="11"/>
        <v>-70</v>
      </c>
      <c r="L185" s="146"/>
      <c r="M185" s="148">
        <f t="shared" si="12"/>
        <v>0</v>
      </c>
    </row>
    <row r="186" spans="1:13" x14ac:dyDescent="0.25">
      <c r="A186" s="162"/>
      <c r="G186" s="132"/>
      <c r="H186" s="146">
        <v>181</v>
      </c>
      <c r="I186" s="147" t="str">
        <f t="shared" si="13"/>
        <v/>
      </c>
      <c r="J186" s="146">
        <f t="shared" si="14"/>
        <v>-7</v>
      </c>
      <c r="K186" s="146">
        <f t="shared" si="11"/>
        <v>-70</v>
      </c>
      <c r="L186" s="146"/>
      <c r="M186" s="148">
        <f t="shared" si="12"/>
        <v>0</v>
      </c>
    </row>
    <row r="187" spans="1:13" x14ac:dyDescent="0.25">
      <c r="A187" s="162"/>
      <c r="G187" s="132"/>
      <c r="H187" s="146">
        <v>182</v>
      </c>
      <c r="I187" s="147" t="str">
        <f t="shared" si="13"/>
        <v/>
      </c>
      <c r="J187" s="146">
        <f t="shared" si="14"/>
        <v>-7</v>
      </c>
      <c r="K187" s="146">
        <f t="shared" si="11"/>
        <v>-70</v>
      </c>
      <c r="L187" s="146"/>
      <c r="M187" s="148">
        <f t="shared" si="12"/>
        <v>0</v>
      </c>
    </row>
    <row r="188" spans="1:13" x14ac:dyDescent="0.25">
      <c r="A188" s="162"/>
      <c r="G188" s="132"/>
      <c r="H188" s="146">
        <v>183</v>
      </c>
      <c r="I188" s="147" t="str">
        <f t="shared" si="13"/>
        <v/>
      </c>
      <c r="J188" s="146">
        <f t="shared" si="14"/>
        <v>-7</v>
      </c>
      <c r="K188" s="146">
        <f t="shared" si="11"/>
        <v>-70</v>
      </c>
      <c r="L188" s="146"/>
      <c r="M188" s="148">
        <f t="shared" si="12"/>
        <v>0</v>
      </c>
    </row>
    <row r="189" spans="1:13" x14ac:dyDescent="0.25">
      <c r="A189" s="162"/>
      <c r="G189" s="132"/>
      <c r="H189" s="146">
        <v>184</v>
      </c>
      <c r="I189" s="147" t="str">
        <f t="shared" si="13"/>
        <v/>
      </c>
      <c r="J189" s="146">
        <f t="shared" si="14"/>
        <v>-7</v>
      </c>
      <c r="K189" s="146">
        <f t="shared" si="11"/>
        <v>-70</v>
      </c>
      <c r="L189" s="146"/>
      <c r="M189" s="148">
        <f t="shared" si="12"/>
        <v>0</v>
      </c>
    </row>
    <row r="190" spans="1:13" x14ac:dyDescent="0.25">
      <c r="A190" s="162"/>
      <c r="G190" s="132"/>
      <c r="H190" s="146">
        <v>185</v>
      </c>
      <c r="I190" s="147" t="str">
        <f t="shared" si="13"/>
        <v/>
      </c>
      <c r="J190" s="146">
        <f t="shared" si="14"/>
        <v>-7</v>
      </c>
      <c r="K190" s="146">
        <f t="shared" si="11"/>
        <v>-70</v>
      </c>
      <c r="L190" s="146"/>
      <c r="M190" s="148">
        <f t="shared" si="12"/>
        <v>0</v>
      </c>
    </row>
    <row r="191" spans="1:13" x14ac:dyDescent="0.25">
      <c r="A191" s="162"/>
      <c r="G191" s="132"/>
      <c r="H191" s="146">
        <v>186</v>
      </c>
      <c r="I191" s="147" t="str">
        <f t="shared" si="13"/>
        <v/>
      </c>
      <c r="J191" s="146">
        <f t="shared" si="14"/>
        <v>-7</v>
      </c>
      <c r="K191" s="146">
        <f t="shared" si="11"/>
        <v>-70</v>
      </c>
      <c r="L191" s="146"/>
      <c r="M191" s="148">
        <f t="shared" si="12"/>
        <v>0</v>
      </c>
    </row>
    <row r="192" spans="1:13" x14ac:dyDescent="0.25">
      <c r="A192" s="162"/>
      <c r="G192" s="132"/>
      <c r="H192" s="146">
        <v>187</v>
      </c>
      <c r="I192" s="147" t="str">
        <f t="shared" si="13"/>
        <v/>
      </c>
      <c r="J192" s="146">
        <f t="shared" si="14"/>
        <v>-7</v>
      </c>
      <c r="K192" s="146">
        <f t="shared" si="11"/>
        <v>-70</v>
      </c>
      <c r="L192" s="146"/>
      <c r="M192" s="148">
        <f t="shared" si="12"/>
        <v>0</v>
      </c>
    </row>
    <row r="193" spans="1:13" x14ac:dyDescent="0.25">
      <c r="A193" s="162"/>
      <c r="G193" s="132"/>
      <c r="H193" s="146">
        <v>188</v>
      </c>
      <c r="I193" s="147" t="str">
        <f t="shared" si="13"/>
        <v/>
      </c>
      <c r="J193" s="146">
        <f t="shared" si="14"/>
        <v>-7</v>
      </c>
      <c r="K193" s="146">
        <f t="shared" si="11"/>
        <v>-70</v>
      </c>
      <c r="L193" s="146"/>
      <c r="M193" s="148">
        <f t="shared" si="12"/>
        <v>0</v>
      </c>
    </row>
    <row r="194" spans="1:13" x14ac:dyDescent="0.25">
      <c r="A194" s="162"/>
      <c r="G194" s="132"/>
      <c r="H194" s="146">
        <v>189</v>
      </c>
      <c r="I194" s="147" t="str">
        <f t="shared" si="13"/>
        <v/>
      </c>
      <c r="J194" s="146">
        <f t="shared" si="14"/>
        <v>-7</v>
      </c>
      <c r="K194" s="146">
        <f t="shared" si="11"/>
        <v>-70</v>
      </c>
      <c r="L194" s="146"/>
      <c r="M194" s="148">
        <f t="shared" si="12"/>
        <v>0</v>
      </c>
    </row>
    <row r="195" spans="1:13" x14ac:dyDescent="0.25">
      <c r="A195" s="162"/>
      <c r="G195" s="132"/>
      <c r="H195" s="146">
        <v>190</v>
      </c>
      <c r="I195" s="147" t="str">
        <f t="shared" si="13"/>
        <v/>
      </c>
      <c r="J195" s="146">
        <f t="shared" si="14"/>
        <v>-7</v>
      </c>
      <c r="K195" s="146">
        <f t="shared" si="11"/>
        <v>-70</v>
      </c>
      <c r="L195" s="146"/>
      <c r="M195" s="148">
        <f t="shared" si="12"/>
        <v>0</v>
      </c>
    </row>
    <row r="196" spans="1:13" x14ac:dyDescent="0.25">
      <c r="A196" s="162"/>
      <c r="G196" s="132"/>
      <c r="H196" s="146">
        <v>191</v>
      </c>
      <c r="I196" s="147" t="str">
        <f t="shared" si="13"/>
        <v/>
      </c>
      <c r="J196" s="146">
        <f t="shared" si="14"/>
        <v>-7</v>
      </c>
      <c r="K196" s="146">
        <f t="shared" si="11"/>
        <v>-70</v>
      </c>
      <c r="L196" s="146"/>
      <c r="M196" s="148">
        <f t="shared" si="12"/>
        <v>0</v>
      </c>
    </row>
    <row r="197" spans="1:13" x14ac:dyDescent="0.25">
      <c r="A197" s="162"/>
      <c r="G197" s="132"/>
      <c r="H197" s="146">
        <v>192</v>
      </c>
      <c r="I197" s="147" t="str">
        <f t="shared" si="13"/>
        <v/>
      </c>
      <c r="J197" s="146">
        <f t="shared" si="14"/>
        <v>-7</v>
      </c>
      <c r="K197" s="146">
        <f t="shared" si="11"/>
        <v>-70</v>
      </c>
      <c r="L197" s="146"/>
      <c r="M197" s="148">
        <f t="shared" si="12"/>
        <v>0</v>
      </c>
    </row>
    <row r="198" spans="1:13" x14ac:dyDescent="0.25">
      <c r="A198" s="162"/>
      <c r="G198" s="132"/>
      <c r="H198" s="146">
        <v>193</v>
      </c>
      <c r="I198" s="147" t="str">
        <f t="shared" si="13"/>
        <v/>
      </c>
      <c r="J198" s="146">
        <f t="shared" si="14"/>
        <v>-7</v>
      </c>
      <c r="K198" s="146">
        <f t="shared" ref="K198:K261" si="15">J198*$J$2</f>
        <v>-70</v>
      </c>
      <c r="L198" s="146"/>
      <c r="M198" s="148">
        <f t="shared" ref="M198:M261" si="16">IF(I198&lt;&gt;"",K198+I198+L198,0)</f>
        <v>0</v>
      </c>
    </row>
    <row r="199" spans="1:13" x14ac:dyDescent="0.25">
      <c r="A199" s="162"/>
      <c r="G199" s="132"/>
      <c r="H199" s="146">
        <v>194</v>
      </c>
      <c r="I199" s="147" t="str">
        <f t="shared" ref="I199:I262" si="17">IF(H199&lt;$H$2+1,($I$2-($I$2-1)*(LOG(H199)/LOG($H$2))),"")</f>
        <v/>
      </c>
      <c r="J199" s="146">
        <f t="shared" ref="J199:J262" si="18">INT(LOG($H$2,2))-ROUNDUP(LOG(H199,2),0)+IF(OR($H$2=1,$H$2=2,$H$2=4,$H$2=8,$H$2=16,$H$2=32,$H$2=64,$H$2=128,$H$2=256),0,1)</f>
        <v>-7</v>
      </c>
      <c r="K199" s="146">
        <f t="shared" si="15"/>
        <v>-70</v>
      </c>
      <c r="L199" s="146"/>
      <c r="M199" s="148">
        <f t="shared" si="16"/>
        <v>0</v>
      </c>
    </row>
    <row r="200" spans="1:13" x14ac:dyDescent="0.25">
      <c r="A200" s="162"/>
      <c r="G200" s="132"/>
      <c r="H200" s="146">
        <v>195</v>
      </c>
      <c r="I200" s="147" t="str">
        <f t="shared" si="17"/>
        <v/>
      </c>
      <c r="J200" s="146">
        <f t="shared" si="18"/>
        <v>-7</v>
      </c>
      <c r="K200" s="146">
        <f t="shared" si="15"/>
        <v>-70</v>
      </c>
      <c r="L200" s="146"/>
      <c r="M200" s="148">
        <f t="shared" si="16"/>
        <v>0</v>
      </c>
    </row>
    <row r="201" spans="1:13" x14ac:dyDescent="0.25">
      <c r="A201" s="162"/>
      <c r="G201" s="132"/>
      <c r="H201" s="146">
        <v>196</v>
      </c>
      <c r="I201" s="147" t="str">
        <f t="shared" si="17"/>
        <v/>
      </c>
      <c r="J201" s="146">
        <f t="shared" si="18"/>
        <v>-7</v>
      </c>
      <c r="K201" s="146">
        <f t="shared" si="15"/>
        <v>-70</v>
      </c>
      <c r="L201" s="146"/>
      <c r="M201" s="148">
        <f t="shared" si="16"/>
        <v>0</v>
      </c>
    </row>
    <row r="202" spans="1:13" x14ac:dyDescent="0.25">
      <c r="A202" s="162"/>
      <c r="G202" s="132"/>
      <c r="H202" s="146">
        <v>197</v>
      </c>
      <c r="I202" s="147" t="str">
        <f t="shared" si="17"/>
        <v/>
      </c>
      <c r="J202" s="146">
        <f t="shared" si="18"/>
        <v>-7</v>
      </c>
      <c r="K202" s="146">
        <f t="shared" si="15"/>
        <v>-70</v>
      </c>
      <c r="L202" s="146"/>
      <c r="M202" s="148">
        <f t="shared" si="16"/>
        <v>0</v>
      </c>
    </row>
    <row r="203" spans="1:13" x14ac:dyDescent="0.25">
      <c r="A203" s="162"/>
      <c r="G203" s="132"/>
      <c r="H203" s="146">
        <v>198</v>
      </c>
      <c r="I203" s="147" t="str">
        <f t="shared" si="17"/>
        <v/>
      </c>
      <c r="J203" s="146">
        <f t="shared" si="18"/>
        <v>-7</v>
      </c>
      <c r="K203" s="146">
        <f t="shared" si="15"/>
        <v>-70</v>
      </c>
      <c r="L203" s="146"/>
      <c r="M203" s="148">
        <f t="shared" si="16"/>
        <v>0</v>
      </c>
    </row>
    <row r="204" spans="1:13" x14ac:dyDescent="0.25">
      <c r="A204" s="162"/>
      <c r="G204" s="132"/>
      <c r="H204" s="146">
        <v>199</v>
      </c>
      <c r="I204" s="147" t="str">
        <f t="shared" si="17"/>
        <v/>
      </c>
      <c r="J204" s="146">
        <f t="shared" si="18"/>
        <v>-7</v>
      </c>
      <c r="K204" s="146">
        <f t="shared" si="15"/>
        <v>-70</v>
      </c>
      <c r="L204" s="146"/>
      <c r="M204" s="148">
        <f t="shared" si="16"/>
        <v>0</v>
      </c>
    </row>
    <row r="205" spans="1:13" x14ac:dyDescent="0.25">
      <c r="A205" s="162"/>
      <c r="G205" s="132"/>
      <c r="H205" s="146">
        <v>200</v>
      </c>
      <c r="I205" s="147" t="str">
        <f t="shared" si="17"/>
        <v/>
      </c>
      <c r="J205" s="146">
        <f t="shared" si="18"/>
        <v>-7</v>
      </c>
      <c r="K205" s="146">
        <f t="shared" si="15"/>
        <v>-70</v>
      </c>
      <c r="L205" s="146"/>
      <c r="M205" s="148">
        <f t="shared" si="16"/>
        <v>0</v>
      </c>
    </row>
    <row r="206" spans="1:13" x14ac:dyDescent="0.25">
      <c r="A206" s="162"/>
      <c r="G206" s="132"/>
      <c r="H206" s="146">
        <v>201</v>
      </c>
      <c r="I206" s="147" t="str">
        <f t="shared" si="17"/>
        <v/>
      </c>
      <c r="J206" s="146">
        <f t="shared" si="18"/>
        <v>-7</v>
      </c>
      <c r="K206" s="146">
        <f t="shared" si="15"/>
        <v>-70</v>
      </c>
      <c r="L206" s="146"/>
      <c r="M206" s="148">
        <f t="shared" si="16"/>
        <v>0</v>
      </c>
    </row>
    <row r="207" spans="1:13" x14ac:dyDescent="0.25">
      <c r="A207" s="162"/>
      <c r="G207" s="132"/>
      <c r="H207" s="146">
        <v>202</v>
      </c>
      <c r="I207" s="147" t="str">
        <f t="shared" si="17"/>
        <v/>
      </c>
      <c r="J207" s="146">
        <f t="shared" si="18"/>
        <v>-7</v>
      </c>
      <c r="K207" s="146">
        <f t="shared" si="15"/>
        <v>-70</v>
      </c>
      <c r="L207" s="146"/>
      <c r="M207" s="148">
        <f t="shared" si="16"/>
        <v>0</v>
      </c>
    </row>
    <row r="208" spans="1:13" x14ac:dyDescent="0.25">
      <c r="A208" s="162"/>
      <c r="G208" s="132"/>
      <c r="H208" s="146">
        <v>203</v>
      </c>
      <c r="I208" s="147" t="str">
        <f t="shared" si="17"/>
        <v/>
      </c>
      <c r="J208" s="146">
        <f t="shared" si="18"/>
        <v>-7</v>
      </c>
      <c r="K208" s="146">
        <f t="shared" si="15"/>
        <v>-70</v>
      </c>
      <c r="L208" s="146"/>
      <c r="M208" s="148">
        <f t="shared" si="16"/>
        <v>0</v>
      </c>
    </row>
    <row r="209" spans="1:13" x14ac:dyDescent="0.25">
      <c r="A209" s="162"/>
      <c r="G209" s="132"/>
      <c r="H209" s="146">
        <v>204</v>
      </c>
      <c r="I209" s="147" t="str">
        <f t="shared" si="17"/>
        <v/>
      </c>
      <c r="J209" s="146">
        <f t="shared" si="18"/>
        <v>-7</v>
      </c>
      <c r="K209" s="146">
        <f t="shared" si="15"/>
        <v>-70</v>
      </c>
      <c r="L209" s="146"/>
      <c r="M209" s="148">
        <f t="shared" si="16"/>
        <v>0</v>
      </c>
    </row>
    <row r="210" spans="1:13" x14ac:dyDescent="0.25">
      <c r="A210" s="162"/>
      <c r="G210" s="132"/>
      <c r="H210" s="146">
        <v>205</v>
      </c>
      <c r="I210" s="147" t="str">
        <f t="shared" si="17"/>
        <v/>
      </c>
      <c r="J210" s="146">
        <f t="shared" si="18"/>
        <v>-7</v>
      </c>
      <c r="K210" s="146">
        <f t="shared" si="15"/>
        <v>-70</v>
      </c>
      <c r="L210" s="146"/>
      <c r="M210" s="148">
        <f t="shared" si="16"/>
        <v>0</v>
      </c>
    </row>
    <row r="211" spans="1:13" x14ac:dyDescent="0.25">
      <c r="A211" s="162"/>
      <c r="G211" s="132"/>
      <c r="H211" s="146">
        <v>206</v>
      </c>
      <c r="I211" s="147" t="str">
        <f t="shared" si="17"/>
        <v/>
      </c>
      <c r="J211" s="146">
        <f t="shared" si="18"/>
        <v>-7</v>
      </c>
      <c r="K211" s="146">
        <f t="shared" si="15"/>
        <v>-70</v>
      </c>
      <c r="L211" s="146"/>
      <c r="M211" s="148">
        <f t="shared" si="16"/>
        <v>0</v>
      </c>
    </row>
    <row r="212" spans="1:13" x14ac:dyDescent="0.25">
      <c r="A212" s="162"/>
      <c r="G212" s="132"/>
      <c r="H212" s="146">
        <v>207</v>
      </c>
      <c r="I212" s="147" t="str">
        <f t="shared" si="17"/>
        <v/>
      </c>
      <c r="J212" s="146">
        <f t="shared" si="18"/>
        <v>-7</v>
      </c>
      <c r="K212" s="146">
        <f t="shared" si="15"/>
        <v>-70</v>
      </c>
      <c r="L212" s="146"/>
      <c r="M212" s="148">
        <f t="shared" si="16"/>
        <v>0</v>
      </c>
    </row>
    <row r="213" spans="1:13" x14ac:dyDescent="0.25">
      <c r="A213" s="162"/>
      <c r="G213" s="132"/>
      <c r="H213" s="146">
        <v>208</v>
      </c>
      <c r="I213" s="147" t="str">
        <f t="shared" si="17"/>
        <v/>
      </c>
      <c r="J213" s="146">
        <f t="shared" si="18"/>
        <v>-7</v>
      </c>
      <c r="K213" s="146">
        <f t="shared" si="15"/>
        <v>-70</v>
      </c>
      <c r="L213" s="146"/>
      <c r="M213" s="148">
        <f t="shared" si="16"/>
        <v>0</v>
      </c>
    </row>
    <row r="214" spans="1:13" x14ac:dyDescent="0.25">
      <c r="A214" s="162"/>
      <c r="G214" s="132"/>
      <c r="H214" s="146">
        <v>209</v>
      </c>
      <c r="I214" s="147" t="str">
        <f t="shared" si="17"/>
        <v/>
      </c>
      <c r="J214" s="146">
        <f t="shared" si="18"/>
        <v>-7</v>
      </c>
      <c r="K214" s="146">
        <f t="shared" si="15"/>
        <v>-70</v>
      </c>
      <c r="L214" s="146"/>
      <c r="M214" s="148">
        <f t="shared" si="16"/>
        <v>0</v>
      </c>
    </row>
    <row r="215" spans="1:13" x14ac:dyDescent="0.25">
      <c r="A215" s="162"/>
      <c r="G215" s="132"/>
      <c r="H215" s="146">
        <v>210</v>
      </c>
      <c r="I215" s="147" t="str">
        <f t="shared" si="17"/>
        <v/>
      </c>
      <c r="J215" s="146">
        <f t="shared" si="18"/>
        <v>-7</v>
      </c>
      <c r="K215" s="146">
        <f t="shared" si="15"/>
        <v>-70</v>
      </c>
      <c r="L215" s="146"/>
      <c r="M215" s="148">
        <f t="shared" si="16"/>
        <v>0</v>
      </c>
    </row>
    <row r="216" spans="1:13" x14ac:dyDescent="0.25">
      <c r="A216" s="162"/>
      <c r="G216" s="132"/>
      <c r="H216" s="146">
        <v>211</v>
      </c>
      <c r="I216" s="147" t="str">
        <f t="shared" si="17"/>
        <v/>
      </c>
      <c r="J216" s="146">
        <f t="shared" si="18"/>
        <v>-7</v>
      </c>
      <c r="K216" s="146">
        <f t="shared" si="15"/>
        <v>-70</v>
      </c>
      <c r="L216" s="146"/>
      <c r="M216" s="148">
        <f t="shared" si="16"/>
        <v>0</v>
      </c>
    </row>
    <row r="217" spans="1:13" x14ac:dyDescent="0.25">
      <c r="A217" s="162"/>
      <c r="G217" s="132"/>
      <c r="H217" s="146">
        <v>212</v>
      </c>
      <c r="I217" s="147" t="str">
        <f t="shared" si="17"/>
        <v/>
      </c>
      <c r="J217" s="146">
        <f t="shared" si="18"/>
        <v>-7</v>
      </c>
      <c r="K217" s="146">
        <f t="shared" si="15"/>
        <v>-70</v>
      </c>
      <c r="L217" s="146"/>
      <c r="M217" s="148">
        <f t="shared" si="16"/>
        <v>0</v>
      </c>
    </row>
    <row r="218" spans="1:13" x14ac:dyDescent="0.25">
      <c r="A218" s="162"/>
      <c r="G218" s="132"/>
      <c r="H218" s="146">
        <v>213</v>
      </c>
      <c r="I218" s="147" t="str">
        <f t="shared" si="17"/>
        <v/>
      </c>
      <c r="J218" s="146">
        <f t="shared" si="18"/>
        <v>-7</v>
      </c>
      <c r="K218" s="146">
        <f t="shared" si="15"/>
        <v>-70</v>
      </c>
      <c r="L218" s="146"/>
      <c r="M218" s="148">
        <f t="shared" si="16"/>
        <v>0</v>
      </c>
    </row>
    <row r="219" spans="1:13" x14ac:dyDescent="0.25">
      <c r="A219" s="162"/>
      <c r="G219" s="132"/>
      <c r="H219" s="146">
        <v>214</v>
      </c>
      <c r="I219" s="147" t="str">
        <f t="shared" si="17"/>
        <v/>
      </c>
      <c r="J219" s="146">
        <f t="shared" si="18"/>
        <v>-7</v>
      </c>
      <c r="K219" s="146">
        <f t="shared" si="15"/>
        <v>-70</v>
      </c>
      <c r="L219" s="146"/>
      <c r="M219" s="148">
        <f t="shared" si="16"/>
        <v>0</v>
      </c>
    </row>
    <row r="220" spans="1:13" x14ac:dyDescent="0.25">
      <c r="A220" s="162"/>
      <c r="G220" s="132"/>
      <c r="H220" s="146">
        <v>215</v>
      </c>
      <c r="I220" s="147" t="str">
        <f t="shared" si="17"/>
        <v/>
      </c>
      <c r="J220" s="146">
        <f t="shared" si="18"/>
        <v>-7</v>
      </c>
      <c r="K220" s="146">
        <f t="shared" si="15"/>
        <v>-70</v>
      </c>
      <c r="L220" s="146"/>
      <c r="M220" s="148">
        <f t="shared" si="16"/>
        <v>0</v>
      </c>
    </row>
    <row r="221" spans="1:13" x14ac:dyDescent="0.25">
      <c r="A221" s="162"/>
      <c r="G221" s="132"/>
      <c r="H221" s="146">
        <v>216</v>
      </c>
      <c r="I221" s="147" t="str">
        <f t="shared" si="17"/>
        <v/>
      </c>
      <c r="J221" s="146">
        <f t="shared" si="18"/>
        <v>-7</v>
      </c>
      <c r="K221" s="146">
        <f t="shared" si="15"/>
        <v>-70</v>
      </c>
      <c r="L221" s="146"/>
      <c r="M221" s="148">
        <f t="shared" si="16"/>
        <v>0</v>
      </c>
    </row>
    <row r="222" spans="1:13" x14ac:dyDescent="0.25">
      <c r="A222" s="162"/>
      <c r="G222" s="132"/>
      <c r="H222" s="146">
        <v>217</v>
      </c>
      <c r="I222" s="147" t="str">
        <f t="shared" si="17"/>
        <v/>
      </c>
      <c r="J222" s="146">
        <f t="shared" si="18"/>
        <v>-7</v>
      </c>
      <c r="K222" s="146">
        <f t="shared" si="15"/>
        <v>-70</v>
      </c>
      <c r="L222" s="146"/>
      <c r="M222" s="148">
        <f t="shared" si="16"/>
        <v>0</v>
      </c>
    </row>
    <row r="223" spans="1:13" x14ac:dyDescent="0.25">
      <c r="A223" s="162"/>
      <c r="G223" s="132"/>
      <c r="H223" s="146">
        <v>218</v>
      </c>
      <c r="I223" s="147" t="str">
        <f t="shared" si="17"/>
        <v/>
      </c>
      <c r="J223" s="146">
        <f t="shared" si="18"/>
        <v>-7</v>
      </c>
      <c r="K223" s="146">
        <f t="shared" si="15"/>
        <v>-70</v>
      </c>
      <c r="L223" s="146"/>
      <c r="M223" s="148">
        <f t="shared" si="16"/>
        <v>0</v>
      </c>
    </row>
    <row r="224" spans="1:13" x14ac:dyDescent="0.25">
      <c r="A224" s="162"/>
      <c r="G224" s="132"/>
      <c r="H224" s="146">
        <v>219</v>
      </c>
      <c r="I224" s="147" t="str">
        <f t="shared" si="17"/>
        <v/>
      </c>
      <c r="J224" s="146">
        <f t="shared" si="18"/>
        <v>-7</v>
      </c>
      <c r="K224" s="146">
        <f t="shared" si="15"/>
        <v>-70</v>
      </c>
      <c r="L224" s="146"/>
      <c r="M224" s="148">
        <f t="shared" si="16"/>
        <v>0</v>
      </c>
    </row>
    <row r="225" spans="1:13" x14ac:dyDescent="0.25">
      <c r="A225" s="162"/>
      <c r="G225" s="132"/>
      <c r="H225" s="146">
        <v>220</v>
      </c>
      <c r="I225" s="147" t="str">
        <f t="shared" si="17"/>
        <v/>
      </c>
      <c r="J225" s="146">
        <f t="shared" si="18"/>
        <v>-7</v>
      </c>
      <c r="K225" s="146">
        <f t="shared" si="15"/>
        <v>-70</v>
      </c>
      <c r="L225" s="146"/>
      <c r="M225" s="148">
        <f t="shared" si="16"/>
        <v>0</v>
      </c>
    </row>
    <row r="226" spans="1:13" x14ac:dyDescent="0.25">
      <c r="A226" s="162"/>
      <c r="G226" s="132"/>
      <c r="H226" s="146">
        <v>221</v>
      </c>
      <c r="I226" s="147" t="str">
        <f t="shared" si="17"/>
        <v/>
      </c>
      <c r="J226" s="146">
        <f t="shared" si="18"/>
        <v>-7</v>
      </c>
      <c r="K226" s="146">
        <f t="shared" si="15"/>
        <v>-70</v>
      </c>
      <c r="L226" s="146"/>
      <c r="M226" s="148">
        <f t="shared" si="16"/>
        <v>0</v>
      </c>
    </row>
    <row r="227" spans="1:13" x14ac:dyDescent="0.25">
      <c r="A227" s="162"/>
      <c r="G227" s="132"/>
      <c r="H227" s="146">
        <v>222</v>
      </c>
      <c r="I227" s="147" t="str">
        <f t="shared" si="17"/>
        <v/>
      </c>
      <c r="J227" s="146">
        <f t="shared" si="18"/>
        <v>-7</v>
      </c>
      <c r="K227" s="146">
        <f t="shared" si="15"/>
        <v>-70</v>
      </c>
      <c r="L227" s="146"/>
      <c r="M227" s="148">
        <f t="shared" si="16"/>
        <v>0</v>
      </c>
    </row>
    <row r="228" spans="1:13" x14ac:dyDescent="0.25">
      <c r="A228" s="162"/>
      <c r="G228" s="132"/>
      <c r="H228" s="146">
        <v>223</v>
      </c>
      <c r="I228" s="147" t="str">
        <f t="shared" si="17"/>
        <v/>
      </c>
      <c r="J228" s="146">
        <f t="shared" si="18"/>
        <v>-7</v>
      </c>
      <c r="K228" s="146">
        <f t="shared" si="15"/>
        <v>-70</v>
      </c>
      <c r="L228" s="146"/>
      <c r="M228" s="148">
        <f t="shared" si="16"/>
        <v>0</v>
      </c>
    </row>
    <row r="229" spans="1:13" x14ac:dyDescent="0.25">
      <c r="A229" s="162"/>
      <c r="G229" s="132"/>
      <c r="H229" s="146">
        <v>224</v>
      </c>
      <c r="I229" s="147" t="str">
        <f t="shared" si="17"/>
        <v/>
      </c>
      <c r="J229" s="146">
        <f t="shared" si="18"/>
        <v>-7</v>
      </c>
      <c r="K229" s="146">
        <f t="shared" si="15"/>
        <v>-70</v>
      </c>
      <c r="L229" s="146"/>
      <c r="M229" s="148">
        <f t="shared" si="16"/>
        <v>0</v>
      </c>
    </row>
    <row r="230" spans="1:13" x14ac:dyDescent="0.25">
      <c r="A230" s="162"/>
      <c r="G230" s="132"/>
      <c r="H230" s="146">
        <v>225</v>
      </c>
      <c r="I230" s="147" t="str">
        <f t="shared" si="17"/>
        <v/>
      </c>
      <c r="J230" s="146">
        <f t="shared" si="18"/>
        <v>-7</v>
      </c>
      <c r="K230" s="146">
        <f t="shared" si="15"/>
        <v>-70</v>
      </c>
      <c r="L230" s="146"/>
      <c r="M230" s="148">
        <f t="shared" si="16"/>
        <v>0</v>
      </c>
    </row>
    <row r="231" spans="1:13" x14ac:dyDescent="0.25">
      <c r="A231" s="162"/>
      <c r="G231" s="132"/>
      <c r="H231" s="146">
        <v>226</v>
      </c>
      <c r="I231" s="147" t="str">
        <f t="shared" si="17"/>
        <v/>
      </c>
      <c r="J231" s="146">
        <f t="shared" si="18"/>
        <v>-7</v>
      </c>
      <c r="K231" s="146">
        <f t="shared" si="15"/>
        <v>-70</v>
      </c>
      <c r="L231" s="146"/>
      <c r="M231" s="148">
        <f t="shared" si="16"/>
        <v>0</v>
      </c>
    </row>
    <row r="232" spans="1:13" x14ac:dyDescent="0.25">
      <c r="A232" s="162"/>
      <c r="G232" s="132"/>
      <c r="H232" s="146">
        <v>227</v>
      </c>
      <c r="I232" s="147" t="str">
        <f t="shared" si="17"/>
        <v/>
      </c>
      <c r="J232" s="146">
        <f t="shared" si="18"/>
        <v>-7</v>
      </c>
      <c r="K232" s="146">
        <f t="shared" si="15"/>
        <v>-70</v>
      </c>
      <c r="L232" s="146"/>
      <c r="M232" s="148">
        <f t="shared" si="16"/>
        <v>0</v>
      </c>
    </row>
    <row r="233" spans="1:13" x14ac:dyDescent="0.25">
      <c r="A233" s="162"/>
      <c r="G233" s="132"/>
      <c r="H233" s="146">
        <v>228</v>
      </c>
      <c r="I233" s="147" t="str">
        <f t="shared" si="17"/>
        <v/>
      </c>
      <c r="J233" s="146">
        <f t="shared" si="18"/>
        <v>-7</v>
      </c>
      <c r="K233" s="146">
        <f t="shared" si="15"/>
        <v>-70</v>
      </c>
      <c r="L233" s="146"/>
      <c r="M233" s="148">
        <f t="shared" si="16"/>
        <v>0</v>
      </c>
    </row>
    <row r="234" spans="1:13" x14ac:dyDescent="0.25">
      <c r="A234" s="162"/>
      <c r="G234" s="132"/>
      <c r="H234" s="146">
        <v>229</v>
      </c>
      <c r="I234" s="147" t="str">
        <f t="shared" si="17"/>
        <v/>
      </c>
      <c r="J234" s="146">
        <f t="shared" si="18"/>
        <v>-7</v>
      </c>
      <c r="K234" s="146">
        <f t="shared" si="15"/>
        <v>-70</v>
      </c>
      <c r="L234" s="146"/>
      <c r="M234" s="148">
        <f t="shared" si="16"/>
        <v>0</v>
      </c>
    </row>
    <row r="235" spans="1:13" x14ac:dyDescent="0.25">
      <c r="A235" s="162"/>
      <c r="G235" s="132"/>
      <c r="H235" s="146">
        <v>230</v>
      </c>
      <c r="I235" s="147" t="str">
        <f t="shared" si="17"/>
        <v/>
      </c>
      <c r="J235" s="146">
        <f t="shared" si="18"/>
        <v>-7</v>
      </c>
      <c r="K235" s="146">
        <f t="shared" si="15"/>
        <v>-70</v>
      </c>
      <c r="L235" s="146"/>
      <c r="M235" s="148">
        <f t="shared" si="16"/>
        <v>0</v>
      </c>
    </row>
    <row r="236" spans="1:13" x14ac:dyDescent="0.25">
      <c r="A236" s="162"/>
      <c r="G236" s="132"/>
      <c r="H236" s="146">
        <v>231</v>
      </c>
      <c r="I236" s="147" t="str">
        <f t="shared" si="17"/>
        <v/>
      </c>
      <c r="J236" s="146">
        <f t="shared" si="18"/>
        <v>-7</v>
      </c>
      <c r="K236" s="146">
        <f t="shared" si="15"/>
        <v>-70</v>
      </c>
      <c r="L236" s="146"/>
      <c r="M236" s="148">
        <f t="shared" si="16"/>
        <v>0</v>
      </c>
    </row>
    <row r="237" spans="1:13" x14ac:dyDescent="0.25">
      <c r="A237" s="162"/>
      <c r="G237" s="132"/>
      <c r="H237" s="146">
        <v>232</v>
      </c>
      <c r="I237" s="147" t="str">
        <f t="shared" si="17"/>
        <v/>
      </c>
      <c r="J237" s="146">
        <f t="shared" si="18"/>
        <v>-7</v>
      </c>
      <c r="K237" s="146">
        <f t="shared" si="15"/>
        <v>-70</v>
      </c>
      <c r="L237" s="146"/>
      <c r="M237" s="148">
        <f t="shared" si="16"/>
        <v>0</v>
      </c>
    </row>
    <row r="238" spans="1:13" x14ac:dyDescent="0.25">
      <c r="A238" s="162"/>
      <c r="G238" s="132"/>
      <c r="H238" s="146">
        <v>233</v>
      </c>
      <c r="I238" s="147" t="str">
        <f t="shared" si="17"/>
        <v/>
      </c>
      <c r="J238" s="146">
        <f t="shared" si="18"/>
        <v>-7</v>
      </c>
      <c r="K238" s="146">
        <f t="shared" si="15"/>
        <v>-70</v>
      </c>
      <c r="L238" s="146"/>
      <c r="M238" s="148">
        <f t="shared" si="16"/>
        <v>0</v>
      </c>
    </row>
    <row r="239" spans="1:13" x14ac:dyDescent="0.25">
      <c r="A239" s="162"/>
      <c r="G239" s="132"/>
      <c r="H239" s="146">
        <v>234</v>
      </c>
      <c r="I239" s="147" t="str">
        <f t="shared" si="17"/>
        <v/>
      </c>
      <c r="J239" s="146">
        <f t="shared" si="18"/>
        <v>-7</v>
      </c>
      <c r="K239" s="146">
        <f t="shared" si="15"/>
        <v>-70</v>
      </c>
      <c r="L239" s="146"/>
      <c r="M239" s="148">
        <f t="shared" si="16"/>
        <v>0</v>
      </c>
    </row>
    <row r="240" spans="1:13" x14ac:dyDescent="0.25">
      <c r="A240" s="162"/>
      <c r="G240" s="132"/>
      <c r="H240" s="146">
        <v>235</v>
      </c>
      <c r="I240" s="147" t="str">
        <f t="shared" si="17"/>
        <v/>
      </c>
      <c r="J240" s="146">
        <f t="shared" si="18"/>
        <v>-7</v>
      </c>
      <c r="K240" s="146">
        <f t="shared" si="15"/>
        <v>-70</v>
      </c>
      <c r="L240" s="146"/>
      <c r="M240" s="148">
        <f t="shared" si="16"/>
        <v>0</v>
      </c>
    </row>
    <row r="241" spans="1:13" x14ac:dyDescent="0.25">
      <c r="A241" s="162"/>
      <c r="G241" s="132"/>
      <c r="H241" s="146">
        <v>236</v>
      </c>
      <c r="I241" s="147" t="str">
        <f t="shared" si="17"/>
        <v/>
      </c>
      <c r="J241" s="146">
        <f t="shared" si="18"/>
        <v>-7</v>
      </c>
      <c r="K241" s="146">
        <f t="shared" si="15"/>
        <v>-70</v>
      </c>
      <c r="L241" s="146"/>
      <c r="M241" s="148">
        <f t="shared" si="16"/>
        <v>0</v>
      </c>
    </row>
    <row r="242" spans="1:13" x14ac:dyDescent="0.25">
      <c r="A242" s="162"/>
      <c r="G242" s="132"/>
      <c r="H242" s="146">
        <v>237</v>
      </c>
      <c r="I242" s="147" t="str">
        <f t="shared" si="17"/>
        <v/>
      </c>
      <c r="J242" s="146">
        <f t="shared" si="18"/>
        <v>-7</v>
      </c>
      <c r="K242" s="146">
        <f t="shared" si="15"/>
        <v>-70</v>
      </c>
      <c r="L242" s="146"/>
      <c r="M242" s="148">
        <f t="shared" si="16"/>
        <v>0</v>
      </c>
    </row>
    <row r="243" spans="1:13" x14ac:dyDescent="0.25">
      <c r="A243" s="162"/>
      <c r="G243" s="132"/>
      <c r="H243" s="146">
        <v>238</v>
      </c>
      <c r="I243" s="147" t="str">
        <f t="shared" si="17"/>
        <v/>
      </c>
      <c r="J243" s="146">
        <f t="shared" si="18"/>
        <v>-7</v>
      </c>
      <c r="K243" s="146">
        <f t="shared" si="15"/>
        <v>-70</v>
      </c>
      <c r="L243" s="146"/>
      <c r="M243" s="148">
        <f t="shared" si="16"/>
        <v>0</v>
      </c>
    </row>
    <row r="244" spans="1:13" x14ac:dyDescent="0.25">
      <c r="A244" s="162"/>
      <c r="G244" s="132"/>
      <c r="H244" s="146">
        <v>239</v>
      </c>
      <c r="I244" s="147" t="str">
        <f t="shared" si="17"/>
        <v/>
      </c>
      <c r="J244" s="146">
        <f t="shared" si="18"/>
        <v>-7</v>
      </c>
      <c r="K244" s="146">
        <f t="shared" si="15"/>
        <v>-70</v>
      </c>
      <c r="L244" s="146"/>
      <c r="M244" s="148">
        <f t="shared" si="16"/>
        <v>0</v>
      </c>
    </row>
    <row r="245" spans="1:13" x14ac:dyDescent="0.25">
      <c r="A245" s="162"/>
      <c r="G245" s="132"/>
      <c r="H245" s="146">
        <v>240</v>
      </c>
      <c r="I245" s="147" t="str">
        <f t="shared" si="17"/>
        <v/>
      </c>
      <c r="J245" s="146">
        <f t="shared" si="18"/>
        <v>-7</v>
      </c>
      <c r="K245" s="146">
        <f t="shared" si="15"/>
        <v>-70</v>
      </c>
      <c r="L245" s="146"/>
      <c r="M245" s="148">
        <f t="shared" si="16"/>
        <v>0</v>
      </c>
    </row>
    <row r="246" spans="1:13" x14ac:dyDescent="0.25">
      <c r="A246" s="162"/>
      <c r="G246" s="132"/>
      <c r="H246" s="146">
        <v>241</v>
      </c>
      <c r="I246" s="147" t="str">
        <f t="shared" si="17"/>
        <v/>
      </c>
      <c r="J246" s="146">
        <f t="shared" si="18"/>
        <v>-7</v>
      </c>
      <c r="K246" s="146">
        <f t="shared" si="15"/>
        <v>-70</v>
      </c>
      <c r="L246" s="146"/>
      <c r="M246" s="148">
        <f t="shared" si="16"/>
        <v>0</v>
      </c>
    </row>
    <row r="247" spans="1:13" x14ac:dyDescent="0.25">
      <c r="A247" s="162"/>
      <c r="G247" s="132"/>
      <c r="H247" s="146">
        <v>242</v>
      </c>
      <c r="I247" s="147" t="str">
        <f t="shared" si="17"/>
        <v/>
      </c>
      <c r="J247" s="146">
        <f t="shared" si="18"/>
        <v>-7</v>
      </c>
      <c r="K247" s="146">
        <f t="shared" si="15"/>
        <v>-70</v>
      </c>
      <c r="L247" s="146"/>
      <c r="M247" s="148">
        <f t="shared" si="16"/>
        <v>0</v>
      </c>
    </row>
    <row r="248" spans="1:13" x14ac:dyDescent="0.25">
      <c r="A248" s="162"/>
      <c r="G248" s="132"/>
      <c r="H248" s="146">
        <v>243</v>
      </c>
      <c r="I248" s="147" t="str">
        <f t="shared" si="17"/>
        <v/>
      </c>
      <c r="J248" s="146">
        <f t="shared" si="18"/>
        <v>-7</v>
      </c>
      <c r="K248" s="146">
        <f t="shared" si="15"/>
        <v>-70</v>
      </c>
      <c r="L248" s="146"/>
      <c r="M248" s="148">
        <f t="shared" si="16"/>
        <v>0</v>
      </c>
    </row>
    <row r="249" spans="1:13" x14ac:dyDescent="0.25">
      <c r="A249" s="162"/>
      <c r="G249" s="132"/>
      <c r="H249" s="146">
        <v>244</v>
      </c>
      <c r="I249" s="147" t="str">
        <f t="shared" si="17"/>
        <v/>
      </c>
      <c r="J249" s="146">
        <f t="shared" si="18"/>
        <v>-7</v>
      </c>
      <c r="K249" s="146">
        <f t="shared" si="15"/>
        <v>-70</v>
      </c>
      <c r="L249" s="146"/>
      <c r="M249" s="148">
        <f t="shared" si="16"/>
        <v>0</v>
      </c>
    </row>
    <row r="250" spans="1:13" x14ac:dyDescent="0.25">
      <c r="A250" s="162"/>
      <c r="G250" s="132"/>
      <c r="H250" s="146">
        <v>245</v>
      </c>
      <c r="I250" s="147" t="str">
        <f t="shared" si="17"/>
        <v/>
      </c>
      <c r="J250" s="146">
        <f t="shared" si="18"/>
        <v>-7</v>
      </c>
      <c r="K250" s="146">
        <f t="shared" si="15"/>
        <v>-70</v>
      </c>
      <c r="L250" s="146"/>
      <c r="M250" s="148">
        <f t="shared" si="16"/>
        <v>0</v>
      </c>
    </row>
    <row r="251" spans="1:13" x14ac:dyDescent="0.25">
      <c r="A251" s="162"/>
      <c r="G251" s="132"/>
      <c r="H251" s="146">
        <v>246</v>
      </c>
      <c r="I251" s="147" t="str">
        <f t="shared" si="17"/>
        <v/>
      </c>
      <c r="J251" s="146">
        <f t="shared" si="18"/>
        <v>-7</v>
      </c>
      <c r="K251" s="146">
        <f t="shared" si="15"/>
        <v>-70</v>
      </c>
      <c r="L251" s="146"/>
      <c r="M251" s="148">
        <f t="shared" si="16"/>
        <v>0</v>
      </c>
    </row>
    <row r="252" spans="1:13" x14ac:dyDescent="0.25">
      <c r="A252" s="162"/>
      <c r="G252" s="132"/>
      <c r="H252" s="146">
        <v>247</v>
      </c>
      <c r="I252" s="147" t="str">
        <f t="shared" si="17"/>
        <v/>
      </c>
      <c r="J252" s="146">
        <f t="shared" si="18"/>
        <v>-7</v>
      </c>
      <c r="K252" s="146">
        <f t="shared" si="15"/>
        <v>-70</v>
      </c>
      <c r="L252" s="146"/>
      <c r="M252" s="148">
        <f t="shared" si="16"/>
        <v>0</v>
      </c>
    </row>
    <row r="253" spans="1:13" x14ac:dyDescent="0.25">
      <c r="A253" s="162"/>
      <c r="G253" s="132"/>
      <c r="H253" s="146">
        <v>248</v>
      </c>
      <c r="I253" s="147" t="str">
        <f t="shared" si="17"/>
        <v/>
      </c>
      <c r="J253" s="146">
        <f t="shared" si="18"/>
        <v>-7</v>
      </c>
      <c r="K253" s="146">
        <f t="shared" si="15"/>
        <v>-70</v>
      </c>
      <c r="L253" s="146"/>
      <c r="M253" s="148">
        <f t="shared" si="16"/>
        <v>0</v>
      </c>
    </row>
    <row r="254" spans="1:13" x14ac:dyDescent="0.25">
      <c r="A254" s="162"/>
      <c r="G254" s="132"/>
      <c r="H254" s="146">
        <v>249</v>
      </c>
      <c r="I254" s="147" t="str">
        <f t="shared" si="17"/>
        <v/>
      </c>
      <c r="J254" s="146">
        <f t="shared" si="18"/>
        <v>-7</v>
      </c>
      <c r="K254" s="146">
        <f t="shared" si="15"/>
        <v>-70</v>
      </c>
      <c r="L254" s="146"/>
      <c r="M254" s="148">
        <f t="shared" si="16"/>
        <v>0</v>
      </c>
    </row>
    <row r="255" spans="1:13" x14ac:dyDescent="0.25">
      <c r="A255" s="162"/>
      <c r="G255" s="132"/>
      <c r="H255" s="146">
        <v>250</v>
      </c>
      <c r="I255" s="147" t="str">
        <f t="shared" si="17"/>
        <v/>
      </c>
      <c r="J255" s="146">
        <f t="shared" si="18"/>
        <v>-7</v>
      </c>
      <c r="K255" s="146">
        <f t="shared" si="15"/>
        <v>-70</v>
      </c>
      <c r="L255" s="146"/>
      <c r="M255" s="148">
        <f t="shared" si="16"/>
        <v>0</v>
      </c>
    </row>
    <row r="256" spans="1:13" x14ac:dyDescent="0.25">
      <c r="A256" s="162"/>
      <c r="G256" s="132"/>
      <c r="H256" s="146">
        <v>251</v>
      </c>
      <c r="I256" s="147" t="str">
        <f t="shared" si="17"/>
        <v/>
      </c>
      <c r="J256" s="146">
        <f t="shared" si="18"/>
        <v>-7</v>
      </c>
      <c r="K256" s="146">
        <f t="shared" si="15"/>
        <v>-70</v>
      </c>
      <c r="L256" s="146"/>
      <c r="M256" s="148">
        <f t="shared" si="16"/>
        <v>0</v>
      </c>
    </row>
    <row r="257" spans="1:13" x14ac:dyDescent="0.25">
      <c r="A257" s="162"/>
      <c r="G257" s="132"/>
      <c r="H257" s="146">
        <v>252</v>
      </c>
      <c r="I257" s="147" t="str">
        <f t="shared" si="17"/>
        <v/>
      </c>
      <c r="J257" s="146">
        <f t="shared" si="18"/>
        <v>-7</v>
      </c>
      <c r="K257" s="146">
        <f t="shared" si="15"/>
        <v>-70</v>
      </c>
      <c r="L257" s="146"/>
      <c r="M257" s="148">
        <f t="shared" si="16"/>
        <v>0</v>
      </c>
    </row>
    <row r="258" spans="1:13" x14ac:dyDescent="0.25">
      <c r="A258" s="162"/>
      <c r="G258" s="132"/>
      <c r="H258" s="146">
        <v>253</v>
      </c>
      <c r="I258" s="147" t="str">
        <f t="shared" si="17"/>
        <v/>
      </c>
      <c r="J258" s="146">
        <f t="shared" si="18"/>
        <v>-7</v>
      </c>
      <c r="K258" s="146">
        <f t="shared" si="15"/>
        <v>-70</v>
      </c>
      <c r="L258" s="146"/>
      <c r="M258" s="148">
        <f t="shared" si="16"/>
        <v>0</v>
      </c>
    </row>
    <row r="259" spans="1:13" x14ac:dyDescent="0.25">
      <c r="A259" s="162"/>
      <c r="G259" s="132"/>
      <c r="H259" s="146">
        <v>254</v>
      </c>
      <c r="I259" s="147" t="str">
        <f t="shared" si="17"/>
        <v/>
      </c>
      <c r="J259" s="146">
        <f t="shared" si="18"/>
        <v>-7</v>
      </c>
      <c r="K259" s="146">
        <f t="shared" si="15"/>
        <v>-70</v>
      </c>
      <c r="L259" s="146"/>
      <c r="M259" s="148">
        <f t="shared" si="16"/>
        <v>0</v>
      </c>
    </row>
    <row r="260" spans="1:13" x14ac:dyDescent="0.25">
      <c r="A260" s="162"/>
      <c r="G260" s="132"/>
      <c r="H260" s="146">
        <v>255</v>
      </c>
      <c r="I260" s="147" t="str">
        <f t="shared" si="17"/>
        <v/>
      </c>
      <c r="J260" s="146">
        <f t="shared" si="18"/>
        <v>-7</v>
      </c>
      <c r="K260" s="146">
        <f t="shared" si="15"/>
        <v>-70</v>
      </c>
      <c r="L260" s="146"/>
      <c r="M260" s="148">
        <f t="shared" si="16"/>
        <v>0</v>
      </c>
    </row>
    <row r="261" spans="1:13" x14ac:dyDescent="0.25">
      <c r="A261" s="162"/>
      <c r="G261" s="132"/>
      <c r="H261" s="146">
        <v>256</v>
      </c>
      <c r="I261" s="147" t="str">
        <f t="shared" si="17"/>
        <v/>
      </c>
      <c r="J261" s="146">
        <f t="shared" si="18"/>
        <v>-7</v>
      </c>
      <c r="K261" s="146">
        <f t="shared" si="15"/>
        <v>-70</v>
      </c>
      <c r="L261" s="146"/>
      <c r="M261" s="148">
        <f t="shared" si="16"/>
        <v>0</v>
      </c>
    </row>
    <row r="262" spans="1:13" x14ac:dyDescent="0.25">
      <c r="A262" s="162"/>
      <c r="G262" s="132"/>
      <c r="H262" s="146">
        <v>257</v>
      </c>
      <c r="I262" s="147" t="str">
        <f t="shared" si="17"/>
        <v/>
      </c>
      <c r="J262" s="146">
        <f t="shared" si="18"/>
        <v>-8</v>
      </c>
      <c r="K262" s="146">
        <f t="shared" ref="K262:K305" si="19">J262*$J$2</f>
        <v>-80</v>
      </c>
      <c r="L262" s="146"/>
      <c r="M262" s="148">
        <f t="shared" ref="M262:M305" si="20">IF(I262&lt;&gt;"",K262+I262+L262,0)</f>
        <v>0</v>
      </c>
    </row>
    <row r="263" spans="1:13" x14ac:dyDescent="0.25">
      <c r="A263" s="162"/>
      <c r="G263" s="132"/>
      <c r="H263" s="146">
        <v>258</v>
      </c>
      <c r="I263" s="147" t="str">
        <f t="shared" ref="I263:I305" si="21">IF(H263&lt;$H$2+1,($I$2-($I$2-1)*(LOG(H263)/LOG($H$2))),"")</f>
        <v/>
      </c>
      <c r="J263" s="146">
        <f t="shared" ref="J263:J305" si="22">INT(LOG($H$2,2))-ROUNDUP(LOG(H263,2),0)+IF(OR($H$2=1,$H$2=2,$H$2=4,$H$2=8,$H$2=16,$H$2=32,$H$2=64,$H$2=128,$H$2=256),0,1)</f>
        <v>-8</v>
      </c>
      <c r="K263" s="146">
        <f t="shared" si="19"/>
        <v>-80</v>
      </c>
      <c r="L263" s="146"/>
      <c r="M263" s="148">
        <f t="shared" si="20"/>
        <v>0</v>
      </c>
    </row>
    <row r="264" spans="1:13" x14ac:dyDescent="0.25">
      <c r="A264" s="162"/>
      <c r="G264" s="132"/>
      <c r="H264" s="146">
        <v>259</v>
      </c>
      <c r="I264" s="147" t="str">
        <f t="shared" si="21"/>
        <v/>
      </c>
      <c r="J264" s="146">
        <f t="shared" si="22"/>
        <v>-8</v>
      </c>
      <c r="K264" s="146">
        <f t="shared" si="19"/>
        <v>-80</v>
      </c>
      <c r="L264" s="146"/>
      <c r="M264" s="148">
        <f t="shared" si="20"/>
        <v>0</v>
      </c>
    </row>
    <row r="265" spans="1:13" x14ac:dyDescent="0.25">
      <c r="A265" s="162"/>
      <c r="G265" s="132"/>
      <c r="H265" s="146">
        <v>260</v>
      </c>
      <c r="I265" s="147" t="str">
        <f t="shared" si="21"/>
        <v/>
      </c>
      <c r="J265" s="146">
        <f t="shared" si="22"/>
        <v>-8</v>
      </c>
      <c r="K265" s="146">
        <f t="shared" si="19"/>
        <v>-80</v>
      </c>
      <c r="L265" s="146"/>
      <c r="M265" s="148">
        <f t="shared" si="20"/>
        <v>0</v>
      </c>
    </row>
    <row r="266" spans="1:13" x14ac:dyDescent="0.25">
      <c r="A266" s="162"/>
      <c r="G266" s="132"/>
      <c r="H266" s="146">
        <v>261</v>
      </c>
      <c r="I266" s="147" t="str">
        <f t="shared" si="21"/>
        <v/>
      </c>
      <c r="J266" s="146">
        <f t="shared" si="22"/>
        <v>-8</v>
      </c>
      <c r="K266" s="146">
        <f t="shared" si="19"/>
        <v>-80</v>
      </c>
      <c r="L266" s="146"/>
      <c r="M266" s="148">
        <f t="shared" si="20"/>
        <v>0</v>
      </c>
    </row>
    <row r="267" spans="1:13" x14ac:dyDescent="0.25">
      <c r="A267" s="162"/>
      <c r="G267" s="132"/>
      <c r="H267" s="146">
        <v>262</v>
      </c>
      <c r="I267" s="147" t="str">
        <f t="shared" si="21"/>
        <v/>
      </c>
      <c r="J267" s="146">
        <f t="shared" si="22"/>
        <v>-8</v>
      </c>
      <c r="K267" s="146">
        <f t="shared" si="19"/>
        <v>-80</v>
      </c>
      <c r="L267" s="146"/>
      <c r="M267" s="148">
        <f t="shared" si="20"/>
        <v>0</v>
      </c>
    </row>
    <row r="268" spans="1:13" x14ac:dyDescent="0.25">
      <c r="A268" s="162"/>
      <c r="G268" s="132"/>
      <c r="H268" s="146">
        <v>263</v>
      </c>
      <c r="I268" s="147" t="str">
        <f t="shared" si="21"/>
        <v/>
      </c>
      <c r="J268" s="146">
        <f t="shared" si="22"/>
        <v>-8</v>
      </c>
      <c r="K268" s="146">
        <f t="shared" si="19"/>
        <v>-80</v>
      </c>
      <c r="L268" s="146"/>
      <c r="M268" s="148">
        <f t="shared" si="20"/>
        <v>0</v>
      </c>
    </row>
    <row r="269" spans="1:13" x14ac:dyDescent="0.25">
      <c r="A269" s="162"/>
      <c r="G269" s="132"/>
      <c r="H269" s="146">
        <v>264</v>
      </c>
      <c r="I269" s="147" t="str">
        <f t="shared" si="21"/>
        <v/>
      </c>
      <c r="J269" s="146">
        <f t="shared" si="22"/>
        <v>-8</v>
      </c>
      <c r="K269" s="146">
        <f t="shared" si="19"/>
        <v>-80</v>
      </c>
      <c r="L269" s="146"/>
      <c r="M269" s="148">
        <f t="shared" si="20"/>
        <v>0</v>
      </c>
    </row>
    <row r="270" spans="1:13" x14ac:dyDescent="0.25">
      <c r="A270" s="162"/>
      <c r="G270" s="132"/>
      <c r="H270" s="146">
        <v>265</v>
      </c>
      <c r="I270" s="147" t="str">
        <f t="shared" si="21"/>
        <v/>
      </c>
      <c r="J270" s="146">
        <f t="shared" si="22"/>
        <v>-8</v>
      </c>
      <c r="K270" s="146">
        <f t="shared" si="19"/>
        <v>-80</v>
      </c>
      <c r="L270" s="146"/>
      <c r="M270" s="148">
        <f t="shared" si="20"/>
        <v>0</v>
      </c>
    </row>
    <row r="271" spans="1:13" x14ac:dyDescent="0.25">
      <c r="A271" s="162"/>
      <c r="G271" s="132"/>
      <c r="H271" s="146">
        <v>266</v>
      </c>
      <c r="I271" s="147" t="str">
        <f t="shared" si="21"/>
        <v/>
      </c>
      <c r="J271" s="146">
        <f t="shared" si="22"/>
        <v>-8</v>
      </c>
      <c r="K271" s="146">
        <f t="shared" si="19"/>
        <v>-80</v>
      </c>
      <c r="L271" s="146"/>
      <c r="M271" s="148">
        <f t="shared" si="20"/>
        <v>0</v>
      </c>
    </row>
    <row r="272" spans="1:13" x14ac:dyDescent="0.25">
      <c r="A272" s="162"/>
      <c r="G272" s="132"/>
      <c r="H272" s="146">
        <v>267</v>
      </c>
      <c r="I272" s="147" t="str">
        <f t="shared" si="21"/>
        <v/>
      </c>
      <c r="J272" s="146">
        <f t="shared" si="22"/>
        <v>-8</v>
      </c>
      <c r="K272" s="146">
        <f t="shared" si="19"/>
        <v>-80</v>
      </c>
      <c r="L272" s="146"/>
      <c r="M272" s="148">
        <f t="shared" si="20"/>
        <v>0</v>
      </c>
    </row>
    <row r="273" spans="1:13" x14ac:dyDescent="0.25">
      <c r="A273" s="162"/>
      <c r="G273" s="132"/>
      <c r="H273" s="146">
        <v>268</v>
      </c>
      <c r="I273" s="147" t="str">
        <f t="shared" si="21"/>
        <v/>
      </c>
      <c r="J273" s="146">
        <f t="shared" si="22"/>
        <v>-8</v>
      </c>
      <c r="K273" s="146">
        <f t="shared" si="19"/>
        <v>-80</v>
      </c>
      <c r="L273" s="146"/>
      <c r="M273" s="148">
        <f t="shared" si="20"/>
        <v>0</v>
      </c>
    </row>
    <row r="274" spans="1:13" x14ac:dyDescent="0.25">
      <c r="A274" s="162"/>
      <c r="G274" s="132"/>
      <c r="H274" s="146">
        <v>269</v>
      </c>
      <c r="I274" s="147" t="str">
        <f t="shared" si="21"/>
        <v/>
      </c>
      <c r="J274" s="146">
        <f t="shared" si="22"/>
        <v>-8</v>
      </c>
      <c r="K274" s="146">
        <f t="shared" si="19"/>
        <v>-80</v>
      </c>
      <c r="L274" s="146"/>
      <c r="M274" s="148">
        <f t="shared" si="20"/>
        <v>0</v>
      </c>
    </row>
    <row r="275" spans="1:13" x14ac:dyDescent="0.25">
      <c r="A275" s="162"/>
      <c r="G275" s="132"/>
      <c r="H275" s="146">
        <v>270</v>
      </c>
      <c r="I275" s="147" t="str">
        <f t="shared" si="21"/>
        <v/>
      </c>
      <c r="J275" s="146">
        <f t="shared" si="22"/>
        <v>-8</v>
      </c>
      <c r="K275" s="146">
        <f t="shared" si="19"/>
        <v>-80</v>
      </c>
      <c r="L275" s="146"/>
      <c r="M275" s="148">
        <f t="shared" si="20"/>
        <v>0</v>
      </c>
    </row>
    <row r="276" spans="1:13" x14ac:dyDescent="0.25">
      <c r="A276" s="162"/>
      <c r="G276" s="132"/>
      <c r="H276" s="146">
        <v>271</v>
      </c>
      <c r="I276" s="147" t="str">
        <f t="shared" si="21"/>
        <v/>
      </c>
      <c r="J276" s="146">
        <f t="shared" si="22"/>
        <v>-8</v>
      </c>
      <c r="K276" s="146">
        <f t="shared" si="19"/>
        <v>-80</v>
      </c>
      <c r="L276" s="146"/>
      <c r="M276" s="148">
        <f t="shared" si="20"/>
        <v>0</v>
      </c>
    </row>
    <row r="277" spans="1:13" x14ac:dyDescent="0.25">
      <c r="A277" s="162"/>
      <c r="G277" s="132"/>
      <c r="H277" s="146">
        <v>272</v>
      </c>
      <c r="I277" s="147" t="str">
        <f t="shared" si="21"/>
        <v/>
      </c>
      <c r="J277" s="146">
        <f t="shared" si="22"/>
        <v>-8</v>
      </c>
      <c r="K277" s="146">
        <f t="shared" si="19"/>
        <v>-80</v>
      </c>
      <c r="L277" s="146"/>
      <c r="M277" s="148">
        <f t="shared" si="20"/>
        <v>0</v>
      </c>
    </row>
    <row r="278" spans="1:13" x14ac:dyDescent="0.25">
      <c r="A278" s="162"/>
      <c r="G278" s="132"/>
      <c r="H278" s="146">
        <v>273</v>
      </c>
      <c r="I278" s="147" t="str">
        <f t="shared" si="21"/>
        <v/>
      </c>
      <c r="J278" s="146">
        <f t="shared" si="22"/>
        <v>-8</v>
      </c>
      <c r="K278" s="146">
        <f t="shared" si="19"/>
        <v>-80</v>
      </c>
      <c r="L278" s="146"/>
      <c r="M278" s="148">
        <f t="shared" si="20"/>
        <v>0</v>
      </c>
    </row>
    <row r="279" spans="1:13" x14ac:dyDescent="0.25">
      <c r="A279" s="162"/>
      <c r="G279" s="132"/>
      <c r="H279" s="146">
        <v>274</v>
      </c>
      <c r="I279" s="147" t="str">
        <f t="shared" si="21"/>
        <v/>
      </c>
      <c r="J279" s="146">
        <f t="shared" si="22"/>
        <v>-8</v>
      </c>
      <c r="K279" s="146">
        <f t="shared" si="19"/>
        <v>-80</v>
      </c>
      <c r="L279" s="146"/>
      <c r="M279" s="148">
        <f t="shared" si="20"/>
        <v>0</v>
      </c>
    </row>
    <row r="280" spans="1:13" x14ac:dyDescent="0.25">
      <c r="A280" s="162"/>
      <c r="G280" s="132"/>
      <c r="H280" s="146">
        <v>275</v>
      </c>
      <c r="I280" s="147" t="str">
        <f t="shared" si="21"/>
        <v/>
      </c>
      <c r="J280" s="146">
        <f t="shared" si="22"/>
        <v>-8</v>
      </c>
      <c r="K280" s="146">
        <f t="shared" si="19"/>
        <v>-80</v>
      </c>
      <c r="L280" s="146"/>
      <c r="M280" s="148">
        <f t="shared" si="20"/>
        <v>0</v>
      </c>
    </row>
    <row r="281" spans="1:13" x14ac:dyDescent="0.25">
      <c r="A281" s="162"/>
      <c r="G281" s="132"/>
      <c r="H281" s="146">
        <v>276</v>
      </c>
      <c r="I281" s="147" t="str">
        <f t="shared" si="21"/>
        <v/>
      </c>
      <c r="J281" s="146">
        <f t="shared" si="22"/>
        <v>-8</v>
      </c>
      <c r="K281" s="146">
        <f t="shared" si="19"/>
        <v>-80</v>
      </c>
      <c r="L281" s="146"/>
      <c r="M281" s="148">
        <f t="shared" si="20"/>
        <v>0</v>
      </c>
    </row>
    <row r="282" spans="1:13" x14ac:dyDescent="0.25">
      <c r="A282" s="162"/>
      <c r="G282" s="132"/>
      <c r="H282" s="146">
        <v>277</v>
      </c>
      <c r="I282" s="147" t="str">
        <f t="shared" si="21"/>
        <v/>
      </c>
      <c r="J282" s="146">
        <f t="shared" si="22"/>
        <v>-8</v>
      </c>
      <c r="K282" s="146">
        <f t="shared" si="19"/>
        <v>-80</v>
      </c>
      <c r="L282" s="146"/>
      <c r="M282" s="148">
        <f t="shared" si="20"/>
        <v>0</v>
      </c>
    </row>
    <row r="283" spans="1:13" x14ac:dyDescent="0.25">
      <c r="A283" s="162"/>
      <c r="G283" s="132"/>
      <c r="H283" s="146">
        <v>278</v>
      </c>
      <c r="I283" s="147" t="str">
        <f t="shared" si="21"/>
        <v/>
      </c>
      <c r="J283" s="146">
        <f t="shared" si="22"/>
        <v>-8</v>
      </c>
      <c r="K283" s="146">
        <f t="shared" si="19"/>
        <v>-80</v>
      </c>
      <c r="L283" s="146"/>
      <c r="M283" s="148">
        <f t="shared" si="20"/>
        <v>0</v>
      </c>
    </row>
    <row r="284" spans="1:13" x14ac:dyDescent="0.25">
      <c r="A284" s="162"/>
      <c r="G284" s="132"/>
      <c r="H284" s="146">
        <v>279</v>
      </c>
      <c r="I284" s="147" t="str">
        <f t="shared" si="21"/>
        <v/>
      </c>
      <c r="J284" s="146">
        <f t="shared" si="22"/>
        <v>-8</v>
      </c>
      <c r="K284" s="146">
        <f t="shared" si="19"/>
        <v>-80</v>
      </c>
      <c r="L284" s="146"/>
      <c r="M284" s="148">
        <f t="shared" si="20"/>
        <v>0</v>
      </c>
    </row>
    <row r="285" spans="1:13" x14ac:dyDescent="0.25">
      <c r="A285" s="162"/>
      <c r="G285" s="132"/>
      <c r="H285" s="146">
        <v>280</v>
      </c>
      <c r="I285" s="147" t="str">
        <f t="shared" si="21"/>
        <v/>
      </c>
      <c r="J285" s="146">
        <f t="shared" si="22"/>
        <v>-8</v>
      </c>
      <c r="K285" s="146">
        <f t="shared" si="19"/>
        <v>-80</v>
      </c>
      <c r="L285" s="146"/>
      <c r="M285" s="148">
        <f t="shared" si="20"/>
        <v>0</v>
      </c>
    </row>
    <row r="286" spans="1:13" x14ac:dyDescent="0.25">
      <c r="A286" s="162"/>
      <c r="G286" s="132"/>
      <c r="H286" s="146">
        <v>281</v>
      </c>
      <c r="I286" s="147" t="str">
        <f t="shared" si="21"/>
        <v/>
      </c>
      <c r="J286" s="146">
        <f t="shared" si="22"/>
        <v>-8</v>
      </c>
      <c r="K286" s="146">
        <f t="shared" si="19"/>
        <v>-80</v>
      </c>
      <c r="L286" s="146"/>
      <c r="M286" s="148">
        <f t="shared" si="20"/>
        <v>0</v>
      </c>
    </row>
    <row r="287" spans="1:13" x14ac:dyDescent="0.25">
      <c r="A287" s="162"/>
      <c r="G287" s="132"/>
      <c r="H287" s="146">
        <v>282</v>
      </c>
      <c r="I287" s="147" t="str">
        <f t="shared" si="21"/>
        <v/>
      </c>
      <c r="J287" s="146">
        <f t="shared" si="22"/>
        <v>-8</v>
      </c>
      <c r="K287" s="146">
        <f t="shared" si="19"/>
        <v>-80</v>
      </c>
      <c r="L287" s="146"/>
      <c r="M287" s="148">
        <f t="shared" si="20"/>
        <v>0</v>
      </c>
    </row>
    <row r="288" spans="1:13" x14ac:dyDescent="0.25">
      <c r="A288" s="162"/>
      <c r="G288" s="132"/>
      <c r="H288" s="146">
        <v>283</v>
      </c>
      <c r="I288" s="147" t="str">
        <f t="shared" si="21"/>
        <v/>
      </c>
      <c r="J288" s="146">
        <f t="shared" si="22"/>
        <v>-8</v>
      </c>
      <c r="K288" s="146">
        <f t="shared" si="19"/>
        <v>-80</v>
      </c>
      <c r="L288" s="146"/>
      <c r="M288" s="148">
        <f t="shared" si="20"/>
        <v>0</v>
      </c>
    </row>
    <row r="289" spans="1:13" x14ac:dyDescent="0.25">
      <c r="A289" s="162"/>
      <c r="G289" s="132"/>
      <c r="H289" s="146">
        <v>284</v>
      </c>
      <c r="I289" s="147" t="str">
        <f t="shared" si="21"/>
        <v/>
      </c>
      <c r="J289" s="146">
        <f t="shared" si="22"/>
        <v>-8</v>
      </c>
      <c r="K289" s="146">
        <f t="shared" si="19"/>
        <v>-80</v>
      </c>
      <c r="L289" s="146"/>
      <c r="M289" s="148">
        <f t="shared" si="20"/>
        <v>0</v>
      </c>
    </row>
    <row r="290" spans="1:13" x14ac:dyDescent="0.25">
      <c r="A290" s="162"/>
      <c r="G290" s="132"/>
      <c r="H290" s="146">
        <v>285</v>
      </c>
      <c r="I290" s="147" t="str">
        <f t="shared" si="21"/>
        <v/>
      </c>
      <c r="J290" s="146">
        <f t="shared" si="22"/>
        <v>-8</v>
      </c>
      <c r="K290" s="146">
        <f t="shared" si="19"/>
        <v>-80</v>
      </c>
      <c r="L290" s="146"/>
      <c r="M290" s="148">
        <f t="shared" si="20"/>
        <v>0</v>
      </c>
    </row>
    <row r="291" spans="1:13" x14ac:dyDescent="0.25">
      <c r="A291" s="162"/>
      <c r="G291" s="132"/>
      <c r="H291" s="146">
        <v>286</v>
      </c>
      <c r="I291" s="147" t="str">
        <f t="shared" si="21"/>
        <v/>
      </c>
      <c r="J291" s="146">
        <f t="shared" si="22"/>
        <v>-8</v>
      </c>
      <c r="K291" s="146">
        <f t="shared" si="19"/>
        <v>-80</v>
      </c>
      <c r="L291" s="146"/>
      <c r="M291" s="148">
        <f t="shared" si="20"/>
        <v>0</v>
      </c>
    </row>
    <row r="292" spans="1:13" x14ac:dyDescent="0.25">
      <c r="A292" s="162"/>
      <c r="G292" s="132"/>
      <c r="H292" s="146">
        <v>287</v>
      </c>
      <c r="I292" s="147" t="str">
        <f t="shared" si="21"/>
        <v/>
      </c>
      <c r="J292" s="146">
        <f t="shared" si="22"/>
        <v>-8</v>
      </c>
      <c r="K292" s="146">
        <f t="shared" si="19"/>
        <v>-80</v>
      </c>
      <c r="L292" s="146"/>
      <c r="M292" s="148">
        <f t="shared" si="20"/>
        <v>0</v>
      </c>
    </row>
    <row r="293" spans="1:13" x14ac:dyDescent="0.25">
      <c r="A293" s="162"/>
      <c r="G293" s="132"/>
      <c r="H293" s="146">
        <v>288</v>
      </c>
      <c r="I293" s="147" t="str">
        <f t="shared" si="21"/>
        <v/>
      </c>
      <c r="J293" s="146">
        <f t="shared" si="22"/>
        <v>-8</v>
      </c>
      <c r="K293" s="146">
        <f t="shared" si="19"/>
        <v>-80</v>
      </c>
      <c r="L293" s="146"/>
      <c r="M293" s="148">
        <f t="shared" si="20"/>
        <v>0</v>
      </c>
    </row>
    <row r="294" spans="1:13" x14ac:dyDescent="0.25">
      <c r="A294" s="162"/>
      <c r="G294" s="132"/>
      <c r="H294" s="146">
        <v>289</v>
      </c>
      <c r="I294" s="147" t="str">
        <f t="shared" si="21"/>
        <v/>
      </c>
      <c r="J294" s="146">
        <f t="shared" si="22"/>
        <v>-8</v>
      </c>
      <c r="K294" s="146">
        <f t="shared" si="19"/>
        <v>-80</v>
      </c>
      <c r="L294" s="146"/>
      <c r="M294" s="148">
        <f t="shared" si="20"/>
        <v>0</v>
      </c>
    </row>
    <row r="295" spans="1:13" x14ac:dyDescent="0.25">
      <c r="A295" s="162"/>
      <c r="G295" s="132"/>
      <c r="H295" s="146">
        <v>290</v>
      </c>
      <c r="I295" s="147" t="str">
        <f t="shared" si="21"/>
        <v/>
      </c>
      <c r="J295" s="146">
        <f t="shared" si="22"/>
        <v>-8</v>
      </c>
      <c r="K295" s="146">
        <f t="shared" si="19"/>
        <v>-80</v>
      </c>
      <c r="L295" s="146"/>
      <c r="M295" s="148">
        <f t="shared" si="20"/>
        <v>0</v>
      </c>
    </row>
    <row r="296" spans="1:13" x14ac:dyDescent="0.25">
      <c r="A296" s="162"/>
      <c r="G296" s="132"/>
      <c r="H296" s="146">
        <v>291</v>
      </c>
      <c r="I296" s="147" t="str">
        <f t="shared" si="21"/>
        <v/>
      </c>
      <c r="J296" s="146">
        <f t="shared" si="22"/>
        <v>-8</v>
      </c>
      <c r="K296" s="146">
        <f t="shared" si="19"/>
        <v>-80</v>
      </c>
      <c r="L296" s="146"/>
      <c r="M296" s="148">
        <f t="shared" si="20"/>
        <v>0</v>
      </c>
    </row>
    <row r="297" spans="1:13" x14ac:dyDescent="0.25">
      <c r="A297" s="162"/>
      <c r="G297" s="132"/>
      <c r="H297" s="146">
        <v>292</v>
      </c>
      <c r="I297" s="147" t="str">
        <f t="shared" si="21"/>
        <v/>
      </c>
      <c r="J297" s="146">
        <f t="shared" si="22"/>
        <v>-8</v>
      </c>
      <c r="K297" s="146">
        <f t="shared" si="19"/>
        <v>-80</v>
      </c>
      <c r="L297" s="146"/>
      <c r="M297" s="148">
        <f t="shared" si="20"/>
        <v>0</v>
      </c>
    </row>
    <row r="298" spans="1:13" x14ac:dyDescent="0.25">
      <c r="A298" s="162"/>
      <c r="G298" s="132"/>
      <c r="H298" s="146">
        <v>293</v>
      </c>
      <c r="I298" s="147" t="str">
        <f t="shared" si="21"/>
        <v/>
      </c>
      <c r="J298" s="146">
        <f t="shared" si="22"/>
        <v>-8</v>
      </c>
      <c r="K298" s="146">
        <f t="shared" si="19"/>
        <v>-80</v>
      </c>
      <c r="L298" s="146"/>
      <c r="M298" s="148">
        <f t="shared" si="20"/>
        <v>0</v>
      </c>
    </row>
    <row r="299" spans="1:13" x14ac:dyDescent="0.25">
      <c r="A299" s="162"/>
      <c r="G299" s="132"/>
      <c r="H299" s="146">
        <v>294</v>
      </c>
      <c r="I299" s="147" t="str">
        <f t="shared" si="21"/>
        <v/>
      </c>
      <c r="J299" s="146">
        <f t="shared" si="22"/>
        <v>-8</v>
      </c>
      <c r="K299" s="146">
        <f t="shared" si="19"/>
        <v>-80</v>
      </c>
      <c r="L299" s="146"/>
      <c r="M299" s="148">
        <f t="shared" si="20"/>
        <v>0</v>
      </c>
    </row>
    <row r="300" spans="1:13" x14ac:dyDescent="0.25">
      <c r="A300" s="162"/>
      <c r="G300" s="132"/>
      <c r="H300" s="146">
        <v>295</v>
      </c>
      <c r="I300" s="147" t="str">
        <f t="shared" si="21"/>
        <v/>
      </c>
      <c r="J300" s="146">
        <f t="shared" si="22"/>
        <v>-8</v>
      </c>
      <c r="K300" s="146">
        <f t="shared" si="19"/>
        <v>-80</v>
      </c>
      <c r="L300" s="146"/>
      <c r="M300" s="148">
        <f t="shared" si="20"/>
        <v>0</v>
      </c>
    </row>
    <row r="301" spans="1:13" x14ac:dyDescent="0.25">
      <c r="A301" s="162"/>
      <c r="G301" s="132"/>
      <c r="H301" s="146">
        <v>296</v>
      </c>
      <c r="I301" s="147" t="str">
        <f t="shared" si="21"/>
        <v/>
      </c>
      <c r="J301" s="146">
        <f t="shared" si="22"/>
        <v>-8</v>
      </c>
      <c r="K301" s="146">
        <f t="shared" si="19"/>
        <v>-80</v>
      </c>
      <c r="L301" s="146"/>
      <c r="M301" s="148">
        <f t="shared" si="20"/>
        <v>0</v>
      </c>
    </row>
    <row r="302" spans="1:13" x14ac:dyDescent="0.25">
      <c r="A302" s="162"/>
      <c r="G302" s="132"/>
      <c r="H302" s="146">
        <v>297</v>
      </c>
      <c r="I302" s="147" t="str">
        <f t="shared" si="21"/>
        <v/>
      </c>
      <c r="J302" s="146">
        <f t="shared" si="22"/>
        <v>-8</v>
      </c>
      <c r="K302" s="146">
        <f t="shared" si="19"/>
        <v>-80</v>
      </c>
      <c r="L302" s="146"/>
      <c r="M302" s="148">
        <f t="shared" si="20"/>
        <v>0</v>
      </c>
    </row>
    <row r="303" spans="1:13" x14ac:dyDescent="0.25">
      <c r="A303" s="162"/>
      <c r="G303" s="132"/>
      <c r="H303" s="146">
        <v>298</v>
      </c>
      <c r="I303" s="147" t="str">
        <f t="shared" si="21"/>
        <v/>
      </c>
      <c r="J303" s="146">
        <f t="shared" si="22"/>
        <v>-8</v>
      </c>
      <c r="K303" s="146">
        <f t="shared" si="19"/>
        <v>-80</v>
      </c>
      <c r="L303" s="146"/>
      <c r="M303" s="148">
        <f t="shared" si="20"/>
        <v>0</v>
      </c>
    </row>
    <row r="304" spans="1:13" x14ac:dyDescent="0.25">
      <c r="A304" s="162"/>
      <c r="G304" s="132"/>
      <c r="H304" s="146">
        <v>299</v>
      </c>
      <c r="I304" s="147" t="str">
        <f t="shared" si="21"/>
        <v/>
      </c>
      <c r="J304" s="146">
        <f t="shared" si="22"/>
        <v>-8</v>
      </c>
      <c r="K304" s="146">
        <f t="shared" si="19"/>
        <v>-80</v>
      </c>
      <c r="L304" s="146"/>
      <c r="M304" s="148">
        <f t="shared" si="20"/>
        <v>0</v>
      </c>
    </row>
    <row r="305" spans="1:16" x14ac:dyDescent="0.25">
      <c r="A305" s="162"/>
      <c r="G305" s="132"/>
      <c r="H305" s="146">
        <v>300</v>
      </c>
      <c r="I305" s="147" t="str">
        <f t="shared" si="21"/>
        <v/>
      </c>
      <c r="J305" s="146">
        <f t="shared" si="22"/>
        <v>-8</v>
      </c>
      <c r="K305" s="146">
        <f t="shared" si="19"/>
        <v>-80</v>
      </c>
      <c r="L305" s="146"/>
      <c r="M305" s="148">
        <f t="shared" si="20"/>
        <v>0</v>
      </c>
    </row>
    <row r="306" spans="1:16" x14ac:dyDescent="0.25">
      <c r="A306" s="164"/>
    </row>
    <row r="314" spans="1:16" x14ac:dyDescent="0.25">
      <c r="L314" s="167"/>
      <c r="P314" s="157"/>
    </row>
    <row r="315" spans="1:16" x14ac:dyDescent="0.25">
      <c r="L315" s="167"/>
      <c r="P315" s="157"/>
    </row>
    <row r="316" spans="1:16" x14ac:dyDescent="0.25">
      <c r="L316" s="167"/>
      <c r="P316" s="157"/>
    </row>
    <row r="317" spans="1:16" x14ac:dyDescent="0.25">
      <c r="L317" s="167"/>
      <c r="P317" s="157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1FEB66C8-5637-45ED-9D34-92B006FCF6FD}">
      <formula1>#REF!</formula1>
    </dataValidation>
  </dataValidations>
  <hyperlinks>
    <hyperlink ref="C2:D2" r:id="rId1" display="TBD" xr:uid="{DDDD794D-5BEA-4EFC-B9B7-C0706E326813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02AB-9CE6-4B04-9A55-8A6074E4E8A9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63" customWidth="1"/>
    <col min="2" max="2" width="8.25" style="163" customWidth="1"/>
    <col min="3" max="3" width="34.75" style="163" customWidth="1"/>
    <col min="4" max="4" width="11.25" style="163" customWidth="1"/>
    <col min="5" max="6" width="8.875" style="163"/>
    <col min="7" max="7" width="0.875" style="163" customWidth="1"/>
    <col min="8" max="8" width="8.875" style="165"/>
    <col min="9" max="9" width="11" style="165" customWidth="1"/>
    <col min="10" max="10" width="15.25" style="165" customWidth="1"/>
    <col min="11" max="11" width="8.75" style="165" customWidth="1"/>
    <col min="12" max="12" width="11" style="165" customWidth="1"/>
    <col min="13" max="13" width="11.75" style="166" customWidth="1"/>
    <col min="14" max="15" width="13.875" style="132" customWidth="1"/>
    <col min="16" max="18" width="8.875" style="132"/>
    <col min="19" max="20" width="8.875" style="137"/>
    <col min="21" max="21" width="12.125" style="137" customWidth="1"/>
    <col min="22" max="22" width="27.375" style="137" customWidth="1"/>
    <col min="23" max="38" width="8.875" style="137"/>
    <col min="39" max="16384" width="8.875" style="163"/>
  </cols>
  <sheetData>
    <row r="1" spans="1:36" x14ac:dyDescent="0.25">
      <c r="A1" s="132"/>
      <c r="B1" s="132"/>
      <c r="C1" s="132"/>
      <c r="D1" s="132"/>
      <c r="E1" s="132"/>
      <c r="F1" s="132"/>
      <c r="G1" s="132"/>
      <c r="H1" s="133" t="s">
        <v>29</v>
      </c>
      <c r="I1" s="134" t="s">
        <v>30</v>
      </c>
      <c r="J1" s="134" t="s">
        <v>31</v>
      </c>
      <c r="K1" s="135" t="s">
        <v>32</v>
      </c>
      <c r="L1" s="136"/>
      <c r="M1" s="136"/>
    </row>
    <row r="2" spans="1:36" ht="14.45" customHeight="1" x14ac:dyDescent="0.25">
      <c r="A2" s="132"/>
      <c r="B2" s="19" t="s">
        <v>33</v>
      </c>
      <c r="C2" s="283" t="s">
        <v>66</v>
      </c>
      <c r="D2" s="283"/>
      <c r="E2" s="20"/>
      <c r="F2" s="20"/>
      <c r="G2" s="20"/>
      <c r="H2" s="138">
        <v>2</v>
      </c>
      <c r="I2" s="139">
        <v>50</v>
      </c>
      <c r="J2" s="139">
        <v>10</v>
      </c>
      <c r="K2" s="140">
        <f>3*H2^(1/3)</f>
        <v>3.7797631496846193</v>
      </c>
      <c r="L2" s="136"/>
      <c r="M2" s="136"/>
    </row>
    <row r="3" spans="1:36" ht="14.45" customHeight="1" x14ac:dyDescent="0.25">
      <c r="A3" s="132"/>
      <c r="B3" s="141" t="s">
        <v>35</v>
      </c>
      <c r="C3" s="284" t="s">
        <v>246</v>
      </c>
      <c r="D3" s="284"/>
      <c r="E3" s="25"/>
      <c r="F3" s="25"/>
      <c r="G3" s="25"/>
      <c r="H3" s="136"/>
      <c r="I3" s="136"/>
      <c r="J3" s="142"/>
      <c r="K3" s="136"/>
      <c r="L3" s="136"/>
      <c r="M3" s="136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36"/>
      <c r="I4" s="136"/>
      <c r="J4" s="142"/>
      <c r="K4" s="136"/>
      <c r="L4" s="136"/>
      <c r="M4" s="136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43" t="s">
        <v>43</v>
      </c>
      <c r="I5" s="144" t="s">
        <v>44</v>
      </c>
      <c r="J5" s="145" t="s">
        <v>45</v>
      </c>
      <c r="K5" s="144" t="s">
        <v>46</v>
      </c>
      <c r="L5" s="144" t="s">
        <v>47</v>
      </c>
      <c r="M5" s="143" t="s">
        <v>48</v>
      </c>
    </row>
    <row r="6" spans="1:36" ht="14.45" customHeight="1" x14ac:dyDescent="0.25">
      <c r="A6" s="32">
        <f>M6</f>
        <v>71.339289449053865</v>
      </c>
      <c r="B6" s="33">
        <f t="shared" ref="B6:B13" si="0">IF(H6&gt;$H$2,"",(ROW()-5))</f>
        <v>1</v>
      </c>
      <c r="C6" s="34" t="s">
        <v>21</v>
      </c>
      <c r="D6" s="34"/>
      <c r="E6" s="34"/>
      <c r="F6" s="34"/>
      <c r="G6" s="27"/>
      <c r="H6" s="146">
        <v>1</v>
      </c>
      <c r="I6" s="147">
        <f>IF(H2=1,50,IF(H6&lt;$H$2+1,($I$2-($I$2-1)*(LOG(H6)/LOG($H$2))),""))</f>
        <v>50</v>
      </c>
      <c r="J6" s="146">
        <f>INT(LOG($H$2,2))-ROUNDUP(LOG(H6,2),0)+IF(OR($H$2=1,$H$2=2,$H$2=4,$H$2=8,$H$2=16,$H$2=32,$H$2=64,$H$2=128,$H$2=256),0,1)</f>
        <v>1</v>
      </c>
      <c r="K6" s="146">
        <f t="shared" ref="K6:K69" si="1">J6*$J$2</f>
        <v>10</v>
      </c>
      <c r="L6" s="148">
        <f>3*K2</f>
        <v>11.339289449053858</v>
      </c>
      <c r="M6" s="148">
        <f t="shared" ref="M6:M69" si="2">IF(I6&lt;&gt;"",K6+I6+L6,0)</f>
        <v>71.339289449053865</v>
      </c>
    </row>
    <row r="7" spans="1:36" ht="14.45" customHeight="1" x14ac:dyDescent="0.25">
      <c r="A7" s="38">
        <f t="shared" ref="A7:A37" si="3">M7</f>
        <v>8.5595262993692387</v>
      </c>
      <c r="B7" s="39">
        <f t="shared" si="0"/>
        <v>2</v>
      </c>
      <c r="C7" s="40" t="s">
        <v>247</v>
      </c>
      <c r="D7" s="40"/>
      <c r="E7" s="40"/>
      <c r="F7" s="40"/>
      <c r="G7" s="27"/>
      <c r="H7" s="149">
        <v>2</v>
      </c>
      <c r="I7" s="150">
        <f t="shared" ref="I7:I70" si="4">IF(H7&lt;$H$2+1,($I$2-($I$2-1)*(LOG(H7)/LOG($H$2))),"")</f>
        <v>1</v>
      </c>
      <c r="J7" s="149">
        <f t="shared" ref="J7:J70" si="5">INT(LOG($H$2,2))-ROUNDUP(LOG(H7,2),0)+IF(OR($H$2=1,$H$2=2,$H$2=4,$H$2=8,$H$2=16,$H$2=32,$H$2=64,$H$2=128,$H$2=256),0,1)</f>
        <v>0</v>
      </c>
      <c r="K7" s="149">
        <f t="shared" si="1"/>
        <v>0</v>
      </c>
      <c r="L7" s="151">
        <f>2*K2</f>
        <v>7.5595262993692387</v>
      </c>
      <c r="M7" s="151">
        <f t="shared" si="2"/>
        <v>8.5595262993692387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46">
        <v>3</v>
      </c>
      <c r="I8" s="147" t="str">
        <f t="shared" si="4"/>
        <v/>
      </c>
      <c r="J8" s="146">
        <f t="shared" si="5"/>
        <v>-1</v>
      </c>
      <c r="K8" s="146">
        <f t="shared" si="1"/>
        <v>-10</v>
      </c>
      <c r="L8" s="148">
        <f>K2</f>
        <v>3.7797631496846193</v>
      </c>
      <c r="M8" s="148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49">
        <v>4</v>
      </c>
      <c r="I9" s="150" t="str">
        <f t="shared" si="4"/>
        <v/>
      </c>
      <c r="J9" s="149">
        <f t="shared" si="5"/>
        <v>-1</v>
      </c>
      <c r="K9" s="149">
        <f t="shared" si="1"/>
        <v>-10</v>
      </c>
      <c r="L9" s="151"/>
      <c r="M9" s="151">
        <f t="shared" si="2"/>
        <v>0</v>
      </c>
      <c r="V9" s="152"/>
      <c r="Z9" s="153"/>
      <c r="AA9" s="153"/>
      <c r="AG9" s="154"/>
      <c r="AH9" s="137" t="s">
        <v>54</v>
      </c>
      <c r="AI9" s="137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46">
        <v>5</v>
      </c>
      <c r="I10" s="147" t="str">
        <f t="shared" si="4"/>
        <v/>
      </c>
      <c r="J10" s="146">
        <f t="shared" si="5"/>
        <v>-2</v>
      </c>
      <c r="K10" s="146">
        <f t="shared" si="1"/>
        <v>-20</v>
      </c>
      <c r="L10" s="146"/>
      <c r="M10" s="148">
        <f t="shared" si="2"/>
        <v>0</v>
      </c>
      <c r="V10" s="152"/>
      <c r="Z10" s="153"/>
      <c r="AA10" s="153"/>
      <c r="AG10" s="154"/>
      <c r="AH10" s="137" t="s">
        <v>55</v>
      </c>
      <c r="AI10" s="137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49">
        <v>6</v>
      </c>
      <c r="I11" s="150" t="str">
        <f t="shared" si="4"/>
        <v/>
      </c>
      <c r="J11" s="149">
        <f t="shared" si="5"/>
        <v>-2</v>
      </c>
      <c r="K11" s="149">
        <f t="shared" si="1"/>
        <v>-20</v>
      </c>
      <c r="L11" s="149"/>
      <c r="M11" s="151">
        <f t="shared" si="2"/>
        <v>0</v>
      </c>
      <c r="V11" s="155"/>
      <c r="Z11" s="153"/>
      <c r="AA11" s="153"/>
      <c r="AG11" s="154"/>
      <c r="AH11" s="137" t="s">
        <v>56</v>
      </c>
      <c r="AI11" s="137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46">
        <v>7</v>
      </c>
      <c r="I12" s="147" t="str">
        <f t="shared" si="4"/>
        <v/>
      </c>
      <c r="J12" s="146">
        <f t="shared" si="5"/>
        <v>-2</v>
      </c>
      <c r="K12" s="146">
        <f t="shared" si="1"/>
        <v>-20</v>
      </c>
      <c r="L12" s="146"/>
      <c r="M12" s="148">
        <f t="shared" si="2"/>
        <v>0</v>
      </c>
      <c r="Z12" s="153"/>
      <c r="AA12" s="153"/>
      <c r="AG12" s="154"/>
      <c r="AH12" s="137" t="s">
        <v>57</v>
      </c>
      <c r="AI12" s="137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49">
        <v>8</v>
      </c>
      <c r="I13" s="150" t="str">
        <f t="shared" si="4"/>
        <v/>
      </c>
      <c r="J13" s="149">
        <f t="shared" si="5"/>
        <v>-2</v>
      </c>
      <c r="K13" s="149">
        <f t="shared" si="1"/>
        <v>-20</v>
      </c>
      <c r="L13" s="149"/>
      <c r="M13" s="151">
        <f t="shared" si="2"/>
        <v>0</v>
      </c>
      <c r="X13" s="152"/>
      <c r="AG13" s="154"/>
      <c r="AH13" s="137" t="s">
        <v>58</v>
      </c>
      <c r="AI13" s="137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46">
        <v>9</v>
      </c>
      <c r="I14" s="147" t="str">
        <f t="shared" si="4"/>
        <v/>
      </c>
      <c r="J14" s="146">
        <f t="shared" si="5"/>
        <v>-3</v>
      </c>
      <c r="K14" s="146">
        <f t="shared" si="1"/>
        <v>-30</v>
      </c>
      <c r="L14" s="146"/>
      <c r="M14" s="148">
        <f t="shared" si="2"/>
        <v>0</v>
      </c>
      <c r="X14" s="156"/>
      <c r="Z14" s="153"/>
      <c r="AA14" s="153"/>
      <c r="AG14" s="154"/>
      <c r="AH14" s="137" t="s">
        <v>59</v>
      </c>
      <c r="AI14" s="137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49">
        <v>10</v>
      </c>
      <c r="I15" s="150" t="str">
        <f t="shared" si="4"/>
        <v/>
      </c>
      <c r="J15" s="149">
        <f t="shared" si="5"/>
        <v>-3</v>
      </c>
      <c r="K15" s="149">
        <f t="shared" si="1"/>
        <v>-30</v>
      </c>
      <c r="L15" s="149"/>
      <c r="M15" s="151">
        <f t="shared" si="2"/>
        <v>0</v>
      </c>
      <c r="X15" s="152"/>
      <c r="Z15" s="153"/>
      <c r="AA15" s="153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46">
        <v>11</v>
      </c>
      <c r="I16" s="147" t="str">
        <f t="shared" si="4"/>
        <v/>
      </c>
      <c r="J16" s="146">
        <f t="shared" si="5"/>
        <v>-3</v>
      </c>
      <c r="K16" s="146">
        <f t="shared" si="1"/>
        <v>-30</v>
      </c>
      <c r="L16" s="146"/>
      <c r="M16" s="148">
        <f t="shared" si="2"/>
        <v>0</v>
      </c>
      <c r="R16" s="157"/>
      <c r="Z16" s="153"/>
      <c r="AA16" s="153"/>
      <c r="AH16" s="158" t="s">
        <v>60</v>
      </c>
      <c r="AI16" s="137">
        <f>AI11-AI12*AI13/AI14</f>
        <v>9.6393909380186855</v>
      </c>
      <c r="AJ16" s="137" t="s">
        <v>61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49">
        <v>12</v>
      </c>
      <c r="I17" s="150" t="str">
        <f t="shared" si="4"/>
        <v/>
      </c>
      <c r="J17" s="149">
        <f t="shared" si="5"/>
        <v>-3</v>
      </c>
      <c r="K17" s="149">
        <f t="shared" si="1"/>
        <v>-30</v>
      </c>
      <c r="L17" s="149"/>
      <c r="M17" s="151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46">
        <v>13</v>
      </c>
      <c r="I18" s="147" t="str">
        <f t="shared" si="4"/>
        <v/>
      </c>
      <c r="J18" s="146">
        <f t="shared" si="5"/>
        <v>-3</v>
      </c>
      <c r="K18" s="146">
        <f t="shared" si="1"/>
        <v>-30</v>
      </c>
      <c r="L18" s="146"/>
      <c r="M18" s="148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49">
        <v>14</v>
      </c>
      <c r="I19" s="150" t="str">
        <f t="shared" si="4"/>
        <v/>
      </c>
      <c r="J19" s="149">
        <f t="shared" si="5"/>
        <v>-3</v>
      </c>
      <c r="K19" s="149">
        <f t="shared" si="1"/>
        <v>-30</v>
      </c>
      <c r="L19" s="149"/>
      <c r="M19" s="151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46">
        <v>15</v>
      </c>
      <c r="I20" s="147" t="str">
        <f t="shared" si="4"/>
        <v/>
      </c>
      <c r="J20" s="146">
        <f t="shared" si="5"/>
        <v>-3</v>
      </c>
      <c r="K20" s="146">
        <f t="shared" si="1"/>
        <v>-30</v>
      </c>
      <c r="L20" s="146"/>
      <c r="M20" s="148">
        <f t="shared" si="2"/>
        <v>0</v>
      </c>
      <c r="R20" s="159"/>
      <c r="S20" s="160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49">
        <v>16</v>
      </c>
      <c r="I21" s="150" t="str">
        <f t="shared" si="4"/>
        <v/>
      </c>
      <c r="J21" s="149">
        <f t="shared" si="5"/>
        <v>-3</v>
      </c>
      <c r="K21" s="149">
        <f t="shared" si="1"/>
        <v>-30</v>
      </c>
      <c r="L21" s="149"/>
      <c r="M21" s="151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46">
        <v>17</v>
      </c>
      <c r="I22" s="147" t="str">
        <f t="shared" si="4"/>
        <v/>
      </c>
      <c r="J22" s="146">
        <f t="shared" si="5"/>
        <v>-4</v>
      </c>
      <c r="K22" s="146">
        <f t="shared" si="1"/>
        <v>-40</v>
      </c>
      <c r="L22" s="146"/>
      <c r="M22" s="148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49">
        <v>18</v>
      </c>
      <c r="I23" s="150" t="str">
        <f t="shared" si="4"/>
        <v/>
      </c>
      <c r="J23" s="149">
        <f t="shared" si="5"/>
        <v>-4</v>
      </c>
      <c r="K23" s="149">
        <f t="shared" si="1"/>
        <v>-40</v>
      </c>
      <c r="L23" s="149"/>
      <c r="M23" s="151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46">
        <v>19</v>
      </c>
      <c r="I24" s="147" t="str">
        <f t="shared" si="4"/>
        <v/>
      </c>
      <c r="J24" s="146">
        <f t="shared" si="5"/>
        <v>-4</v>
      </c>
      <c r="K24" s="146">
        <f t="shared" si="1"/>
        <v>-40</v>
      </c>
      <c r="L24" s="146"/>
      <c r="M24" s="148">
        <f t="shared" si="2"/>
        <v>0</v>
      </c>
      <c r="R24" s="159"/>
      <c r="S24" s="160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49">
        <v>20</v>
      </c>
      <c r="I25" s="150" t="str">
        <f t="shared" si="4"/>
        <v/>
      </c>
      <c r="J25" s="149">
        <f t="shared" si="5"/>
        <v>-4</v>
      </c>
      <c r="K25" s="149">
        <f t="shared" si="1"/>
        <v>-40</v>
      </c>
      <c r="L25" s="149"/>
      <c r="M25" s="151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46">
        <v>21</v>
      </c>
      <c r="I26" s="147" t="str">
        <f t="shared" si="4"/>
        <v/>
      </c>
      <c r="J26" s="146">
        <f t="shared" si="5"/>
        <v>-4</v>
      </c>
      <c r="K26" s="146">
        <f t="shared" si="1"/>
        <v>-40</v>
      </c>
      <c r="L26" s="146"/>
      <c r="M26" s="148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49">
        <v>22</v>
      </c>
      <c r="I27" s="150" t="str">
        <f t="shared" si="4"/>
        <v/>
      </c>
      <c r="J27" s="149">
        <f t="shared" si="5"/>
        <v>-4</v>
      </c>
      <c r="K27" s="149">
        <f t="shared" si="1"/>
        <v>-40</v>
      </c>
      <c r="L27" s="149"/>
      <c r="M27" s="151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46">
        <v>23</v>
      </c>
      <c r="I28" s="147" t="str">
        <f t="shared" si="4"/>
        <v/>
      </c>
      <c r="J28" s="146">
        <f t="shared" si="5"/>
        <v>-4</v>
      </c>
      <c r="K28" s="146">
        <f t="shared" si="1"/>
        <v>-40</v>
      </c>
      <c r="L28" s="146"/>
      <c r="M28" s="148">
        <f t="shared" si="2"/>
        <v>0</v>
      </c>
      <c r="R28" s="159"/>
      <c r="S28" s="160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2"/>
      <c r="H29" s="149">
        <v>24</v>
      </c>
      <c r="I29" s="150" t="str">
        <f t="shared" si="4"/>
        <v/>
      </c>
      <c r="J29" s="149">
        <f t="shared" si="5"/>
        <v>-4</v>
      </c>
      <c r="K29" s="149">
        <f t="shared" si="1"/>
        <v>-40</v>
      </c>
      <c r="L29" s="149"/>
      <c r="M29" s="151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2"/>
      <c r="H30" s="146">
        <v>25</v>
      </c>
      <c r="I30" s="147" t="str">
        <f t="shared" si="4"/>
        <v/>
      </c>
      <c r="J30" s="146">
        <f t="shared" si="5"/>
        <v>-4</v>
      </c>
      <c r="K30" s="146">
        <f t="shared" si="1"/>
        <v>-40</v>
      </c>
      <c r="L30" s="146"/>
      <c r="M30" s="148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2"/>
      <c r="H31" s="149">
        <v>26</v>
      </c>
      <c r="I31" s="150" t="str">
        <f t="shared" si="4"/>
        <v/>
      </c>
      <c r="J31" s="149">
        <f t="shared" si="5"/>
        <v>-4</v>
      </c>
      <c r="K31" s="149">
        <f t="shared" si="1"/>
        <v>-40</v>
      </c>
      <c r="L31" s="149"/>
      <c r="M31" s="151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2"/>
      <c r="H32" s="146">
        <v>27</v>
      </c>
      <c r="I32" s="147" t="str">
        <f t="shared" si="4"/>
        <v/>
      </c>
      <c r="J32" s="146">
        <f t="shared" si="5"/>
        <v>-4</v>
      </c>
      <c r="K32" s="146">
        <f t="shared" si="1"/>
        <v>-40</v>
      </c>
      <c r="L32" s="146"/>
      <c r="M32" s="148">
        <f t="shared" si="2"/>
        <v>0</v>
      </c>
      <c r="R32" s="159"/>
      <c r="S32" s="160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2"/>
      <c r="H33" s="149">
        <v>28</v>
      </c>
      <c r="I33" s="150" t="str">
        <f t="shared" si="4"/>
        <v/>
      </c>
      <c r="J33" s="149">
        <f t="shared" si="5"/>
        <v>-4</v>
      </c>
      <c r="K33" s="149">
        <f t="shared" si="1"/>
        <v>-40</v>
      </c>
      <c r="L33" s="149"/>
      <c r="M33" s="151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2"/>
      <c r="H34" s="146">
        <v>29</v>
      </c>
      <c r="I34" s="147" t="str">
        <f t="shared" si="4"/>
        <v/>
      </c>
      <c r="J34" s="146">
        <f t="shared" si="5"/>
        <v>-4</v>
      </c>
      <c r="K34" s="146">
        <f t="shared" si="1"/>
        <v>-40</v>
      </c>
      <c r="L34" s="146"/>
      <c r="M34" s="148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2"/>
      <c r="H35" s="149">
        <v>30</v>
      </c>
      <c r="I35" s="150" t="str">
        <f t="shared" si="4"/>
        <v/>
      </c>
      <c r="J35" s="149">
        <f t="shared" si="5"/>
        <v>-4</v>
      </c>
      <c r="K35" s="149">
        <f t="shared" si="1"/>
        <v>-40</v>
      </c>
      <c r="L35" s="149"/>
      <c r="M35" s="151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2"/>
      <c r="H36" s="146">
        <v>31</v>
      </c>
      <c r="I36" s="147" t="str">
        <f t="shared" si="4"/>
        <v/>
      </c>
      <c r="J36" s="146">
        <f t="shared" si="5"/>
        <v>-4</v>
      </c>
      <c r="K36" s="146">
        <f t="shared" si="1"/>
        <v>-40</v>
      </c>
      <c r="L36" s="146"/>
      <c r="M36" s="148">
        <f t="shared" si="2"/>
        <v>0</v>
      </c>
      <c r="R36" s="159"/>
      <c r="S36" s="160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2"/>
      <c r="H37" s="149">
        <v>32</v>
      </c>
      <c r="I37" s="150" t="str">
        <f t="shared" si="4"/>
        <v/>
      </c>
      <c r="J37" s="149">
        <f t="shared" si="5"/>
        <v>-4</v>
      </c>
      <c r="K37" s="149">
        <f t="shared" si="1"/>
        <v>-40</v>
      </c>
      <c r="L37" s="149"/>
      <c r="M37" s="151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2"/>
      <c r="H38" s="146">
        <v>33</v>
      </c>
      <c r="I38" s="147" t="str">
        <f t="shared" si="4"/>
        <v/>
      </c>
      <c r="J38" s="146">
        <f t="shared" si="5"/>
        <v>-5</v>
      </c>
      <c r="K38" s="146">
        <f t="shared" si="1"/>
        <v>-50</v>
      </c>
      <c r="L38" s="146"/>
      <c r="M38" s="148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2"/>
      <c r="H39" s="149">
        <v>34</v>
      </c>
      <c r="I39" s="150" t="str">
        <f t="shared" si="4"/>
        <v/>
      </c>
      <c r="J39" s="149">
        <f t="shared" si="5"/>
        <v>-5</v>
      </c>
      <c r="K39" s="149">
        <f t="shared" si="1"/>
        <v>-50</v>
      </c>
      <c r="L39" s="149"/>
      <c r="M39" s="151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2"/>
      <c r="H40" s="146">
        <v>35</v>
      </c>
      <c r="I40" s="147" t="str">
        <f t="shared" si="4"/>
        <v/>
      </c>
      <c r="J40" s="146">
        <f t="shared" si="5"/>
        <v>-5</v>
      </c>
      <c r="K40" s="146">
        <f t="shared" si="1"/>
        <v>-50</v>
      </c>
      <c r="L40" s="146"/>
      <c r="M40" s="148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2"/>
      <c r="H41" s="149">
        <v>36</v>
      </c>
      <c r="I41" s="150" t="str">
        <f t="shared" si="4"/>
        <v/>
      </c>
      <c r="J41" s="149">
        <f t="shared" si="5"/>
        <v>-5</v>
      </c>
      <c r="K41" s="149">
        <f t="shared" si="1"/>
        <v>-50</v>
      </c>
      <c r="L41" s="149"/>
      <c r="M41" s="151">
        <f t="shared" si="2"/>
        <v>0</v>
      </c>
      <c r="S41" s="161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2"/>
      <c r="H42" s="146">
        <v>37</v>
      </c>
      <c r="I42" s="147" t="str">
        <f t="shared" si="4"/>
        <v/>
      </c>
      <c r="J42" s="146">
        <f t="shared" si="5"/>
        <v>-5</v>
      </c>
      <c r="K42" s="146">
        <f t="shared" si="1"/>
        <v>-50</v>
      </c>
      <c r="L42" s="146"/>
      <c r="M42" s="148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2"/>
      <c r="H43" s="149">
        <v>38</v>
      </c>
      <c r="I43" s="150" t="str">
        <f t="shared" si="4"/>
        <v/>
      </c>
      <c r="J43" s="149">
        <f t="shared" si="5"/>
        <v>-5</v>
      </c>
      <c r="K43" s="149">
        <f t="shared" si="1"/>
        <v>-50</v>
      </c>
      <c r="L43" s="149"/>
      <c r="M43" s="151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2"/>
      <c r="H44" s="146">
        <v>39</v>
      </c>
      <c r="I44" s="147" t="str">
        <f t="shared" si="4"/>
        <v/>
      </c>
      <c r="J44" s="146">
        <f t="shared" si="5"/>
        <v>-5</v>
      </c>
      <c r="K44" s="146">
        <f t="shared" si="1"/>
        <v>-50</v>
      </c>
      <c r="L44" s="146"/>
      <c r="M44" s="148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2"/>
      <c r="H45" s="149">
        <v>40</v>
      </c>
      <c r="I45" s="150" t="str">
        <f t="shared" si="4"/>
        <v/>
      </c>
      <c r="J45" s="149">
        <f t="shared" si="5"/>
        <v>-5</v>
      </c>
      <c r="K45" s="149">
        <f t="shared" si="1"/>
        <v>-50</v>
      </c>
      <c r="L45" s="149"/>
      <c r="M45" s="151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2"/>
      <c r="H46" s="146">
        <v>41</v>
      </c>
      <c r="I46" s="147" t="str">
        <f t="shared" si="4"/>
        <v/>
      </c>
      <c r="J46" s="146">
        <f t="shared" si="5"/>
        <v>-5</v>
      </c>
      <c r="K46" s="146">
        <f t="shared" si="1"/>
        <v>-50</v>
      </c>
      <c r="L46" s="146"/>
      <c r="M46" s="148">
        <f t="shared" si="2"/>
        <v>0</v>
      </c>
      <c r="R46" s="132">
        <f>LOG($H$2,2)</f>
        <v>1</v>
      </c>
      <c r="T46" s="137">
        <f>LOG(H38,2)</f>
        <v>5.0443941193584534</v>
      </c>
      <c r="U46" s="137">
        <f>R46-T46</f>
        <v>-4.0443941193584534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2"/>
      <c r="H47" s="149">
        <v>42</v>
      </c>
      <c r="I47" s="150" t="str">
        <f t="shared" si="4"/>
        <v/>
      </c>
      <c r="J47" s="149">
        <f t="shared" si="5"/>
        <v>-5</v>
      </c>
      <c r="K47" s="149">
        <f t="shared" si="1"/>
        <v>-50</v>
      </c>
      <c r="L47" s="149"/>
      <c r="M47" s="151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2"/>
      <c r="H48" s="146">
        <v>43</v>
      </c>
      <c r="I48" s="147" t="str">
        <f t="shared" si="4"/>
        <v/>
      </c>
      <c r="J48" s="146">
        <f t="shared" si="5"/>
        <v>-5</v>
      </c>
      <c r="K48" s="146">
        <f t="shared" si="1"/>
        <v>-50</v>
      </c>
      <c r="L48" s="146"/>
      <c r="M48" s="148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2"/>
      <c r="H49" s="149">
        <v>44</v>
      </c>
      <c r="I49" s="150" t="str">
        <f t="shared" si="4"/>
        <v/>
      </c>
      <c r="J49" s="149">
        <f t="shared" si="5"/>
        <v>-5</v>
      </c>
      <c r="K49" s="149">
        <f t="shared" si="1"/>
        <v>-50</v>
      </c>
      <c r="L49" s="149"/>
      <c r="M49" s="151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2"/>
      <c r="H50" s="146">
        <v>45</v>
      </c>
      <c r="I50" s="147" t="str">
        <f t="shared" si="4"/>
        <v/>
      </c>
      <c r="J50" s="146">
        <f t="shared" si="5"/>
        <v>-5</v>
      </c>
      <c r="K50" s="146">
        <f t="shared" si="1"/>
        <v>-50</v>
      </c>
      <c r="L50" s="146"/>
      <c r="M50" s="148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2"/>
      <c r="H51" s="149">
        <v>46</v>
      </c>
      <c r="I51" s="150" t="str">
        <f t="shared" si="4"/>
        <v/>
      </c>
      <c r="J51" s="149">
        <f t="shared" si="5"/>
        <v>-5</v>
      </c>
      <c r="K51" s="149">
        <f t="shared" si="1"/>
        <v>-50</v>
      </c>
      <c r="L51" s="149"/>
      <c r="M51" s="151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2"/>
      <c r="H52" s="146">
        <v>47</v>
      </c>
      <c r="I52" s="147" t="str">
        <f t="shared" si="4"/>
        <v/>
      </c>
      <c r="J52" s="146">
        <f t="shared" si="5"/>
        <v>-5</v>
      </c>
      <c r="K52" s="146">
        <f t="shared" si="1"/>
        <v>-50</v>
      </c>
      <c r="L52" s="146"/>
      <c r="M52" s="148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2"/>
      <c r="H53" s="149">
        <v>48</v>
      </c>
      <c r="I53" s="150" t="str">
        <f t="shared" si="4"/>
        <v/>
      </c>
      <c r="J53" s="149">
        <f t="shared" si="5"/>
        <v>-5</v>
      </c>
      <c r="K53" s="149">
        <f t="shared" si="1"/>
        <v>-50</v>
      </c>
      <c r="L53" s="149"/>
      <c r="M53" s="151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2"/>
      <c r="H54" s="146">
        <v>49</v>
      </c>
      <c r="I54" s="147" t="str">
        <f t="shared" si="4"/>
        <v/>
      </c>
      <c r="J54" s="146">
        <f t="shared" si="5"/>
        <v>-5</v>
      </c>
      <c r="K54" s="146">
        <f t="shared" si="1"/>
        <v>-50</v>
      </c>
      <c r="L54" s="146"/>
      <c r="M54" s="148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2"/>
      <c r="H55" s="149">
        <v>50</v>
      </c>
      <c r="I55" s="150" t="str">
        <f t="shared" si="4"/>
        <v/>
      </c>
      <c r="J55" s="149">
        <f t="shared" si="5"/>
        <v>-5</v>
      </c>
      <c r="K55" s="149">
        <f t="shared" si="1"/>
        <v>-50</v>
      </c>
      <c r="L55" s="149"/>
      <c r="M55" s="151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2"/>
      <c r="H56" s="146">
        <v>51</v>
      </c>
      <c r="I56" s="147" t="str">
        <f t="shared" si="4"/>
        <v/>
      </c>
      <c r="J56" s="146">
        <f t="shared" si="5"/>
        <v>-5</v>
      </c>
      <c r="K56" s="146">
        <f t="shared" si="1"/>
        <v>-50</v>
      </c>
      <c r="L56" s="146"/>
      <c r="M56" s="148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2"/>
      <c r="H57" s="149">
        <v>52</v>
      </c>
      <c r="I57" s="150" t="str">
        <f t="shared" si="4"/>
        <v/>
      </c>
      <c r="J57" s="149">
        <f t="shared" si="5"/>
        <v>-5</v>
      </c>
      <c r="K57" s="149">
        <f t="shared" si="1"/>
        <v>-50</v>
      </c>
      <c r="L57" s="149"/>
      <c r="M57" s="151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2"/>
      <c r="H58" s="146">
        <v>53</v>
      </c>
      <c r="I58" s="147" t="str">
        <f t="shared" si="4"/>
        <v/>
      </c>
      <c r="J58" s="146">
        <f t="shared" si="5"/>
        <v>-5</v>
      </c>
      <c r="K58" s="146">
        <f t="shared" si="1"/>
        <v>-50</v>
      </c>
      <c r="L58" s="146"/>
      <c r="M58" s="148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2"/>
      <c r="H59" s="149">
        <v>54</v>
      </c>
      <c r="I59" s="150" t="str">
        <f t="shared" si="4"/>
        <v/>
      </c>
      <c r="J59" s="149">
        <f t="shared" si="5"/>
        <v>-5</v>
      </c>
      <c r="K59" s="149">
        <f t="shared" si="1"/>
        <v>-50</v>
      </c>
      <c r="L59" s="149"/>
      <c r="M59" s="151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2"/>
      <c r="H60" s="146">
        <v>55</v>
      </c>
      <c r="I60" s="147" t="str">
        <f t="shared" si="4"/>
        <v/>
      </c>
      <c r="J60" s="146">
        <f t="shared" si="5"/>
        <v>-5</v>
      </c>
      <c r="K60" s="146">
        <f t="shared" si="1"/>
        <v>-50</v>
      </c>
      <c r="L60" s="146"/>
      <c r="M60" s="148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2"/>
      <c r="H61" s="149">
        <v>56</v>
      </c>
      <c r="I61" s="150" t="str">
        <f t="shared" si="4"/>
        <v/>
      </c>
      <c r="J61" s="149">
        <f t="shared" si="5"/>
        <v>-5</v>
      </c>
      <c r="K61" s="149">
        <f t="shared" si="1"/>
        <v>-50</v>
      </c>
      <c r="L61" s="149"/>
      <c r="M61" s="151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2"/>
      <c r="H62" s="146">
        <v>57</v>
      </c>
      <c r="I62" s="147" t="str">
        <f t="shared" si="4"/>
        <v/>
      </c>
      <c r="J62" s="146">
        <f t="shared" si="5"/>
        <v>-5</v>
      </c>
      <c r="K62" s="146">
        <f t="shared" si="1"/>
        <v>-50</v>
      </c>
      <c r="L62" s="146"/>
      <c r="M62" s="148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2"/>
      <c r="H63" s="149">
        <v>58</v>
      </c>
      <c r="I63" s="150" t="str">
        <f t="shared" si="4"/>
        <v/>
      </c>
      <c r="J63" s="149">
        <f t="shared" si="5"/>
        <v>-5</v>
      </c>
      <c r="K63" s="149">
        <f t="shared" si="1"/>
        <v>-50</v>
      </c>
      <c r="L63" s="149"/>
      <c r="M63" s="151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2"/>
      <c r="H64" s="146">
        <v>59</v>
      </c>
      <c r="I64" s="147" t="str">
        <f t="shared" si="4"/>
        <v/>
      </c>
      <c r="J64" s="146">
        <f t="shared" si="5"/>
        <v>-5</v>
      </c>
      <c r="K64" s="146">
        <f t="shared" si="1"/>
        <v>-50</v>
      </c>
      <c r="L64" s="146"/>
      <c r="M64" s="148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2"/>
      <c r="H65" s="149">
        <v>60</v>
      </c>
      <c r="I65" s="150" t="str">
        <f t="shared" si="4"/>
        <v/>
      </c>
      <c r="J65" s="149">
        <f t="shared" si="5"/>
        <v>-5</v>
      </c>
      <c r="K65" s="149">
        <f t="shared" si="1"/>
        <v>-50</v>
      </c>
      <c r="L65" s="149"/>
      <c r="M65" s="151">
        <f t="shared" si="2"/>
        <v>0</v>
      </c>
    </row>
    <row r="66" spans="1:13" x14ac:dyDescent="0.25">
      <c r="A66" s="162"/>
      <c r="B66" s="33"/>
      <c r="G66" s="132"/>
      <c r="H66" s="146">
        <v>61</v>
      </c>
      <c r="I66" s="147" t="str">
        <f t="shared" si="4"/>
        <v/>
      </c>
      <c r="J66" s="146">
        <f t="shared" si="5"/>
        <v>-5</v>
      </c>
      <c r="K66" s="146">
        <f t="shared" si="1"/>
        <v>-50</v>
      </c>
      <c r="L66" s="146"/>
      <c r="M66" s="148">
        <f t="shared" si="2"/>
        <v>0</v>
      </c>
    </row>
    <row r="67" spans="1:13" x14ac:dyDescent="0.25">
      <c r="A67" s="162"/>
      <c r="B67" s="39"/>
      <c r="G67" s="132"/>
      <c r="H67" s="146">
        <v>62</v>
      </c>
      <c r="I67" s="147" t="str">
        <f t="shared" si="4"/>
        <v/>
      </c>
      <c r="J67" s="146">
        <f t="shared" si="5"/>
        <v>-5</v>
      </c>
      <c r="K67" s="146">
        <f t="shared" si="1"/>
        <v>-50</v>
      </c>
      <c r="L67" s="146"/>
      <c r="M67" s="148">
        <f t="shared" si="2"/>
        <v>0</v>
      </c>
    </row>
    <row r="68" spans="1:13" x14ac:dyDescent="0.25">
      <c r="A68" s="162"/>
      <c r="B68" s="33"/>
      <c r="G68" s="132"/>
      <c r="H68" s="146">
        <v>63</v>
      </c>
      <c r="I68" s="147" t="str">
        <f t="shared" si="4"/>
        <v/>
      </c>
      <c r="J68" s="146">
        <f t="shared" si="5"/>
        <v>-5</v>
      </c>
      <c r="K68" s="146">
        <f t="shared" si="1"/>
        <v>-50</v>
      </c>
      <c r="L68" s="146"/>
      <c r="M68" s="148">
        <f t="shared" si="2"/>
        <v>0</v>
      </c>
    </row>
    <row r="69" spans="1:13" x14ac:dyDescent="0.25">
      <c r="A69" s="162"/>
      <c r="B69" s="39"/>
      <c r="G69" s="132"/>
      <c r="H69" s="146">
        <v>64</v>
      </c>
      <c r="I69" s="147" t="str">
        <f t="shared" si="4"/>
        <v/>
      </c>
      <c r="J69" s="146">
        <f t="shared" si="5"/>
        <v>-5</v>
      </c>
      <c r="K69" s="146">
        <f t="shared" si="1"/>
        <v>-50</v>
      </c>
      <c r="L69" s="146"/>
      <c r="M69" s="148">
        <f t="shared" si="2"/>
        <v>0</v>
      </c>
    </row>
    <row r="70" spans="1:13" x14ac:dyDescent="0.25">
      <c r="A70" s="162"/>
      <c r="G70" s="132"/>
      <c r="H70" s="146">
        <v>65</v>
      </c>
      <c r="I70" s="147" t="str">
        <f t="shared" si="4"/>
        <v/>
      </c>
      <c r="J70" s="146">
        <f t="shared" si="5"/>
        <v>-6</v>
      </c>
      <c r="K70" s="146">
        <f t="shared" ref="K70:K133" si="7">J70*$J$2</f>
        <v>-60</v>
      </c>
      <c r="L70" s="146"/>
      <c r="M70" s="148">
        <f t="shared" ref="M70:M133" si="8">IF(I70&lt;&gt;"",K70+I70+L70,0)</f>
        <v>0</v>
      </c>
    </row>
    <row r="71" spans="1:13" x14ac:dyDescent="0.25">
      <c r="A71" s="162"/>
      <c r="G71" s="132"/>
      <c r="H71" s="146">
        <v>66</v>
      </c>
      <c r="I71" s="147" t="str">
        <f t="shared" ref="I71:I134" si="9">IF(H71&lt;$H$2+1,($I$2-($I$2-1)*(LOG(H71)/LOG($H$2))),"")</f>
        <v/>
      </c>
      <c r="J71" s="146">
        <f t="shared" ref="J71:J134" si="10">INT(LOG($H$2,2))-ROUNDUP(LOG(H71,2),0)+IF(OR($H$2=1,$H$2=2,$H$2=4,$H$2=8,$H$2=16,$H$2=32,$H$2=64,$H$2=128,$H$2=256),0,1)</f>
        <v>-6</v>
      </c>
      <c r="K71" s="146">
        <f t="shared" si="7"/>
        <v>-60</v>
      </c>
      <c r="L71" s="146"/>
      <c r="M71" s="148">
        <f t="shared" si="8"/>
        <v>0</v>
      </c>
    </row>
    <row r="72" spans="1:13" x14ac:dyDescent="0.25">
      <c r="A72" s="162"/>
      <c r="G72" s="132"/>
      <c r="H72" s="146">
        <v>67</v>
      </c>
      <c r="I72" s="147" t="str">
        <f t="shared" si="9"/>
        <v/>
      </c>
      <c r="J72" s="146">
        <f t="shared" si="10"/>
        <v>-6</v>
      </c>
      <c r="K72" s="146">
        <f t="shared" si="7"/>
        <v>-60</v>
      </c>
      <c r="L72" s="146"/>
      <c r="M72" s="148">
        <f t="shared" si="8"/>
        <v>0</v>
      </c>
    </row>
    <row r="73" spans="1:13" x14ac:dyDescent="0.25">
      <c r="A73" s="162"/>
      <c r="G73" s="132"/>
      <c r="H73" s="146">
        <v>68</v>
      </c>
      <c r="I73" s="147" t="str">
        <f t="shared" si="9"/>
        <v/>
      </c>
      <c r="J73" s="146">
        <f t="shared" si="10"/>
        <v>-6</v>
      </c>
      <c r="K73" s="146">
        <f t="shared" si="7"/>
        <v>-60</v>
      </c>
      <c r="L73" s="146"/>
      <c r="M73" s="148">
        <f t="shared" si="8"/>
        <v>0</v>
      </c>
    </row>
    <row r="74" spans="1:13" x14ac:dyDescent="0.25">
      <c r="A74" s="162"/>
      <c r="G74" s="132"/>
      <c r="H74" s="146">
        <v>69</v>
      </c>
      <c r="I74" s="147" t="str">
        <f t="shared" si="9"/>
        <v/>
      </c>
      <c r="J74" s="146">
        <f t="shared" si="10"/>
        <v>-6</v>
      </c>
      <c r="K74" s="146">
        <f t="shared" si="7"/>
        <v>-60</v>
      </c>
      <c r="L74" s="146"/>
      <c r="M74" s="148">
        <f t="shared" si="8"/>
        <v>0</v>
      </c>
    </row>
    <row r="75" spans="1:13" x14ac:dyDescent="0.25">
      <c r="A75" s="162"/>
      <c r="G75" s="132"/>
      <c r="H75" s="146">
        <v>70</v>
      </c>
      <c r="I75" s="147" t="str">
        <f t="shared" si="9"/>
        <v/>
      </c>
      <c r="J75" s="146">
        <f t="shared" si="10"/>
        <v>-6</v>
      </c>
      <c r="K75" s="146">
        <f t="shared" si="7"/>
        <v>-60</v>
      </c>
      <c r="L75" s="146"/>
      <c r="M75" s="148">
        <f t="shared" si="8"/>
        <v>0</v>
      </c>
    </row>
    <row r="76" spans="1:13" x14ac:dyDescent="0.25">
      <c r="A76" s="162"/>
      <c r="G76" s="132"/>
      <c r="H76" s="146">
        <v>71</v>
      </c>
      <c r="I76" s="147" t="str">
        <f t="shared" si="9"/>
        <v/>
      </c>
      <c r="J76" s="146">
        <f t="shared" si="10"/>
        <v>-6</v>
      </c>
      <c r="K76" s="146">
        <f t="shared" si="7"/>
        <v>-60</v>
      </c>
      <c r="L76" s="146"/>
      <c r="M76" s="148">
        <f t="shared" si="8"/>
        <v>0</v>
      </c>
    </row>
    <row r="77" spans="1:13" x14ac:dyDescent="0.25">
      <c r="A77" s="162"/>
      <c r="G77" s="132"/>
      <c r="H77" s="146">
        <v>72</v>
      </c>
      <c r="I77" s="147" t="str">
        <f t="shared" si="9"/>
        <v/>
      </c>
      <c r="J77" s="146">
        <f t="shared" si="10"/>
        <v>-6</v>
      </c>
      <c r="K77" s="146">
        <f t="shared" si="7"/>
        <v>-60</v>
      </c>
      <c r="L77" s="146"/>
      <c r="M77" s="148">
        <f t="shared" si="8"/>
        <v>0</v>
      </c>
    </row>
    <row r="78" spans="1:13" x14ac:dyDescent="0.25">
      <c r="A78" s="162"/>
      <c r="G78" s="132"/>
      <c r="H78" s="146">
        <v>73</v>
      </c>
      <c r="I78" s="147" t="str">
        <f t="shared" si="9"/>
        <v/>
      </c>
      <c r="J78" s="146">
        <f t="shared" si="10"/>
        <v>-6</v>
      </c>
      <c r="K78" s="146">
        <f t="shared" si="7"/>
        <v>-60</v>
      </c>
      <c r="L78" s="146"/>
      <c r="M78" s="148">
        <f t="shared" si="8"/>
        <v>0</v>
      </c>
    </row>
    <row r="79" spans="1:13" x14ac:dyDescent="0.25">
      <c r="A79" s="162"/>
      <c r="G79" s="132"/>
      <c r="H79" s="146">
        <v>74</v>
      </c>
      <c r="I79" s="147" t="str">
        <f t="shared" si="9"/>
        <v/>
      </c>
      <c r="J79" s="146">
        <f t="shared" si="10"/>
        <v>-6</v>
      </c>
      <c r="K79" s="146">
        <f t="shared" si="7"/>
        <v>-60</v>
      </c>
      <c r="L79" s="146"/>
      <c r="M79" s="148">
        <f t="shared" si="8"/>
        <v>0</v>
      </c>
    </row>
    <row r="80" spans="1:13" x14ac:dyDescent="0.25">
      <c r="A80" s="162"/>
      <c r="G80" s="132"/>
      <c r="H80" s="146">
        <v>75</v>
      </c>
      <c r="I80" s="147" t="str">
        <f t="shared" si="9"/>
        <v/>
      </c>
      <c r="J80" s="146">
        <f t="shared" si="10"/>
        <v>-6</v>
      </c>
      <c r="K80" s="146">
        <f t="shared" si="7"/>
        <v>-60</v>
      </c>
      <c r="L80" s="146"/>
      <c r="M80" s="148">
        <f t="shared" si="8"/>
        <v>0</v>
      </c>
    </row>
    <row r="81" spans="1:13" x14ac:dyDescent="0.25">
      <c r="A81" s="162"/>
      <c r="G81" s="132"/>
      <c r="H81" s="146">
        <v>76</v>
      </c>
      <c r="I81" s="147" t="str">
        <f t="shared" si="9"/>
        <v/>
      </c>
      <c r="J81" s="146">
        <f t="shared" si="10"/>
        <v>-6</v>
      </c>
      <c r="K81" s="146">
        <f t="shared" si="7"/>
        <v>-60</v>
      </c>
      <c r="L81" s="146"/>
      <c r="M81" s="148">
        <f t="shared" si="8"/>
        <v>0</v>
      </c>
    </row>
    <row r="82" spans="1:13" x14ac:dyDescent="0.25">
      <c r="A82" s="162"/>
      <c r="G82" s="132"/>
      <c r="H82" s="146">
        <v>77</v>
      </c>
      <c r="I82" s="147" t="str">
        <f t="shared" si="9"/>
        <v/>
      </c>
      <c r="J82" s="146">
        <f t="shared" si="10"/>
        <v>-6</v>
      </c>
      <c r="K82" s="146">
        <f t="shared" si="7"/>
        <v>-60</v>
      </c>
      <c r="L82" s="146"/>
      <c r="M82" s="148">
        <f t="shared" si="8"/>
        <v>0</v>
      </c>
    </row>
    <row r="83" spans="1:13" x14ac:dyDescent="0.25">
      <c r="A83" s="162"/>
      <c r="G83" s="132"/>
      <c r="H83" s="146">
        <v>78</v>
      </c>
      <c r="I83" s="147" t="str">
        <f t="shared" si="9"/>
        <v/>
      </c>
      <c r="J83" s="146">
        <f t="shared" si="10"/>
        <v>-6</v>
      </c>
      <c r="K83" s="146">
        <f t="shared" si="7"/>
        <v>-60</v>
      </c>
      <c r="L83" s="146"/>
      <c r="M83" s="148">
        <f t="shared" si="8"/>
        <v>0</v>
      </c>
    </row>
    <row r="84" spans="1:13" x14ac:dyDescent="0.25">
      <c r="A84" s="162"/>
      <c r="G84" s="132"/>
      <c r="H84" s="146">
        <v>79</v>
      </c>
      <c r="I84" s="147" t="str">
        <f t="shared" si="9"/>
        <v/>
      </c>
      <c r="J84" s="146">
        <f t="shared" si="10"/>
        <v>-6</v>
      </c>
      <c r="K84" s="146">
        <f t="shared" si="7"/>
        <v>-60</v>
      </c>
      <c r="L84" s="146"/>
      <c r="M84" s="148">
        <f t="shared" si="8"/>
        <v>0</v>
      </c>
    </row>
    <row r="85" spans="1:13" x14ac:dyDescent="0.25">
      <c r="A85" s="162"/>
      <c r="G85" s="132"/>
      <c r="H85" s="146">
        <v>80</v>
      </c>
      <c r="I85" s="147" t="str">
        <f t="shared" si="9"/>
        <v/>
      </c>
      <c r="J85" s="146">
        <f t="shared" si="10"/>
        <v>-6</v>
      </c>
      <c r="K85" s="146">
        <f t="shared" si="7"/>
        <v>-60</v>
      </c>
      <c r="L85" s="146"/>
      <c r="M85" s="148">
        <f t="shared" si="8"/>
        <v>0</v>
      </c>
    </row>
    <row r="86" spans="1:13" x14ac:dyDescent="0.25">
      <c r="A86" s="162"/>
      <c r="G86" s="132"/>
      <c r="H86" s="146">
        <v>81</v>
      </c>
      <c r="I86" s="147" t="str">
        <f t="shared" si="9"/>
        <v/>
      </c>
      <c r="J86" s="146">
        <f t="shared" si="10"/>
        <v>-6</v>
      </c>
      <c r="K86" s="146">
        <f t="shared" si="7"/>
        <v>-60</v>
      </c>
      <c r="L86" s="146"/>
      <c r="M86" s="148">
        <f t="shared" si="8"/>
        <v>0</v>
      </c>
    </row>
    <row r="87" spans="1:13" x14ac:dyDescent="0.25">
      <c r="A87" s="162"/>
      <c r="G87" s="132"/>
      <c r="H87" s="146">
        <v>82</v>
      </c>
      <c r="I87" s="147" t="str">
        <f t="shared" si="9"/>
        <v/>
      </c>
      <c r="J87" s="146">
        <f t="shared" si="10"/>
        <v>-6</v>
      </c>
      <c r="K87" s="146">
        <f t="shared" si="7"/>
        <v>-60</v>
      </c>
      <c r="L87" s="146"/>
      <c r="M87" s="148">
        <f t="shared" si="8"/>
        <v>0</v>
      </c>
    </row>
    <row r="88" spans="1:13" x14ac:dyDescent="0.25">
      <c r="A88" s="162"/>
      <c r="G88" s="132"/>
      <c r="H88" s="146">
        <v>83</v>
      </c>
      <c r="I88" s="147" t="str">
        <f t="shared" si="9"/>
        <v/>
      </c>
      <c r="J88" s="146">
        <f t="shared" si="10"/>
        <v>-6</v>
      </c>
      <c r="K88" s="146">
        <f t="shared" si="7"/>
        <v>-60</v>
      </c>
      <c r="L88" s="146"/>
      <c r="M88" s="148">
        <f t="shared" si="8"/>
        <v>0</v>
      </c>
    </row>
    <row r="89" spans="1:13" x14ac:dyDescent="0.25">
      <c r="A89" s="162"/>
      <c r="G89" s="132"/>
      <c r="H89" s="146">
        <v>84</v>
      </c>
      <c r="I89" s="147" t="str">
        <f t="shared" si="9"/>
        <v/>
      </c>
      <c r="J89" s="146">
        <f t="shared" si="10"/>
        <v>-6</v>
      </c>
      <c r="K89" s="146">
        <f t="shared" si="7"/>
        <v>-60</v>
      </c>
      <c r="L89" s="146"/>
      <c r="M89" s="148">
        <f t="shared" si="8"/>
        <v>0</v>
      </c>
    </row>
    <row r="90" spans="1:13" x14ac:dyDescent="0.25">
      <c r="A90" s="162"/>
      <c r="G90" s="132"/>
      <c r="H90" s="146">
        <v>85</v>
      </c>
      <c r="I90" s="147" t="str">
        <f t="shared" si="9"/>
        <v/>
      </c>
      <c r="J90" s="146">
        <f t="shared" si="10"/>
        <v>-6</v>
      </c>
      <c r="K90" s="146">
        <f t="shared" si="7"/>
        <v>-60</v>
      </c>
      <c r="L90" s="146"/>
      <c r="M90" s="148">
        <f t="shared" si="8"/>
        <v>0</v>
      </c>
    </row>
    <row r="91" spans="1:13" x14ac:dyDescent="0.25">
      <c r="A91" s="162"/>
      <c r="G91" s="132"/>
      <c r="H91" s="146">
        <v>86</v>
      </c>
      <c r="I91" s="147" t="str">
        <f t="shared" si="9"/>
        <v/>
      </c>
      <c r="J91" s="146">
        <f t="shared" si="10"/>
        <v>-6</v>
      </c>
      <c r="K91" s="146">
        <f t="shared" si="7"/>
        <v>-60</v>
      </c>
      <c r="L91" s="146"/>
      <c r="M91" s="148">
        <f t="shared" si="8"/>
        <v>0</v>
      </c>
    </row>
    <row r="92" spans="1:13" x14ac:dyDescent="0.25">
      <c r="A92" s="162"/>
      <c r="G92" s="132"/>
      <c r="H92" s="146">
        <v>87</v>
      </c>
      <c r="I92" s="147" t="str">
        <f t="shared" si="9"/>
        <v/>
      </c>
      <c r="J92" s="146">
        <f t="shared" si="10"/>
        <v>-6</v>
      </c>
      <c r="K92" s="146">
        <f t="shared" si="7"/>
        <v>-60</v>
      </c>
      <c r="L92" s="146"/>
      <c r="M92" s="148">
        <f t="shared" si="8"/>
        <v>0</v>
      </c>
    </row>
    <row r="93" spans="1:13" x14ac:dyDescent="0.25">
      <c r="A93" s="162"/>
      <c r="G93" s="132"/>
      <c r="H93" s="146">
        <v>88</v>
      </c>
      <c r="I93" s="147" t="str">
        <f t="shared" si="9"/>
        <v/>
      </c>
      <c r="J93" s="146">
        <f t="shared" si="10"/>
        <v>-6</v>
      </c>
      <c r="K93" s="146">
        <f t="shared" si="7"/>
        <v>-60</v>
      </c>
      <c r="L93" s="146"/>
      <c r="M93" s="148">
        <f t="shared" si="8"/>
        <v>0</v>
      </c>
    </row>
    <row r="94" spans="1:13" x14ac:dyDescent="0.25">
      <c r="A94" s="162"/>
      <c r="G94" s="132"/>
      <c r="H94" s="146">
        <v>89</v>
      </c>
      <c r="I94" s="147" t="str">
        <f t="shared" si="9"/>
        <v/>
      </c>
      <c r="J94" s="146">
        <f t="shared" si="10"/>
        <v>-6</v>
      </c>
      <c r="K94" s="146">
        <f t="shared" si="7"/>
        <v>-60</v>
      </c>
      <c r="L94" s="146"/>
      <c r="M94" s="148">
        <f t="shared" si="8"/>
        <v>0</v>
      </c>
    </row>
    <row r="95" spans="1:13" x14ac:dyDescent="0.25">
      <c r="A95" s="162"/>
      <c r="G95" s="132"/>
      <c r="H95" s="146">
        <v>90</v>
      </c>
      <c r="I95" s="147" t="str">
        <f t="shared" si="9"/>
        <v/>
      </c>
      <c r="J95" s="146">
        <f t="shared" si="10"/>
        <v>-6</v>
      </c>
      <c r="K95" s="146">
        <f t="shared" si="7"/>
        <v>-60</v>
      </c>
      <c r="L95" s="146"/>
      <c r="M95" s="148">
        <f t="shared" si="8"/>
        <v>0</v>
      </c>
    </row>
    <row r="96" spans="1:13" x14ac:dyDescent="0.25">
      <c r="A96" s="162"/>
      <c r="G96" s="132"/>
      <c r="H96" s="146">
        <v>91</v>
      </c>
      <c r="I96" s="147" t="str">
        <f t="shared" si="9"/>
        <v/>
      </c>
      <c r="J96" s="146">
        <f t="shared" si="10"/>
        <v>-6</v>
      </c>
      <c r="K96" s="146">
        <f t="shared" si="7"/>
        <v>-60</v>
      </c>
      <c r="L96" s="146"/>
      <c r="M96" s="148">
        <f t="shared" si="8"/>
        <v>0</v>
      </c>
    </row>
    <row r="97" spans="1:13" x14ac:dyDescent="0.25">
      <c r="A97" s="162"/>
      <c r="G97" s="132"/>
      <c r="H97" s="146">
        <v>92</v>
      </c>
      <c r="I97" s="147" t="str">
        <f t="shared" si="9"/>
        <v/>
      </c>
      <c r="J97" s="146">
        <f t="shared" si="10"/>
        <v>-6</v>
      </c>
      <c r="K97" s="146">
        <f t="shared" si="7"/>
        <v>-60</v>
      </c>
      <c r="L97" s="146"/>
      <c r="M97" s="148">
        <f t="shared" si="8"/>
        <v>0</v>
      </c>
    </row>
    <row r="98" spans="1:13" x14ac:dyDescent="0.25">
      <c r="A98" s="162"/>
      <c r="G98" s="132"/>
      <c r="H98" s="146">
        <v>93</v>
      </c>
      <c r="I98" s="147" t="str">
        <f t="shared" si="9"/>
        <v/>
      </c>
      <c r="J98" s="146">
        <f t="shared" si="10"/>
        <v>-6</v>
      </c>
      <c r="K98" s="146">
        <f t="shared" si="7"/>
        <v>-60</v>
      </c>
      <c r="L98" s="146"/>
      <c r="M98" s="148">
        <f t="shared" si="8"/>
        <v>0</v>
      </c>
    </row>
    <row r="99" spans="1:13" x14ac:dyDescent="0.25">
      <c r="A99" s="162"/>
      <c r="G99" s="132"/>
      <c r="H99" s="146">
        <v>94</v>
      </c>
      <c r="I99" s="147" t="str">
        <f t="shared" si="9"/>
        <v/>
      </c>
      <c r="J99" s="146">
        <f t="shared" si="10"/>
        <v>-6</v>
      </c>
      <c r="K99" s="146">
        <f t="shared" si="7"/>
        <v>-60</v>
      </c>
      <c r="L99" s="146"/>
      <c r="M99" s="148">
        <f t="shared" si="8"/>
        <v>0</v>
      </c>
    </row>
    <row r="100" spans="1:13" x14ac:dyDescent="0.25">
      <c r="A100" s="162"/>
      <c r="G100" s="132"/>
      <c r="H100" s="146">
        <v>95</v>
      </c>
      <c r="I100" s="147" t="str">
        <f t="shared" si="9"/>
        <v/>
      </c>
      <c r="J100" s="146">
        <f t="shared" si="10"/>
        <v>-6</v>
      </c>
      <c r="K100" s="146">
        <f t="shared" si="7"/>
        <v>-60</v>
      </c>
      <c r="L100" s="146"/>
      <c r="M100" s="148">
        <f t="shared" si="8"/>
        <v>0</v>
      </c>
    </row>
    <row r="101" spans="1:13" x14ac:dyDescent="0.25">
      <c r="A101" s="162"/>
      <c r="G101" s="132"/>
      <c r="H101" s="146">
        <v>96</v>
      </c>
      <c r="I101" s="147" t="str">
        <f t="shared" si="9"/>
        <v/>
      </c>
      <c r="J101" s="146">
        <f t="shared" si="10"/>
        <v>-6</v>
      </c>
      <c r="K101" s="146">
        <f t="shared" si="7"/>
        <v>-60</v>
      </c>
      <c r="L101" s="146"/>
      <c r="M101" s="148">
        <f t="shared" si="8"/>
        <v>0</v>
      </c>
    </row>
    <row r="102" spans="1:13" x14ac:dyDescent="0.25">
      <c r="A102" s="162"/>
      <c r="G102" s="132"/>
      <c r="H102" s="146">
        <v>97</v>
      </c>
      <c r="I102" s="147" t="str">
        <f t="shared" si="9"/>
        <v/>
      </c>
      <c r="J102" s="146">
        <f t="shared" si="10"/>
        <v>-6</v>
      </c>
      <c r="K102" s="146">
        <f t="shared" si="7"/>
        <v>-60</v>
      </c>
      <c r="L102" s="146"/>
      <c r="M102" s="148">
        <f t="shared" si="8"/>
        <v>0</v>
      </c>
    </row>
    <row r="103" spans="1:13" x14ac:dyDescent="0.25">
      <c r="A103" s="162"/>
      <c r="G103" s="132"/>
      <c r="H103" s="146">
        <v>98</v>
      </c>
      <c r="I103" s="147" t="str">
        <f t="shared" si="9"/>
        <v/>
      </c>
      <c r="J103" s="146">
        <f t="shared" si="10"/>
        <v>-6</v>
      </c>
      <c r="K103" s="146">
        <f t="shared" si="7"/>
        <v>-60</v>
      </c>
      <c r="L103" s="146"/>
      <c r="M103" s="148">
        <f t="shared" si="8"/>
        <v>0</v>
      </c>
    </row>
    <row r="104" spans="1:13" x14ac:dyDescent="0.25">
      <c r="A104" s="162"/>
      <c r="G104" s="132"/>
      <c r="H104" s="146">
        <v>99</v>
      </c>
      <c r="I104" s="147" t="str">
        <f t="shared" si="9"/>
        <v/>
      </c>
      <c r="J104" s="146">
        <f t="shared" si="10"/>
        <v>-6</v>
      </c>
      <c r="K104" s="146">
        <f t="shared" si="7"/>
        <v>-60</v>
      </c>
      <c r="L104" s="146"/>
      <c r="M104" s="148">
        <f t="shared" si="8"/>
        <v>0</v>
      </c>
    </row>
    <row r="105" spans="1:13" x14ac:dyDescent="0.25">
      <c r="A105" s="162"/>
      <c r="G105" s="132"/>
      <c r="H105" s="146">
        <v>100</v>
      </c>
      <c r="I105" s="147" t="str">
        <f t="shared" si="9"/>
        <v/>
      </c>
      <c r="J105" s="146">
        <f t="shared" si="10"/>
        <v>-6</v>
      </c>
      <c r="K105" s="146">
        <f t="shared" si="7"/>
        <v>-60</v>
      </c>
      <c r="L105" s="146"/>
      <c r="M105" s="148">
        <f t="shared" si="8"/>
        <v>0</v>
      </c>
    </row>
    <row r="106" spans="1:13" x14ac:dyDescent="0.25">
      <c r="A106" s="162"/>
      <c r="G106" s="132"/>
      <c r="H106" s="146">
        <v>101</v>
      </c>
      <c r="I106" s="147" t="str">
        <f t="shared" si="9"/>
        <v/>
      </c>
      <c r="J106" s="146">
        <f t="shared" si="10"/>
        <v>-6</v>
      </c>
      <c r="K106" s="146">
        <f t="shared" si="7"/>
        <v>-60</v>
      </c>
      <c r="L106" s="146"/>
      <c r="M106" s="148">
        <f t="shared" si="8"/>
        <v>0</v>
      </c>
    </row>
    <row r="107" spans="1:13" x14ac:dyDescent="0.25">
      <c r="A107" s="162"/>
      <c r="G107" s="132"/>
      <c r="H107" s="146">
        <v>102</v>
      </c>
      <c r="I107" s="147" t="str">
        <f t="shared" si="9"/>
        <v/>
      </c>
      <c r="J107" s="146">
        <f t="shared" si="10"/>
        <v>-6</v>
      </c>
      <c r="K107" s="146">
        <f t="shared" si="7"/>
        <v>-60</v>
      </c>
      <c r="L107" s="146"/>
      <c r="M107" s="148">
        <f t="shared" si="8"/>
        <v>0</v>
      </c>
    </row>
    <row r="108" spans="1:13" x14ac:dyDescent="0.25">
      <c r="A108" s="162"/>
      <c r="G108" s="132"/>
      <c r="H108" s="146">
        <v>103</v>
      </c>
      <c r="I108" s="147" t="str">
        <f t="shared" si="9"/>
        <v/>
      </c>
      <c r="J108" s="146">
        <f t="shared" si="10"/>
        <v>-6</v>
      </c>
      <c r="K108" s="146">
        <f t="shared" si="7"/>
        <v>-60</v>
      </c>
      <c r="L108" s="146"/>
      <c r="M108" s="148">
        <f t="shared" si="8"/>
        <v>0</v>
      </c>
    </row>
    <row r="109" spans="1:13" x14ac:dyDescent="0.25">
      <c r="A109" s="162"/>
      <c r="G109" s="132"/>
      <c r="H109" s="146">
        <v>104</v>
      </c>
      <c r="I109" s="147" t="str">
        <f t="shared" si="9"/>
        <v/>
      </c>
      <c r="J109" s="146">
        <f t="shared" si="10"/>
        <v>-6</v>
      </c>
      <c r="K109" s="146">
        <f t="shared" si="7"/>
        <v>-60</v>
      </c>
      <c r="L109" s="146"/>
      <c r="M109" s="148">
        <f t="shared" si="8"/>
        <v>0</v>
      </c>
    </row>
    <row r="110" spans="1:13" x14ac:dyDescent="0.25">
      <c r="A110" s="162"/>
      <c r="G110" s="132"/>
      <c r="H110" s="146">
        <v>105</v>
      </c>
      <c r="I110" s="147" t="str">
        <f t="shared" si="9"/>
        <v/>
      </c>
      <c r="J110" s="146">
        <f t="shared" si="10"/>
        <v>-6</v>
      </c>
      <c r="K110" s="146">
        <f t="shared" si="7"/>
        <v>-60</v>
      </c>
      <c r="L110" s="146"/>
      <c r="M110" s="148">
        <f t="shared" si="8"/>
        <v>0</v>
      </c>
    </row>
    <row r="111" spans="1:13" x14ac:dyDescent="0.25">
      <c r="A111" s="162"/>
      <c r="G111" s="132"/>
      <c r="H111" s="146">
        <v>106</v>
      </c>
      <c r="I111" s="147" t="str">
        <f t="shared" si="9"/>
        <v/>
      </c>
      <c r="J111" s="146">
        <f t="shared" si="10"/>
        <v>-6</v>
      </c>
      <c r="K111" s="146">
        <f t="shared" si="7"/>
        <v>-60</v>
      </c>
      <c r="L111" s="146"/>
      <c r="M111" s="148">
        <f t="shared" si="8"/>
        <v>0</v>
      </c>
    </row>
    <row r="112" spans="1:13" x14ac:dyDescent="0.25">
      <c r="A112" s="162"/>
      <c r="G112" s="132"/>
      <c r="H112" s="146">
        <v>107</v>
      </c>
      <c r="I112" s="147" t="str">
        <f t="shared" si="9"/>
        <v/>
      </c>
      <c r="J112" s="146">
        <f t="shared" si="10"/>
        <v>-6</v>
      </c>
      <c r="K112" s="146">
        <f t="shared" si="7"/>
        <v>-60</v>
      </c>
      <c r="L112" s="146"/>
      <c r="M112" s="148">
        <f t="shared" si="8"/>
        <v>0</v>
      </c>
    </row>
    <row r="113" spans="1:13" x14ac:dyDescent="0.25">
      <c r="A113" s="162"/>
      <c r="G113" s="132"/>
      <c r="H113" s="146">
        <v>108</v>
      </c>
      <c r="I113" s="147" t="str">
        <f t="shared" si="9"/>
        <v/>
      </c>
      <c r="J113" s="146">
        <f t="shared" si="10"/>
        <v>-6</v>
      </c>
      <c r="K113" s="146">
        <f t="shared" si="7"/>
        <v>-60</v>
      </c>
      <c r="L113" s="146"/>
      <c r="M113" s="148">
        <f t="shared" si="8"/>
        <v>0</v>
      </c>
    </row>
    <row r="114" spans="1:13" x14ac:dyDescent="0.25">
      <c r="A114" s="162"/>
      <c r="G114" s="132"/>
      <c r="H114" s="146">
        <v>109</v>
      </c>
      <c r="I114" s="147" t="str">
        <f t="shared" si="9"/>
        <v/>
      </c>
      <c r="J114" s="146">
        <f t="shared" si="10"/>
        <v>-6</v>
      </c>
      <c r="K114" s="146">
        <f t="shared" si="7"/>
        <v>-60</v>
      </c>
      <c r="L114" s="146"/>
      <c r="M114" s="148">
        <f t="shared" si="8"/>
        <v>0</v>
      </c>
    </row>
    <row r="115" spans="1:13" x14ac:dyDescent="0.25">
      <c r="A115" s="162"/>
      <c r="G115" s="132"/>
      <c r="H115" s="146">
        <v>110</v>
      </c>
      <c r="I115" s="147" t="str">
        <f t="shared" si="9"/>
        <v/>
      </c>
      <c r="J115" s="146">
        <f t="shared" si="10"/>
        <v>-6</v>
      </c>
      <c r="K115" s="146">
        <f t="shared" si="7"/>
        <v>-60</v>
      </c>
      <c r="L115" s="146"/>
      <c r="M115" s="148">
        <f t="shared" si="8"/>
        <v>0</v>
      </c>
    </row>
    <row r="116" spans="1:13" x14ac:dyDescent="0.25">
      <c r="A116" s="162"/>
      <c r="G116" s="132"/>
      <c r="H116" s="146">
        <v>111</v>
      </c>
      <c r="I116" s="147" t="str">
        <f t="shared" si="9"/>
        <v/>
      </c>
      <c r="J116" s="146">
        <f t="shared" si="10"/>
        <v>-6</v>
      </c>
      <c r="K116" s="146">
        <f t="shared" si="7"/>
        <v>-60</v>
      </c>
      <c r="L116" s="146"/>
      <c r="M116" s="148">
        <f t="shared" si="8"/>
        <v>0</v>
      </c>
    </row>
    <row r="117" spans="1:13" x14ac:dyDescent="0.25">
      <c r="A117" s="162"/>
      <c r="G117" s="132"/>
      <c r="H117" s="146">
        <v>112</v>
      </c>
      <c r="I117" s="147" t="str">
        <f t="shared" si="9"/>
        <v/>
      </c>
      <c r="J117" s="146">
        <f t="shared" si="10"/>
        <v>-6</v>
      </c>
      <c r="K117" s="146">
        <f t="shared" si="7"/>
        <v>-60</v>
      </c>
      <c r="L117" s="146"/>
      <c r="M117" s="148">
        <f t="shared" si="8"/>
        <v>0</v>
      </c>
    </row>
    <row r="118" spans="1:13" x14ac:dyDescent="0.25">
      <c r="A118" s="162"/>
      <c r="G118" s="132"/>
      <c r="H118" s="146">
        <v>113</v>
      </c>
      <c r="I118" s="147" t="str">
        <f t="shared" si="9"/>
        <v/>
      </c>
      <c r="J118" s="146">
        <f t="shared" si="10"/>
        <v>-6</v>
      </c>
      <c r="K118" s="146">
        <f t="shared" si="7"/>
        <v>-60</v>
      </c>
      <c r="L118" s="146"/>
      <c r="M118" s="148">
        <f t="shared" si="8"/>
        <v>0</v>
      </c>
    </row>
    <row r="119" spans="1:13" x14ac:dyDescent="0.25">
      <c r="A119" s="162"/>
      <c r="G119" s="132"/>
      <c r="H119" s="146">
        <v>114</v>
      </c>
      <c r="I119" s="147" t="str">
        <f t="shared" si="9"/>
        <v/>
      </c>
      <c r="J119" s="146">
        <f t="shared" si="10"/>
        <v>-6</v>
      </c>
      <c r="K119" s="146">
        <f t="shared" si="7"/>
        <v>-60</v>
      </c>
      <c r="L119" s="146"/>
      <c r="M119" s="148">
        <f t="shared" si="8"/>
        <v>0</v>
      </c>
    </row>
    <row r="120" spans="1:13" x14ac:dyDescent="0.25">
      <c r="A120" s="162"/>
      <c r="G120" s="132"/>
      <c r="H120" s="146">
        <v>115</v>
      </c>
      <c r="I120" s="147" t="str">
        <f t="shared" si="9"/>
        <v/>
      </c>
      <c r="J120" s="146">
        <f t="shared" si="10"/>
        <v>-6</v>
      </c>
      <c r="K120" s="146">
        <f t="shared" si="7"/>
        <v>-60</v>
      </c>
      <c r="L120" s="146"/>
      <c r="M120" s="148">
        <f t="shared" si="8"/>
        <v>0</v>
      </c>
    </row>
    <row r="121" spans="1:13" x14ac:dyDescent="0.25">
      <c r="A121" s="162"/>
      <c r="G121" s="132"/>
      <c r="H121" s="146">
        <v>116</v>
      </c>
      <c r="I121" s="147" t="str">
        <f t="shared" si="9"/>
        <v/>
      </c>
      <c r="J121" s="146">
        <f t="shared" si="10"/>
        <v>-6</v>
      </c>
      <c r="K121" s="146">
        <f t="shared" si="7"/>
        <v>-60</v>
      </c>
      <c r="L121" s="146"/>
      <c r="M121" s="148">
        <f t="shared" si="8"/>
        <v>0</v>
      </c>
    </row>
    <row r="122" spans="1:13" x14ac:dyDescent="0.25">
      <c r="A122" s="162"/>
      <c r="G122" s="132"/>
      <c r="H122" s="146">
        <v>117</v>
      </c>
      <c r="I122" s="147" t="str">
        <f t="shared" si="9"/>
        <v/>
      </c>
      <c r="J122" s="146">
        <f t="shared" si="10"/>
        <v>-6</v>
      </c>
      <c r="K122" s="146">
        <f t="shared" si="7"/>
        <v>-60</v>
      </c>
      <c r="L122" s="146"/>
      <c r="M122" s="148">
        <f t="shared" si="8"/>
        <v>0</v>
      </c>
    </row>
    <row r="123" spans="1:13" x14ac:dyDescent="0.25">
      <c r="A123" s="162"/>
      <c r="G123" s="132"/>
      <c r="H123" s="146">
        <v>118</v>
      </c>
      <c r="I123" s="147" t="str">
        <f t="shared" si="9"/>
        <v/>
      </c>
      <c r="J123" s="146">
        <f t="shared" si="10"/>
        <v>-6</v>
      </c>
      <c r="K123" s="146">
        <f t="shared" si="7"/>
        <v>-60</v>
      </c>
      <c r="L123" s="146"/>
      <c r="M123" s="148">
        <f t="shared" si="8"/>
        <v>0</v>
      </c>
    </row>
    <row r="124" spans="1:13" x14ac:dyDescent="0.25">
      <c r="A124" s="162"/>
      <c r="G124" s="132"/>
      <c r="H124" s="146">
        <v>119</v>
      </c>
      <c r="I124" s="147" t="str">
        <f t="shared" si="9"/>
        <v/>
      </c>
      <c r="J124" s="146">
        <f t="shared" si="10"/>
        <v>-6</v>
      </c>
      <c r="K124" s="146">
        <f t="shared" si="7"/>
        <v>-60</v>
      </c>
      <c r="L124" s="146"/>
      <c r="M124" s="148">
        <f t="shared" si="8"/>
        <v>0</v>
      </c>
    </row>
    <row r="125" spans="1:13" x14ac:dyDescent="0.25">
      <c r="A125" s="162"/>
      <c r="G125" s="132"/>
      <c r="H125" s="146">
        <v>120</v>
      </c>
      <c r="I125" s="147" t="str">
        <f t="shared" si="9"/>
        <v/>
      </c>
      <c r="J125" s="146">
        <f t="shared" si="10"/>
        <v>-6</v>
      </c>
      <c r="K125" s="146">
        <f t="shared" si="7"/>
        <v>-60</v>
      </c>
      <c r="L125" s="146"/>
      <c r="M125" s="148">
        <f t="shared" si="8"/>
        <v>0</v>
      </c>
    </row>
    <row r="126" spans="1:13" x14ac:dyDescent="0.25">
      <c r="A126" s="162"/>
      <c r="G126" s="132"/>
      <c r="H126" s="146">
        <v>121</v>
      </c>
      <c r="I126" s="147" t="str">
        <f t="shared" si="9"/>
        <v/>
      </c>
      <c r="J126" s="146">
        <f t="shared" si="10"/>
        <v>-6</v>
      </c>
      <c r="K126" s="146">
        <f t="shared" si="7"/>
        <v>-60</v>
      </c>
      <c r="L126" s="146"/>
      <c r="M126" s="148">
        <f t="shared" si="8"/>
        <v>0</v>
      </c>
    </row>
    <row r="127" spans="1:13" x14ac:dyDescent="0.25">
      <c r="A127" s="162"/>
      <c r="G127" s="132"/>
      <c r="H127" s="146">
        <v>122</v>
      </c>
      <c r="I127" s="147" t="str">
        <f t="shared" si="9"/>
        <v/>
      </c>
      <c r="J127" s="146">
        <f t="shared" si="10"/>
        <v>-6</v>
      </c>
      <c r="K127" s="146">
        <f t="shared" si="7"/>
        <v>-60</v>
      </c>
      <c r="L127" s="146"/>
      <c r="M127" s="148">
        <f t="shared" si="8"/>
        <v>0</v>
      </c>
    </row>
    <row r="128" spans="1:13" x14ac:dyDescent="0.25">
      <c r="A128" s="162"/>
      <c r="G128" s="132"/>
      <c r="H128" s="146">
        <v>123</v>
      </c>
      <c r="I128" s="147" t="str">
        <f t="shared" si="9"/>
        <v/>
      </c>
      <c r="J128" s="146">
        <f t="shared" si="10"/>
        <v>-6</v>
      </c>
      <c r="K128" s="146">
        <f t="shared" si="7"/>
        <v>-60</v>
      </c>
      <c r="L128" s="146"/>
      <c r="M128" s="148">
        <f t="shared" si="8"/>
        <v>0</v>
      </c>
    </row>
    <row r="129" spans="1:13" x14ac:dyDescent="0.25">
      <c r="A129" s="162"/>
      <c r="G129" s="132"/>
      <c r="H129" s="146">
        <v>124</v>
      </c>
      <c r="I129" s="147" t="str">
        <f t="shared" si="9"/>
        <v/>
      </c>
      <c r="J129" s="146">
        <f t="shared" si="10"/>
        <v>-6</v>
      </c>
      <c r="K129" s="146">
        <f t="shared" si="7"/>
        <v>-60</v>
      </c>
      <c r="L129" s="146"/>
      <c r="M129" s="148">
        <f t="shared" si="8"/>
        <v>0</v>
      </c>
    </row>
    <row r="130" spans="1:13" x14ac:dyDescent="0.25">
      <c r="A130" s="162"/>
      <c r="G130" s="132"/>
      <c r="H130" s="146">
        <v>125</v>
      </c>
      <c r="I130" s="147" t="str">
        <f t="shared" si="9"/>
        <v/>
      </c>
      <c r="J130" s="146">
        <f t="shared" si="10"/>
        <v>-6</v>
      </c>
      <c r="K130" s="146">
        <f t="shared" si="7"/>
        <v>-60</v>
      </c>
      <c r="L130" s="146"/>
      <c r="M130" s="148">
        <f t="shared" si="8"/>
        <v>0</v>
      </c>
    </row>
    <row r="131" spans="1:13" x14ac:dyDescent="0.25">
      <c r="A131" s="162"/>
      <c r="G131" s="132"/>
      <c r="H131" s="146">
        <v>126</v>
      </c>
      <c r="I131" s="147" t="str">
        <f t="shared" si="9"/>
        <v/>
      </c>
      <c r="J131" s="146">
        <f t="shared" si="10"/>
        <v>-6</v>
      </c>
      <c r="K131" s="146">
        <f t="shared" si="7"/>
        <v>-60</v>
      </c>
      <c r="L131" s="146"/>
      <c r="M131" s="148">
        <f t="shared" si="8"/>
        <v>0</v>
      </c>
    </row>
    <row r="132" spans="1:13" x14ac:dyDescent="0.25">
      <c r="A132" s="162"/>
      <c r="G132" s="132"/>
      <c r="H132" s="146">
        <v>127</v>
      </c>
      <c r="I132" s="147" t="str">
        <f t="shared" si="9"/>
        <v/>
      </c>
      <c r="J132" s="146">
        <f t="shared" si="10"/>
        <v>-6</v>
      </c>
      <c r="K132" s="146">
        <f t="shared" si="7"/>
        <v>-60</v>
      </c>
      <c r="L132" s="146"/>
      <c r="M132" s="148">
        <f t="shared" si="8"/>
        <v>0</v>
      </c>
    </row>
    <row r="133" spans="1:13" x14ac:dyDescent="0.25">
      <c r="A133" s="162"/>
      <c r="G133" s="132"/>
      <c r="H133" s="146">
        <v>128</v>
      </c>
      <c r="I133" s="147" t="str">
        <f t="shared" si="9"/>
        <v/>
      </c>
      <c r="J133" s="146">
        <f t="shared" si="10"/>
        <v>-6</v>
      </c>
      <c r="K133" s="146">
        <f t="shared" si="7"/>
        <v>-60</v>
      </c>
      <c r="L133" s="146"/>
      <c r="M133" s="148">
        <f t="shared" si="8"/>
        <v>0</v>
      </c>
    </row>
    <row r="134" spans="1:13" x14ac:dyDescent="0.25">
      <c r="A134" s="162"/>
      <c r="G134" s="132"/>
      <c r="H134" s="146">
        <v>129</v>
      </c>
      <c r="I134" s="147" t="str">
        <f t="shared" si="9"/>
        <v/>
      </c>
      <c r="J134" s="146">
        <f t="shared" si="10"/>
        <v>-7</v>
      </c>
      <c r="K134" s="146">
        <f t="shared" ref="K134:K197" si="11">J134*$J$2</f>
        <v>-70</v>
      </c>
      <c r="L134" s="146"/>
      <c r="M134" s="148">
        <f t="shared" ref="M134:M197" si="12">IF(I134&lt;&gt;"",K134+I134+L134,0)</f>
        <v>0</v>
      </c>
    </row>
    <row r="135" spans="1:13" x14ac:dyDescent="0.25">
      <c r="A135" s="162"/>
      <c r="G135" s="132"/>
      <c r="H135" s="146">
        <v>130</v>
      </c>
      <c r="I135" s="147" t="str">
        <f t="shared" ref="I135:I198" si="13">IF(H135&lt;$H$2+1,($I$2-($I$2-1)*(LOG(H135)/LOG($H$2))),"")</f>
        <v/>
      </c>
      <c r="J135" s="146">
        <f t="shared" ref="J135:J198" si="14">INT(LOG($H$2,2))-ROUNDUP(LOG(H135,2),0)+IF(OR($H$2=1,$H$2=2,$H$2=4,$H$2=8,$H$2=16,$H$2=32,$H$2=64,$H$2=128,$H$2=256),0,1)</f>
        <v>-7</v>
      </c>
      <c r="K135" s="146">
        <f t="shared" si="11"/>
        <v>-70</v>
      </c>
      <c r="L135" s="146"/>
      <c r="M135" s="148">
        <f t="shared" si="12"/>
        <v>0</v>
      </c>
    </row>
    <row r="136" spans="1:13" x14ac:dyDescent="0.25">
      <c r="A136" s="162"/>
      <c r="G136" s="132"/>
      <c r="H136" s="146">
        <v>131</v>
      </c>
      <c r="I136" s="147" t="str">
        <f t="shared" si="13"/>
        <v/>
      </c>
      <c r="J136" s="146">
        <f t="shared" si="14"/>
        <v>-7</v>
      </c>
      <c r="K136" s="146">
        <f t="shared" si="11"/>
        <v>-70</v>
      </c>
      <c r="L136" s="146"/>
      <c r="M136" s="148">
        <f t="shared" si="12"/>
        <v>0</v>
      </c>
    </row>
    <row r="137" spans="1:13" x14ac:dyDescent="0.25">
      <c r="A137" s="162"/>
      <c r="G137" s="132"/>
      <c r="H137" s="146">
        <v>132</v>
      </c>
      <c r="I137" s="147" t="str">
        <f t="shared" si="13"/>
        <v/>
      </c>
      <c r="J137" s="146">
        <f t="shared" si="14"/>
        <v>-7</v>
      </c>
      <c r="K137" s="146">
        <f t="shared" si="11"/>
        <v>-70</v>
      </c>
      <c r="L137" s="146"/>
      <c r="M137" s="148">
        <f t="shared" si="12"/>
        <v>0</v>
      </c>
    </row>
    <row r="138" spans="1:13" x14ac:dyDescent="0.25">
      <c r="A138" s="162"/>
      <c r="G138" s="132"/>
      <c r="H138" s="146">
        <v>133</v>
      </c>
      <c r="I138" s="147" t="str">
        <f t="shared" si="13"/>
        <v/>
      </c>
      <c r="J138" s="146">
        <f t="shared" si="14"/>
        <v>-7</v>
      </c>
      <c r="K138" s="146">
        <f t="shared" si="11"/>
        <v>-70</v>
      </c>
      <c r="L138" s="146"/>
      <c r="M138" s="148">
        <f t="shared" si="12"/>
        <v>0</v>
      </c>
    </row>
    <row r="139" spans="1:13" x14ac:dyDescent="0.25">
      <c r="A139" s="162"/>
      <c r="G139" s="132"/>
      <c r="H139" s="146">
        <v>134</v>
      </c>
      <c r="I139" s="147" t="str">
        <f t="shared" si="13"/>
        <v/>
      </c>
      <c r="J139" s="146">
        <f t="shared" si="14"/>
        <v>-7</v>
      </c>
      <c r="K139" s="146">
        <f t="shared" si="11"/>
        <v>-70</v>
      </c>
      <c r="L139" s="146"/>
      <c r="M139" s="148">
        <f t="shared" si="12"/>
        <v>0</v>
      </c>
    </row>
    <row r="140" spans="1:13" x14ac:dyDescent="0.25">
      <c r="A140" s="162"/>
      <c r="G140" s="132"/>
      <c r="H140" s="146">
        <v>135</v>
      </c>
      <c r="I140" s="147" t="str">
        <f t="shared" si="13"/>
        <v/>
      </c>
      <c r="J140" s="146">
        <f t="shared" si="14"/>
        <v>-7</v>
      </c>
      <c r="K140" s="146">
        <f t="shared" si="11"/>
        <v>-70</v>
      </c>
      <c r="L140" s="146"/>
      <c r="M140" s="148">
        <f t="shared" si="12"/>
        <v>0</v>
      </c>
    </row>
    <row r="141" spans="1:13" x14ac:dyDescent="0.25">
      <c r="A141" s="162"/>
      <c r="G141" s="132"/>
      <c r="H141" s="146">
        <v>136</v>
      </c>
      <c r="I141" s="147" t="str">
        <f t="shared" si="13"/>
        <v/>
      </c>
      <c r="J141" s="146">
        <f t="shared" si="14"/>
        <v>-7</v>
      </c>
      <c r="K141" s="146">
        <f t="shared" si="11"/>
        <v>-70</v>
      </c>
      <c r="L141" s="146"/>
      <c r="M141" s="148">
        <f t="shared" si="12"/>
        <v>0</v>
      </c>
    </row>
    <row r="142" spans="1:13" x14ac:dyDescent="0.25">
      <c r="A142" s="162"/>
      <c r="G142" s="132"/>
      <c r="H142" s="146">
        <v>137</v>
      </c>
      <c r="I142" s="147" t="str">
        <f t="shared" si="13"/>
        <v/>
      </c>
      <c r="J142" s="146">
        <f t="shared" si="14"/>
        <v>-7</v>
      </c>
      <c r="K142" s="146">
        <f t="shared" si="11"/>
        <v>-70</v>
      </c>
      <c r="L142" s="146"/>
      <c r="M142" s="148">
        <f t="shared" si="12"/>
        <v>0</v>
      </c>
    </row>
    <row r="143" spans="1:13" x14ac:dyDescent="0.25">
      <c r="A143" s="162"/>
      <c r="G143" s="132"/>
      <c r="H143" s="146">
        <v>138</v>
      </c>
      <c r="I143" s="147" t="str">
        <f t="shared" si="13"/>
        <v/>
      </c>
      <c r="J143" s="146">
        <f t="shared" si="14"/>
        <v>-7</v>
      </c>
      <c r="K143" s="146">
        <f t="shared" si="11"/>
        <v>-70</v>
      </c>
      <c r="L143" s="146"/>
      <c r="M143" s="148">
        <f t="shared" si="12"/>
        <v>0</v>
      </c>
    </row>
    <row r="144" spans="1:13" x14ac:dyDescent="0.25">
      <c r="A144" s="162"/>
      <c r="G144" s="132"/>
      <c r="H144" s="146">
        <v>139</v>
      </c>
      <c r="I144" s="147" t="str">
        <f t="shared" si="13"/>
        <v/>
      </c>
      <c r="J144" s="146">
        <f t="shared" si="14"/>
        <v>-7</v>
      </c>
      <c r="K144" s="146">
        <f t="shared" si="11"/>
        <v>-70</v>
      </c>
      <c r="L144" s="146"/>
      <c r="M144" s="148">
        <f t="shared" si="12"/>
        <v>0</v>
      </c>
    </row>
    <row r="145" spans="1:13" x14ac:dyDescent="0.25">
      <c r="A145" s="162"/>
      <c r="G145" s="132"/>
      <c r="H145" s="146">
        <v>140</v>
      </c>
      <c r="I145" s="147" t="str">
        <f t="shared" si="13"/>
        <v/>
      </c>
      <c r="J145" s="146">
        <f t="shared" si="14"/>
        <v>-7</v>
      </c>
      <c r="K145" s="146">
        <f t="shared" si="11"/>
        <v>-70</v>
      </c>
      <c r="L145" s="146"/>
      <c r="M145" s="148">
        <f t="shared" si="12"/>
        <v>0</v>
      </c>
    </row>
    <row r="146" spans="1:13" x14ac:dyDescent="0.25">
      <c r="A146" s="162"/>
      <c r="G146" s="132"/>
      <c r="H146" s="146">
        <v>141</v>
      </c>
      <c r="I146" s="147" t="str">
        <f t="shared" si="13"/>
        <v/>
      </c>
      <c r="J146" s="146">
        <f t="shared" si="14"/>
        <v>-7</v>
      </c>
      <c r="K146" s="146">
        <f t="shared" si="11"/>
        <v>-70</v>
      </c>
      <c r="L146" s="146"/>
      <c r="M146" s="148">
        <f t="shared" si="12"/>
        <v>0</v>
      </c>
    </row>
    <row r="147" spans="1:13" x14ac:dyDescent="0.25">
      <c r="A147" s="162"/>
      <c r="G147" s="132"/>
      <c r="H147" s="146">
        <v>142</v>
      </c>
      <c r="I147" s="147" t="str">
        <f t="shared" si="13"/>
        <v/>
      </c>
      <c r="J147" s="146">
        <f t="shared" si="14"/>
        <v>-7</v>
      </c>
      <c r="K147" s="146">
        <f t="shared" si="11"/>
        <v>-70</v>
      </c>
      <c r="L147" s="146"/>
      <c r="M147" s="148">
        <f t="shared" si="12"/>
        <v>0</v>
      </c>
    </row>
    <row r="148" spans="1:13" x14ac:dyDescent="0.25">
      <c r="A148" s="162"/>
      <c r="G148" s="132"/>
      <c r="H148" s="146">
        <v>143</v>
      </c>
      <c r="I148" s="147" t="str">
        <f t="shared" si="13"/>
        <v/>
      </c>
      <c r="J148" s="146">
        <f t="shared" si="14"/>
        <v>-7</v>
      </c>
      <c r="K148" s="146">
        <f t="shared" si="11"/>
        <v>-70</v>
      </c>
      <c r="L148" s="146"/>
      <c r="M148" s="148">
        <f t="shared" si="12"/>
        <v>0</v>
      </c>
    </row>
    <row r="149" spans="1:13" x14ac:dyDescent="0.25">
      <c r="A149" s="162"/>
      <c r="G149" s="132"/>
      <c r="H149" s="146">
        <v>144</v>
      </c>
      <c r="I149" s="147" t="str">
        <f t="shared" si="13"/>
        <v/>
      </c>
      <c r="J149" s="146">
        <f t="shared" si="14"/>
        <v>-7</v>
      </c>
      <c r="K149" s="146">
        <f t="shared" si="11"/>
        <v>-70</v>
      </c>
      <c r="L149" s="146"/>
      <c r="M149" s="148">
        <f t="shared" si="12"/>
        <v>0</v>
      </c>
    </row>
    <row r="150" spans="1:13" x14ac:dyDescent="0.25">
      <c r="A150" s="162"/>
      <c r="G150" s="132"/>
      <c r="H150" s="146">
        <v>145</v>
      </c>
      <c r="I150" s="147" t="str">
        <f t="shared" si="13"/>
        <v/>
      </c>
      <c r="J150" s="146">
        <f t="shared" si="14"/>
        <v>-7</v>
      </c>
      <c r="K150" s="146">
        <f t="shared" si="11"/>
        <v>-70</v>
      </c>
      <c r="L150" s="146"/>
      <c r="M150" s="148">
        <f t="shared" si="12"/>
        <v>0</v>
      </c>
    </row>
    <row r="151" spans="1:13" x14ac:dyDescent="0.25">
      <c r="A151" s="162"/>
      <c r="G151" s="132"/>
      <c r="H151" s="146">
        <v>146</v>
      </c>
      <c r="I151" s="147" t="str">
        <f t="shared" si="13"/>
        <v/>
      </c>
      <c r="J151" s="146">
        <f t="shared" si="14"/>
        <v>-7</v>
      </c>
      <c r="K151" s="146">
        <f t="shared" si="11"/>
        <v>-70</v>
      </c>
      <c r="L151" s="146"/>
      <c r="M151" s="148">
        <f t="shared" si="12"/>
        <v>0</v>
      </c>
    </row>
    <row r="152" spans="1:13" x14ac:dyDescent="0.25">
      <c r="A152" s="162"/>
      <c r="G152" s="132"/>
      <c r="H152" s="146">
        <v>147</v>
      </c>
      <c r="I152" s="147" t="str">
        <f t="shared" si="13"/>
        <v/>
      </c>
      <c r="J152" s="146">
        <f t="shared" si="14"/>
        <v>-7</v>
      </c>
      <c r="K152" s="146">
        <f t="shared" si="11"/>
        <v>-70</v>
      </c>
      <c r="L152" s="146"/>
      <c r="M152" s="148">
        <f t="shared" si="12"/>
        <v>0</v>
      </c>
    </row>
    <row r="153" spans="1:13" x14ac:dyDescent="0.25">
      <c r="A153" s="162"/>
      <c r="G153" s="132"/>
      <c r="H153" s="146">
        <v>148</v>
      </c>
      <c r="I153" s="147" t="str">
        <f t="shared" si="13"/>
        <v/>
      </c>
      <c r="J153" s="146">
        <f t="shared" si="14"/>
        <v>-7</v>
      </c>
      <c r="K153" s="146">
        <f t="shared" si="11"/>
        <v>-70</v>
      </c>
      <c r="L153" s="146"/>
      <c r="M153" s="148">
        <f t="shared" si="12"/>
        <v>0</v>
      </c>
    </row>
    <row r="154" spans="1:13" x14ac:dyDescent="0.25">
      <c r="A154" s="162"/>
      <c r="G154" s="132"/>
      <c r="H154" s="146">
        <v>149</v>
      </c>
      <c r="I154" s="147" t="str">
        <f t="shared" si="13"/>
        <v/>
      </c>
      <c r="J154" s="146">
        <f t="shared" si="14"/>
        <v>-7</v>
      </c>
      <c r="K154" s="146">
        <f t="shared" si="11"/>
        <v>-70</v>
      </c>
      <c r="L154" s="146"/>
      <c r="M154" s="148">
        <f t="shared" si="12"/>
        <v>0</v>
      </c>
    </row>
    <row r="155" spans="1:13" x14ac:dyDescent="0.25">
      <c r="A155" s="162"/>
      <c r="G155" s="132"/>
      <c r="H155" s="146">
        <v>150</v>
      </c>
      <c r="I155" s="147" t="str">
        <f t="shared" si="13"/>
        <v/>
      </c>
      <c r="J155" s="146">
        <f t="shared" si="14"/>
        <v>-7</v>
      </c>
      <c r="K155" s="146">
        <f t="shared" si="11"/>
        <v>-70</v>
      </c>
      <c r="L155" s="146"/>
      <c r="M155" s="148">
        <f t="shared" si="12"/>
        <v>0</v>
      </c>
    </row>
    <row r="156" spans="1:13" x14ac:dyDescent="0.25">
      <c r="A156" s="162"/>
      <c r="G156" s="132"/>
      <c r="H156" s="146">
        <v>151</v>
      </c>
      <c r="I156" s="147" t="str">
        <f t="shared" si="13"/>
        <v/>
      </c>
      <c r="J156" s="146">
        <f t="shared" si="14"/>
        <v>-7</v>
      </c>
      <c r="K156" s="146">
        <f t="shared" si="11"/>
        <v>-70</v>
      </c>
      <c r="L156" s="146"/>
      <c r="M156" s="148">
        <f t="shared" si="12"/>
        <v>0</v>
      </c>
    </row>
    <row r="157" spans="1:13" x14ac:dyDescent="0.25">
      <c r="A157" s="162"/>
      <c r="G157" s="132"/>
      <c r="H157" s="146">
        <v>152</v>
      </c>
      <c r="I157" s="147" t="str">
        <f t="shared" si="13"/>
        <v/>
      </c>
      <c r="J157" s="146">
        <f t="shared" si="14"/>
        <v>-7</v>
      </c>
      <c r="K157" s="146">
        <f t="shared" si="11"/>
        <v>-70</v>
      </c>
      <c r="L157" s="146"/>
      <c r="M157" s="148">
        <f t="shared" si="12"/>
        <v>0</v>
      </c>
    </row>
    <row r="158" spans="1:13" x14ac:dyDescent="0.25">
      <c r="A158" s="162"/>
      <c r="G158" s="132"/>
      <c r="H158" s="146">
        <v>153</v>
      </c>
      <c r="I158" s="147" t="str">
        <f t="shared" si="13"/>
        <v/>
      </c>
      <c r="J158" s="146">
        <f t="shared" si="14"/>
        <v>-7</v>
      </c>
      <c r="K158" s="146">
        <f t="shared" si="11"/>
        <v>-70</v>
      </c>
      <c r="L158" s="146"/>
      <c r="M158" s="148">
        <f t="shared" si="12"/>
        <v>0</v>
      </c>
    </row>
    <row r="159" spans="1:13" x14ac:dyDescent="0.25">
      <c r="A159" s="162"/>
      <c r="G159" s="132"/>
      <c r="H159" s="146">
        <v>154</v>
      </c>
      <c r="I159" s="147" t="str">
        <f t="shared" si="13"/>
        <v/>
      </c>
      <c r="J159" s="146">
        <f t="shared" si="14"/>
        <v>-7</v>
      </c>
      <c r="K159" s="146">
        <f t="shared" si="11"/>
        <v>-70</v>
      </c>
      <c r="L159" s="146"/>
      <c r="M159" s="148">
        <f t="shared" si="12"/>
        <v>0</v>
      </c>
    </row>
    <row r="160" spans="1:13" x14ac:dyDescent="0.25">
      <c r="A160" s="162"/>
      <c r="G160" s="132"/>
      <c r="H160" s="146">
        <v>155</v>
      </c>
      <c r="I160" s="147" t="str">
        <f t="shared" si="13"/>
        <v/>
      </c>
      <c r="J160" s="146">
        <f t="shared" si="14"/>
        <v>-7</v>
      </c>
      <c r="K160" s="146">
        <f t="shared" si="11"/>
        <v>-70</v>
      </c>
      <c r="L160" s="146"/>
      <c r="M160" s="148">
        <f t="shared" si="12"/>
        <v>0</v>
      </c>
    </row>
    <row r="161" spans="1:13" x14ac:dyDescent="0.25">
      <c r="A161" s="162"/>
      <c r="G161" s="132"/>
      <c r="H161" s="146">
        <v>156</v>
      </c>
      <c r="I161" s="147" t="str">
        <f t="shared" si="13"/>
        <v/>
      </c>
      <c r="J161" s="146">
        <f t="shared" si="14"/>
        <v>-7</v>
      </c>
      <c r="K161" s="146">
        <f t="shared" si="11"/>
        <v>-70</v>
      </c>
      <c r="L161" s="146"/>
      <c r="M161" s="148">
        <f t="shared" si="12"/>
        <v>0</v>
      </c>
    </row>
    <row r="162" spans="1:13" x14ac:dyDescent="0.25">
      <c r="A162" s="162"/>
      <c r="G162" s="132"/>
      <c r="H162" s="146">
        <v>157</v>
      </c>
      <c r="I162" s="147" t="str">
        <f t="shared" si="13"/>
        <v/>
      </c>
      <c r="J162" s="146">
        <f t="shared" si="14"/>
        <v>-7</v>
      </c>
      <c r="K162" s="146">
        <f t="shared" si="11"/>
        <v>-70</v>
      </c>
      <c r="L162" s="146"/>
      <c r="M162" s="148">
        <f t="shared" si="12"/>
        <v>0</v>
      </c>
    </row>
    <row r="163" spans="1:13" x14ac:dyDescent="0.25">
      <c r="A163" s="162"/>
      <c r="G163" s="132"/>
      <c r="H163" s="146">
        <v>158</v>
      </c>
      <c r="I163" s="147" t="str">
        <f t="shared" si="13"/>
        <v/>
      </c>
      <c r="J163" s="146">
        <f t="shared" si="14"/>
        <v>-7</v>
      </c>
      <c r="K163" s="146">
        <f t="shared" si="11"/>
        <v>-70</v>
      </c>
      <c r="L163" s="146"/>
      <c r="M163" s="148">
        <f t="shared" si="12"/>
        <v>0</v>
      </c>
    </row>
    <row r="164" spans="1:13" x14ac:dyDescent="0.25">
      <c r="A164" s="162"/>
      <c r="G164" s="132"/>
      <c r="H164" s="146">
        <v>159</v>
      </c>
      <c r="I164" s="147" t="str">
        <f t="shared" si="13"/>
        <v/>
      </c>
      <c r="J164" s="146">
        <f t="shared" si="14"/>
        <v>-7</v>
      </c>
      <c r="K164" s="146">
        <f t="shared" si="11"/>
        <v>-70</v>
      </c>
      <c r="L164" s="146"/>
      <c r="M164" s="148">
        <f t="shared" si="12"/>
        <v>0</v>
      </c>
    </row>
    <row r="165" spans="1:13" x14ac:dyDescent="0.25">
      <c r="A165" s="162"/>
      <c r="G165" s="132"/>
      <c r="H165" s="146">
        <v>160</v>
      </c>
      <c r="I165" s="147" t="str">
        <f t="shared" si="13"/>
        <v/>
      </c>
      <c r="J165" s="146">
        <f t="shared" si="14"/>
        <v>-7</v>
      </c>
      <c r="K165" s="146">
        <f t="shared" si="11"/>
        <v>-70</v>
      </c>
      <c r="L165" s="146"/>
      <c r="M165" s="148">
        <f t="shared" si="12"/>
        <v>0</v>
      </c>
    </row>
    <row r="166" spans="1:13" x14ac:dyDescent="0.25">
      <c r="A166" s="162"/>
      <c r="G166" s="132"/>
      <c r="H166" s="146">
        <v>161</v>
      </c>
      <c r="I166" s="147" t="str">
        <f t="shared" si="13"/>
        <v/>
      </c>
      <c r="J166" s="146">
        <f t="shared" si="14"/>
        <v>-7</v>
      </c>
      <c r="K166" s="146">
        <f t="shared" si="11"/>
        <v>-70</v>
      </c>
      <c r="L166" s="146"/>
      <c r="M166" s="148">
        <f t="shared" si="12"/>
        <v>0</v>
      </c>
    </row>
    <row r="167" spans="1:13" x14ac:dyDescent="0.25">
      <c r="A167" s="162"/>
      <c r="G167" s="132"/>
      <c r="H167" s="146">
        <v>162</v>
      </c>
      <c r="I167" s="147" t="str">
        <f t="shared" si="13"/>
        <v/>
      </c>
      <c r="J167" s="146">
        <f t="shared" si="14"/>
        <v>-7</v>
      </c>
      <c r="K167" s="146">
        <f t="shared" si="11"/>
        <v>-70</v>
      </c>
      <c r="L167" s="146"/>
      <c r="M167" s="148">
        <f t="shared" si="12"/>
        <v>0</v>
      </c>
    </row>
    <row r="168" spans="1:13" x14ac:dyDescent="0.25">
      <c r="A168" s="162"/>
      <c r="G168" s="132"/>
      <c r="H168" s="146">
        <v>163</v>
      </c>
      <c r="I168" s="147" t="str">
        <f t="shared" si="13"/>
        <v/>
      </c>
      <c r="J168" s="146">
        <f t="shared" si="14"/>
        <v>-7</v>
      </c>
      <c r="K168" s="146">
        <f t="shared" si="11"/>
        <v>-70</v>
      </c>
      <c r="L168" s="146"/>
      <c r="M168" s="148">
        <f t="shared" si="12"/>
        <v>0</v>
      </c>
    </row>
    <row r="169" spans="1:13" x14ac:dyDescent="0.25">
      <c r="A169" s="162"/>
      <c r="G169" s="132"/>
      <c r="H169" s="146">
        <v>164</v>
      </c>
      <c r="I169" s="147" t="str">
        <f t="shared" si="13"/>
        <v/>
      </c>
      <c r="J169" s="146">
        <f t="shared" si="14"/>
        <v>-7</v>
      </c>
      <c r="K169" s="146">
        <f t="shared" si="11"/>
        <v>-70</v>
      </c>
      <c r="L169" s="146"/>
      <c r="M169" s="148">
        <f t="shared" si="12"/>
        <v>0</v>
      </c>
    </row>
    <row r="170" spans="1:13" x14ac:dyDescent="0.25">
      <c r="A170" s="162"/>
      <c r="G170" s="132"/>
      <c r="H170" s="146">
        <v>165</v>
      </c>
      <c r="I170" s="147" t="str">
        <f t="shared" si="13"/>
        <v/>
      </c>
      <c r="J170" s="146">
        <f t="shared" si="14"/>
        <v>-7</v>
      </c>
      <c r="K170" s="146">
        <f t="shared" si="11"/>
        <v>-70</v>
      </c>
      <c r="L170" s="146"/>
      <c r="M170" s="148">
        <f t="shared" si="12"/>
        <v>0</v>
      </c>
    </row>
    <row r="171" spans="1:13" x14ac:dyDescent="0.25">
      <c r="A171" s="162"/>
      <c r="G171" s="132"/>
      <c r="H171" s="146">
        <v>166</v>
      </c>
      <c r="I171" s="147" t="str">
        <f t="shared" si="13"/>
        <v/>
      </c>
      <c r="J171" s="146">
        <f t="shared" si="14"/>
        <v>-7</v>
      </c>
      <c r="K171" s="146">
        <f t="shared" si="11"/>
        <v>-70</v>
      </c>
      <c r="L171" s="146"/>
      <c r="M171" s="148">
        <f t="shared" si="12"/>
        <v>0</v>
      </c>
    </row>
    <row r="172" spans="1:13" x14ac:dyDescent="0.25">
      <c r="A172" s="162"/>
      <c r="G172" s="132"/>
      <c r="H172" s="146">
        <v>167</v>
      </c>
      <c r="I172" s="147" t="str">
        <f t="shared" si="13"/>
        <v/>
      </c>
      <c r="J172" s="146">
        <f t="shared" si="14"/>
        <v>-7</v>
      </c>
      <c r="K172" s="146">
        <f t="shared" si="11"/>
        <v>-70</v>
      </c>
      <c r="L172" s="146"/>
      <c r="M172" s="148">
        <f t="shared" si="12"/>
        <v>0</v>
      </c>
    </row>
    <row r="173" spans="1:13" x14ac:dyDescent="0.25">
      <c r="A173" s="162"/>
      <c r="G173" s="132"/>
      <c r="H173" s="146">
        <v>168</v>
      </c>
      <c r="I173" s="147" t="str">
        <f t="shared" si="13"/>
        <v/>
      </c>
      <c r="J173" s="146">
        <f t="shared" si="14"/>
        <v>-7</v>
      </c>
      <c r="K173" s="146">
        <f t="shared" si="11"/>
        <v>-70</v>
      </c>
      <c r="L173" s="146"/>
      <c r="M173" s="148">
        <f t="shared" si="12"/>
        <v>0</v>
      </c>
    </row>
    <row r="174" spans="1:13" x14ac:dyDescent="0.25">
      <c r="A174" s="162"/>
      <c r="G174" s="132"/>
      <c r="H174" s="146">
        <v>169</v>
      </c>
      <c r="I174" s="147" t="str">
        <f t="shared" si="13"/>
        <v/>
      </c>
      <c r="J174" s="146">
        <f t="shared" si="14"/>
        <v>-7</v>
      </c>
      <c r="K174" s="146">
        <f t="shared" si="11"/>
        <v>-70</v>
      </c>
      <c r="L174" s="146"/>
      <c r="M174" s="148">
        <f t="shared" si="12"/>
        <v>0</v>
      </c>
    </row>
    <row r="175" spans="1:13" x14ac:dyDescent="0.25">
      <c r="A175" s="162"/>
      <c r="G175" s="132"/>
      <c r="H175" s="146">
        <v>170</v>
      </c>
      <c r="I175" s="147" t="str">
        <f t="shared" si="13"/>
        <v/>
      </c>
      <c r="J175" s="146">
        <f t="shared" si="14"/>
        <v>-7</v>
      </c>
      <c r="K175" s="146">
        <f t="shared" si="11"/>
        <v>-70</v>
      </c>
      <c r="L175" s="146"/>
      <c r="M175" s="148">
        <f t="shared" si="12"/>
        <v>0</v>
      </c>
    </row>
    <row r="176" spans="1:13" x14ac:dyDescent="0.25">
      <c r="A176" s="162"/>
      <c r="G176" s="132"/>
      <c r="H176" s="146">
        <v>171</v>
      </c>
      <c r="I176" s="147" t="str">
        <f t="shared" si="13"/>
        <v/>
      </c>
      <c r="J176" s="146">
        <f t="shared" si="14"/>
        <v>-7</v>
      </c>
      <c r="K176" s="146">
        <f t="shared" si="11"/>
        <v>-70</v>
      </c>
      <c r="L176" s="146"/>
      <c r="M176" s="148">
        <f t="shared" si="12"/>
        <v>0</v>
      </c>
    </row>
    <row r="177" spans="1:13" x14ac:dyDescent="0.25">
      <c r="A177" s="162"/>
      <c r="G177" s="132"/>
      <c r="H177" s="146">
        <v>172</v>
      </c>
      <c r="I177" s="147" t="str">
        <f t="shared" si="13"/>
        <v/>
      </c>
      <c r="J177" s="146">
        <f t="shared" si="14"/>
        <v>-7</v>
      </c>
      <c r="K177" s="146">
        <f t="shared" si="11"/>
        <v>-70</v>
      </c>
      <c r="L177" s="146"/>
      <c r="M177" s="148">
        <f t="shared" si="12"/>
        <v>0</v>
      </c>
    </row>
    <row r="178" spans="1:13" x14ac:dyDescent="0.25">
      <c r="A178" s="162"/>
      <c r="G178" s="132"/>
      <c r="H178" s="146">
        <v>173</v>
      </c>
      <c r="I178" s="147" t="str">
        <f t="shared" si="13"/>
        <v/>
      </c>
      <c r="J178" s="146">
        <f t="shared" si="14"/>
        <v>-7</v>
      </c>
      <c r="K178" s="146">
        <f t="shared" si="11"/>
        <v>-70</v>
      </c>
      <c r="L178" s="146"/>
      <c r="M178" s="148">
        <f t="shared" si="12"/>
        <v>0</v>
      </c>
    </row>
    <row r="179" spans="1:13" x14ac:dyDescent="0.25">
      <c r="A179" s="162"/>
      <c r="G179" s="132"/>
      <c r="H179" s="146">
        <v>174</v>
      </c>
      <c r="I179" s="147" t="str">
        <f t="shared" si="13"/>
        <v/>
      </c>
      <c r="J179" s="146">
        <f t="shared" si="14"/>
        <v>-7</v>
      </c>
      <c r="K179" s="146">
        <f t="shared" si="11"/>
        <v>-70</v>
      </c>
      <c r="L179" s="146"/>
      <c r="M179" s="148">
        <f t="shared" si="12"/>
        <v>0</v>
      </c>
    </row>
    <row r="180" spans="1:13" x14ac:dyDescent="0.25">
      <c r="A180" s="162"/>
      <c r="G180" s="132"/>
      <c r="H180" s="146">
        <v>175</v>
      </c>
      <c r="I180" s="147" t="str">
        <f t="shared" si="13"/>
        <v/>
      </c>
      <c r="J180" s="146">
        <f t="shared" si="14"/>
        <v>-7</v>
      </c>
      <c r="K180" s="146">
        <f t="shared" si="11"/>
        <v>-70</v>
      </c>
      <c r="L180" s="146"/>
      <c r="M180" s="148">
        <f t="shared" si="12"/>
        <v>0</v>
      </c>
    </row>
    <row r="181" spans="1:13" x14ac:dyDescent="0.25">
      <c r="A181" s="162"/>
      <c r="G181" s="132"/>
      <c r="H181" s="146">
        <v>176</v>
      </c>
      <c r="I181" s="147" t="str">
        <f t="shared" si="13"/>
        <v/>
      </c>
      <c r="J181" s="146">
        <f t="shared" si="14"/>
        <v>-7</v>
      </c>
      <c r="K181" s="146">
        <f t="shared" si="11"/>
        <v>-70</v>
      </c>
      <c r="L181" s="146"/>
      <c r="M181" s="148">
        <f t="shared" si="12"/>
        <v>0</v>
      </c>
    </row>
    <row r="182" spans="1:13" x14ac:dyDescent="0.25">
      <c r="A182" s="162"/>
      <c r="G182" s="132"/>
      <c r="H182" s="146">
        <v>177</v>
      </c>
      <c r="I182" s="147" t="str">
        <f t="shared" si="13"/>
        <v/>
      </c>
      <c r="J182" s="146">
        <f t="shared" si="14"/>
        <v>-7</v>
      </c>
      <c r="K182" s="146">
        <f t="shared" si="11"/>
        <v>-70</v>
      </c>
      <c r="L182" s="146"/>
      <c r="M182" s="148">
        <f t="shared" si="12"/>
        <v>0</v>
      </c>
    </row>
    <row r="183" spans="1:13" x14ac:dyDescent="0.25">
      <c r="A183" s="162"/>
      <c r="G183" s="132"/>
      <c r="H183" s="146">
        <v>178</v>
      </c>
      <c r="I183" s="147" t="str">
        <f t="shared" si="13"/>
        <v/>
      </c>
      <c r="J183" s="146">
        <f t="shared" si="14"/>
        <v>-7</v>
      </c>
      <c r="K183" s="146">
        <f t="shared" si="11"/>
        <v>-70</v>
      </c>
      <c r="L183" s="146"/>
      <c r="M183" s="148">
        <f t="shared" si="12"/>
        <v>0</v>
      </c>
    </row>
    <row r="184" spans="1:13" x14ac:dyDescent="0.25">
      <c r="A184" s="162"/>
      <c r="G184" s="132"/>
      <c r="H184" s="146">
        <v>179</v>
      </c>
      <c r="I184" s="147" t="str">
        <f t="shared" si="13"/>
        <v/>
      </c>
      <c r="J184" s="146">
        <f t="shared" si="14"/>
        <v>-7</v>
      </c>
      <c r="K184" s="146">
        <f t="shared" si="11"/>
        <v>-70</v>
      </c>
      <c r="L184" s="146"/>
      <c r="M184" s="148">
        <f t="shared" si="12"/>
        <v>0</v>
      </c>
    </row>
    <row r="185" spans="1:13" x14ac:dyDescent="0.25">
      <c r="A185" s="162"/>
      <c r="G185" s="132"/>
      <c r="H185" s="146">
        <v>180</v>
      </c>
      <c r="I185" s="147" t="str">
        <f t="shared" si="13"/>
        <v/>
      </c>
      <c r="J185" s="146">
        <f t="shared" si="14"/>
        <v>-7</v>
      </c>
      <c r="K185" s="146">
        <f t="shared" si="11"/>
        <v>-70</v>
      </c>
      <c r="L185" s="146"/>
      <c r="M185" s="148">
        <f t="shared" si="12"/>
        <v>0</v>
      </c>
    </row>
    <row r="186" spans="1:13" x14ac:dyDescent="0.25">
      <c r="A186" s="162"/>
      <c r="G186" s="132"/>
      <c r="H186" s="146">
        <v>181</v>
      </c>
      <c r="I186" s="147" t="str">
        <f t="shared" si="13"/>
        <v/>
      </c>
      <c r="J186" s="146">
        <f t="shared" si="14"/>
        <v>-7</v>
      </c>
      <c r="K186" s="146">
        <f t="shared" si="11"/>
        <v>-70</v>
      </c>
      <c r="L186" s="146"/>
      <c r="M186" s="148">
        <f t="shared" si="12"/>
        <v>0</v>
      </c>
    </row>
    <row r="187" spans="1:13" x14ac:dyDescent="0.25">
      <c r="A187" s="162"/>
      <c r="G187" s="132"/>
      <c r="H187" s="146">
        <v>182</v>
      </c>
      <c r="I187" s="147" t="str">
        <f t="shared" si="13"/>
        <v/>
      </c>
      <c r="J187" s="146">
        <f t="shared" si="14"/>
        <v>-7</v>
      </c>
      <c r="K187" s="146">
        <f t="shared" si="11"/>
        <v>-70</v>
      </c>
      <c r="L187" s="146"/>
      <c r="M187" s="148">
        <f t="shared" si="12"/>
        <v>0</v>
      </c>
    </row>
    <row r="188" spans="1:13" x14ac:dyDescent="0.25">
      <c r="A188" s="162"/>
      <c r="G188" s="132"/>
      <c r="H188" s="146">
        <v>183</v>
      </c>
      <c r="I188" s="147" t="str">
        <f t="shared" si="13"/>
        <v/>
      </c>
      <c r="J188" s="146">
        <f t="shared" si="14"/>
        <v>-7</v>
      </c>
      <c r="K188" s="146">
        <f t="shared" si="11"/>
        <v>-70</v>
      </c>
      <c r="L188" s="146"/>
      <c r="M188" s="148">
        <f t="shared" si="12"/>
        <v>0</v>
      </c>
    </row>
    <row r="189" spans="1:13" x14ac:dyDescent="0.25">
      <c r="A189" s="162"/>
      <c r="G189" s="132"/>
      <c r="H189" s="146">
        <v>184</v>
      </c>
      <c r="I189" s="147" t="str">
        <f t="shared" si="13"/>
        <v/>
      </c>
      <c r="J189" s="146">
        <f t="shared" si="14"/>
        <v>-7</v>
      </c>
      <c r="K189" s="146">
        <f t="shared" si="11"/>
        <v>-70</v>
      </c>
      <c r="L189" s="146"/>
      <c r="M189" s="148">
        <f t="shared" si="12"/>
        <v>0</v>
      </c>
    </row>
    <row r="190" spans="1:13" x14ac:dyDescent="0.25">
      <c r="A190" s="162"/>
      <c r="G190" s="132"/>
      <c r="H190" s="146">
        <v>185</v>
      </c>
      <c r="I190" s="147" t="str">
        <f t="shared" si="13"/>
        <v/>
      </c>
      <c r="J190" s="146">
        <f t="shared" si="14"/>
        <v>-7</v>
      </c>
      <c r="K190" s="146">
        <f t="shared" si="11"/>
        <v>-70</v>
      </c>
      <c r="L190" s="146"/>
      <c r="M190" s="148">
        <f t="shared" si="12"/>
        <v>0</v>
      </c>
    </row>
    <row r="191" spans="1:13" x14ac:dyDescent="0.25">
      <c r="A191" s="162"/>
      <c r="G191" s="132"/>
      <c r="H191" s="146">
        <v>186</v>
      </c>
      <c r="I191" s="147" t="str">
        <f t="shared" si="13"/>
        <v/>
      </c>
      <c r="J191" s="146">
        <f t="shared" si="14"/>
        <v>-7</v>
      </c>
      <c r="K191" s="146">
        <f t="shared" si="11"/>
        <v>-70</v>
      </c>
      <c r="L191" s="146"/>
      <c r="M191" s="148">
        <f t="shared" si="12"/>
        <v>0</v>
      </c>
    </row>
    <row r="192" spans="1:13" x14ac:dyDescent="0.25">
      <c r="A192" s="162"/>
      <c r="G192" s="132"/>
      <c r="H192" s="146">
        <v>187</v>
      </c>
      <c r="I192" s="147" t="str">
        <f t="shared" si="13"/>
        <v/>
      </c>
      <c r="J192" s="146">
        <f t="shared" si="14"/>
        <v>-7</v>
      </c>
      <c r="K192" s="146">
        <f t="shared" si="11"/>
        <v>-70</v>
      </c>
      <c r="L192" s="146"/>
      <c r="M192" s="148">
        <f t="shared" si="12"/>
        <v>0</v>
      </c>
    </row>
    <row r="193" spans="1:13" x14ac:dyDescent="0.25">
      <c r="A193" s="162"/>
      <c r="G193" s="132"/>
      <c r="H193" s="146">
        <v>188</v>
      </c>
      <c r="I193" s="147" t="str">
        <f t="shared" si="13"/>
        <v/>
      </c>
      <c r="J193" s="146">
        <f t="shared" si="14"/>
        <v>-7</v>
      </c>
      <c r="K193" s="146">
        <f t="shared" si="11"/>
        <v>-70</v>
      </c>
      <c r="L193" s="146"/>
      <c r="M193" s="148">
        <f t="shared" si="12"/>
        <v>0</v>
      </c>
    </row>
    <row r="194" spans="1:13" x14ac:dyDescent="0.25">
      <c r="A194" s="162"/>
      <c r="G194" s="132"/>
      <c r="H194" s="146">
        <v>189</v>
      </c>
      <c r="I194" s="147" t="str">
        <f t="shared" si="13"/>
        <v/>
      </c>
      <c r="J194" s="146">
        <f t="shared" si="14"/>
        <v>-7</v>
      </c>
      <c r="K194" s="146">
        <f t="shared" si="11"/>
        <v>-70</v>
      </c>
      <c r="L194" s="146"/>
      <c r="M194" s="148">
        <f t="shared" si="12"/>
        <v>0</v>
      </c>
    </row>
    <row r="195" spans="1:13" x14ac:dyDescent="0.25">
      <c r="A195" s="162"/>
      <c r="G195" s="132"/>
      <c r="H195" s="146">
        <v>190</v>
      </c>
      <c r="I195" s="147" t="str">
        <f t="shared" si="13"/>
        <v/>
      </c>
      <c r="J195" s="146">
        <f t="shared" si="14"/>
        <v>-7</v>
      </c>
      <c r="K195" s="146">
        <f t="shared" si="11"/>
        <v>-70</v>
      </c>
      <c r="L195" s="146"/>
      <c r="M195" s="148">
        <f t="shared" si="12"/>
        <v>0</v>
      </c>
    </row>
    <row r="196" spans="1:13" x14ac:dyDescent="0.25">
      <c r="A196" s="162"/>
      <c r="G196" s="132"/>
      <c r="H196" s="146">
        <v>191</v>
      </c>
      <c r="I196" s="147" t="str">
        <f t="shared" si="13"/>
        <v/>
      </c>
      <c r="J196" s="146">
        <f t="shared" si="14"/>
        <v>-7</v>
      </c>
      <c r="K196" s="146">
        <f t="shared" si="11"/>
        <v>-70</v>
      </c>
      <c r="L196" s="146"/>
      <c r="M196" s="148">
        <f t="shared" si="12"/>
        <v>0</v>
      </c>
    </row>
    <row r="197" spans="1:13" x14ac:dyDescent="0.25">
      <c r="A197" s="162"/>
      <c r="G197" s="132"/>
      <c r="H197" s="146">
        <v>192</v>
      </c>
      <c r="I197" s="147" t="str">
        <f t="shared" si="13"/>
        <v/>
      </c>
      <c r="J197" s="146">
        <f t="shared" si="14"/>
        <v>-7</v>
      </c>
      <c r="K197" s="146">
        <f t="shared" si="11"/>
        <v>-70</v>
      </c>
      <c r="L197" s="146"/>
      <c r="M197" s="148">
        <f t="shared" si="12"/>
        <v>0</v>
      </c>
    </row>
    <row r="198" spans="1:13" x14ac:dyDescent="0.25">
      <c r="A198" s="162"/>
      <c r="G198" s="132"/>
      <c r="H198" s="146">
        <v>193</v>
      </c>
      <c r="I198" s="147" t="str">
        <f t="shared" si="13"/>
        <v/>
      </c>
      <c r="J198" s="146">
        <f t="shared" si="14"/>
        <v>-7</v>
      </c>
      <c r="K198" s="146">
        <f t="shared" ref="K198:K261" si="15">J198*$J$2</f>
        <v>-70</v>
      </c>
      <c r="L198" s="146"/>
      <c r="M198" s="148">
        <f t="shared" ref="M198:M261" si="16">IF(I198&lt;&gt;"",K198+I198+L198,0)</f>
        <v>0</v>
      </c>
    </row>
    <row r="199" spans="1:13" x14ac:dyDescent="0.25">
      <c r="A199" s="162"/>
      <c r="G199" s="132"/>
      <c r="H199" s="146">
        <v>194</v>
      </c>
      <c r="I199" s="147" t="str">
        <f t="shared" ref="I199:I262" si="17">IF(H199&lt;$H$2+1,($I$2-($I$2-1)*(LOG(H199)/LOG($H$2))),"")</f>
        <v/>
      </c>
      <c r="J199" s="146">
        <f t="shared" ref="J199:J262" si="18">INT(LOG($H$2,2))-ROUNDUP(LOG(H199,2),0)+IF(OR($H$2=1,$H$2=2,$H$2=4,$H$2=8,$H$2=16,$H$2=32,$H$2=64,$H$2=128,$H$2=256),0,1)</f>
        <v>-7</v>
      </c>
      <c r="K199" s="146">
        <f t="shared" si="15"/>
        <v>-70</v>
      </c>
      <c r="L199" s="146"/>
      <c r="M199" s="148">
        <f t="shared" si="16"/>
        <v>0</v>
      </c>
    </row>
    <row r="200" spans="1:13" x14ac:dyDescent="0.25">
      <c r="A200" s="162"/>
      <c r="G200" s="132"/>
      <c r="H200" s="146">
        <v>195</v>
      </c>
      <c r="I200" s="147" t="str">
        <f t="shared" si="17"/>
        <v/>
      </c>
      <c r="J200" s="146">
        <f t="shared" si="18"/>
        <v>-7</v>
      </c>
      <c r="K200" s="146">
        <f t="shared" si="15"/>
        <v>-70</v>
      </c>
      <c r="L200" s="146"/>
      <c r="M200" s="148">
        <f t="shared" si="16"/>
        <v>0</v>
      </c>
    </row>
    <row r="201" spans="1:13" x14ac:dyDescent="0.25">
      <c r="A201" s="162"/>
      <c r="G201" s="132"/>
      <c r="H201" s="146">
        <v>196</v>
      </c>
      <c r="I201" s="147" t="str">
        <f t="shared" si="17"/>
        <v/>
      </c>
      <c r="J201" s="146">
        <f t="shared" si="18"/>
        <v>-7</v>
      </c>
      <c r="K201" s="146">
        <f t="shared" si="15"/>
        <v>-70</v>
      </c>
      <c r="L201" s="146"/>
      <c r="M201" s="148">
        <f t="shared" si="16"/>
        <v>0</v>
      </c>
    </row>
    <row r="202" spans="1:13" x14ac:dyDescent="0.25">
      <c r="A202" s="162"/>
      <c r="G202" s="132"/>
      <c r="H202" s="146">
        <v>197</v>
      </c>
      <c r="I202" s="147" t="str">
        <f t="shared" si="17"/>
        <v/>
      </c>
      <c r="J202" s="146">
        <f t="shared" si="18"/>
        <v>-7</v>
      </c>
      <c r="K202" s="146">
        <f t="shared" si="15"/>
        <v>-70</v>
      </c>
      <c r="L202" s="146"/>
      <c r="M202" s="148">
        <f t="shared" si="16"/>
        <v>0</v>
      </c>
    </row>
    <row r="203" spans="1:13" x14ac:dyDescent="0.25">
      <c r="A203" s="162"/>
      <c r="G203" s="132"/>
      <c r="H203" s="146">
        <v>198</v>
      </c>
      <c r="I203" s="147" t="str">
        <f t="shared" si="17"/>
        <v/>
      </c>
      <c r="J203" s="146">
        <f t="shared" si="18"/>
        <v>-7</v>
      </c>
      <c r="K203" s="146">
        <f t="shared" si="15"/>
        <v>-70</v>
      </c>
      <c r="L203" s="146"/>
      <c r="M203" s="148">
        <f t="shared" si="16"/>
        <v>0</v>
      </c>
    </row>
    <row r="204" spans="1:13" x14ac:dyDescent="0.25">
      <c r="A204" s="162"/>
      <c r="G204" s="132"/>
      <c r="H204" s="146">
        <v>199</v>
      </c>
      <c r="I204" s="147" t="str">
        <f t="shared" si="17"/>
        <v/>
      </c>
      <c r="J204" s="146">
        <f t="shared" si="18"/>
        <v>-7</v>
      </c>
      <c r="K204" s="146">
        <f t="shared" si="15"/>
        <v>-70</v>
      </c>
      <c r="L204" s="146"/>
      <c r="M204" s="148">
        <f t="shared" si="16"/>
        <v>0</v>
      </c>
    </row>
    <row r="205" spans="1:13" x14ac:dyDescent="0.25">
      <c r="A205" s="162"/>
      <c r="G205" s="132"/>
      <c r="H205" s="146">
        <v>200</v>
      </c>
      <c r="I205" s="147" t="str">
        <f t="shared" si="17"/>
        <v/>
      </c>
      <c r="J205" s="146">
        <f t="shared" si="18"/>
        <v>-7</v>
      </c>
      <c r="K205" s="146">
        <f t="shared" si="15"/>
        <v>-70</v>
      </c>
      <c r="L205" s="146"/>
      <c r="M205" s="148">
        <f t="shared" si="16"/>
        <v>0</v>
      </c>
    </row>
    <row r="206" spans="1:13" x14ac:dyDescent="0.25">
      <c r="A206" s="162"/>
      <c r="G206" s="132"/>
      <c r="H206" s="146">
        <v>201</v>
      </c>
      <c r="I206" s="147" t="str">
        <f t="shared" si="17"/>
        <v/>
      </c>
      <c r="J206" s="146">
        <f t="shared" si="18"/>
        <v>-7</v>
      </c>
      <c r="K206" s="146">
        <f t="shared" si="15"/>
        <v>-70</v>
      </c>
      <c r="L206" s="146"/>
      <c r="M206" s="148">
        <f t="shared" si="16"/>
        <v>0</v>
      </c>
    </row>
    <row r="207" spans="1:13" x14ac:dyDescent="0.25">
      <c r="A207" s="162"/>
      <c r="G207" s="132"/>
      <c r="H207" s="146">
        <v>202</v>
      </c>
      <c r="I207" s="147" t="str">
        <f t="shared" si="17"/>
        <v/>
      </c>
      <c r="J207" s="146">
        <f t="shared" si="18"/>
        <v>-7</v>
      </c>
      <c r="K207" s="146">
        <f t="shared" si="15"/>
        <v>-70</v>
      </c>
      <c r="L207" s="146"/>
      <c r="M207" s="148">
        <f t="shared" si="16"/>
        <v>0</v>
      </c>
    </row>
    <row r="208" spans="1:13" x14ac:dyDescent="0.25">
      <c r="A208" s="162"/>
      <c r="G208" s="132"/>
      <c r="H208" s="146">
        <v>203</v>
      </c>
      <c r="I208" s="147" t="str">
        <f t="shared" si="17"/>
        <v/>
      </c>
      <c r="J208" s="146">
        <f t="shared" si="18"/>
        <v>-7</v>
      </c>
      <c r="K208" s="146">
        <f t="shared" si="15"/>
        <v>-70</v>
      </c>
      <c r="L208" s="146"/>
      <c r="M208" s="148">
        <f t="shared" si="16"/>
        <v>0</v>
      </c>
    </row>
    <row r="209" spans="1:13" x14ac:dyDescent="0.25">
      <c r="A209" s="162"/>
      <c r="G209" s="132"/>
      <c r="H209" s="146">
        <v>204</v>
      </c>
      <c r="I209" s="147" t="str">
        <f t="shared" si="17"/>
        <v/>
      </c>
      <c r="J209" s="146">
        <f t="shared" si="18"/>
        <v>-7</v>
      </c>
      <c r="K209" s="146">
        <f t="shared" si="15"/>
        <v>-70</v>
      </c>
      <c r="L209" s="146"/>
      <c r="M209" s="148">
        <f t="shared" si="16"/>
        <v>0</v>
      </c>
    </row>
    <row r="210" spans="1:13" x14ac:dyDescent="0.25">
      <c r="A210" s="162"/>
      <c r="G210" s="132"/>
      <c r="H210" s="146">
        <v>205</v>
      </c>
      <c r="I210" s="147" t="str">
        <f t="shared" si="17"/>
        <v/>
      </c>
      <c r="J210" s="146">
        <f t="shared" si="18"/>
        <v>-7</v>
      </c>
      <c r="K210" s="146">
        <f t="shared" si="15"/>
        <v>-70</v>
      </c>
      <c r="L210" s="146"/>
      <c r="M210" s="148">
        <f t="shared" si="16"/>
        <v>0</v>
      </c>
    </row>
    <row r="211" spans="1:13" x14ac:dyDescent="0.25">
      <c r="A211" s="162"/>
      <c r="G211" s="132"/>
      <c r="H211" s="146">
        <v>206</v>
      </c>
      <c r="I211" s="147" t="str">
        <f t="shared" si="17"/>
        <v/>
      </c>
      <c r="J211" s="146">
        <f t="shared" si="18"/>
        <v>-7</v>
      </c>
      <c r="K211" s="146">
        <f t="shared" si="15"/>
        <v>-70</v>
      </c>
      <c r="L211" s="146"/>
      <c r="M211" s="148">
        <f t="shared" si="16"/>
        <v>0</v>
      </c>
    </row>
    <row r="212" spans="1:13" x14ac:dyDescent="0.25">
      <c r="A212" s="162"/>
      <c r="G212" s="132"/>
      <c r="H212" s="146">
        <v>207</v>
      </c>
      <c r="I212" s="147" t="str">
        <f t="shared" si="17"/>
        <v/>
      </c>
      <c r="J212" s="146">
        <f t="shared" si="18"/>
        <v>-7</v>
      </c>
      <c r="K212" s="146">
        <f t="shared" si="15"/>
        <v>-70</v>
      </c>
      <c r="L212" s="146"/>
      <c r="M212" s="148">
        <f t="shared" si="16"/>
        <v>0</v>
      </c>
    </row>
    <row r="213" spans="1:13" x14ac:dyDescent="0.25">
      <c r="A213" s="162"/>
      <c r="G213" s="132"/>
      <c r="H213" s="146">
        <v>208</v>
      </c>
      <c r="I213" s="147" t="str">
        <f t="shared" si="17"/>
        <v/>
      </c>
      <c r="J213" s="146">
        <f t="shared" si="18"/>
        <v>-7</v>
      </c>
      <c r="K213" s="146">
        <f t="shared" si="15"/>
        <v>-70</v>
      </c>
      <c r="L213" s="146"/>
      <c r="M213" s="148">
        <f t="shared" si="16"/>
        <v>0</v>
      </c>
    </row>
    <row r="214" spans="1:13" x14ac:dyDescent="0.25">
      <c r="A214" s="162"/>
      <c r="G214" s="132"/>
      <c r="H214" s="146">
        <v>209</v>
      </c>
      <c r="I214" s="147" t="str">
        <f t="shared" si="17"/>
        <v/>
      </c>
      <c r="J214" s="146">
        <f t="shared" si="18"/>
        <v>-7</v>
      </c>
      <c r="K214" s="146">
        <f t="shared" si="15"/>
        <v>-70</v>
      </c>
      <c r="L214" s="146"/>
      <c r="M214" s="148">
        <f t="shared" si="16"/>
        <v>0</v>
      </c>
    </row>
    <row r="215" spans="1:13" x14ac:dyDescent="0.25">
      <c r="A215" s="162"/>
      <c r="G215" s="132"/>
      <c r="H215" s="146">
        <v>210</v>
      </c>
      <c r="I215" s="147" t="str">
        <f t="shared" si="17"/>
        <v/>
      </c>
      <c r="J215" s="146">
        <f t="shared" si="18"/>
        <v>-7</v>
      </c>
      <c r="K215" s="146">
        <f t="shared" si="15"/>
        <v>-70</v>
      </c>
      <c r="L215" s="146"/>
      <c r="M215" s="148">
        <f t="shared" si="16"/>
        <v>0</v>
      </c>
    </row>
    <row r="216" spans="1:13" x14ac:dyDescent="0.25">
      <c r="A216" s="162"/>
      <c r="G216" s="132"/>
      <c r="H216" s="146">
        <v>211</v>
      </c>
      <c r="I216" s="147" t="str">
        <f t="shared" si="17"/>
        <v/>
      </c>
      <c r="J216" s="146">
        <f t="shared" si="18"/>
        <v>-7</v>
      </c>
      <c r="K216" s="146">
        <f t="shared" si="15"/>
        <v>-70</v>
      </c>
      <c r="L216" s="146"/>
      <c r="M216" s="148">
        <f t="shared" si="16"/>
        <v>0</v>
      </c>
    </row>
    <row r="217" spans="1:13" x14ac:dyDescent="0.25">
      <c r="A217" s="162"/>
      <c r="G217" s="132"/>
      <c r="H217" s="146">
        <v>212</v>
      </c>
      <c r="I217" s="147" t="str">
        <f t="shared" si="17"/>
        <v/>
      </c>
      <c r="J217" s="146">
        <f t="shared" si="18"/>
        <v>-7</v>
      </c>
      <c r="K217" s="146">
        <f t="shared" si="15"/>
        <v>-70</v>
      </c>
      <c r="L217" s="146"/>
      <c r="M217" s="148">
        <f t="shared" si="16"/>
        <v>0</v>
      </c>
    </row>
    <row r="218" spans="1:13" x14ac:dyDescent="0.25">
      <c r="A218" s="162"/>
      <c r="G218" s="132"/>
      <c r="H218" s="146">
        <v>213</v>
      </c>
      <c r="I218" s="147" t="str">
        <f t="shared" si="17"/>
        <v/>
      </c>
      <c r="J218" s="146">
        <f t="shared" si="18"/>
        <v>-7</v>
      </c>
      <c r="K218" s="146">
        <f t="shared" si="15"/>
        <v>-70</v>
      </c>
      <c r="L218" s="146"/>
      <c r="M218" s="148">
        <f t="shared" si="16"/>
        <v>0</v>
      </c>
    </row>
    <row r="219" spans="1:13" x14ac:dyDescent="0.25">
      <c r="A219" s="162"/>
      <c r="G219" s="132"/>
      <c r="H219" s="146">
        <v>214</v>
      </c>
      <c r="I219" s="147" t="str">
        <f t="shared" si="17"/>
        <v/>
      </c>
      <c r="J219" s="146">
        <f t="shared" si="18"/>
        <v>-7</v>
      </c>
      <c r="K219" s="146">
        <f t="shared" si="15"/>
        <v>-70</v>
      </c>
      <c r="L219" s="146"/>
      <c r="M219" s="148">
        <f t="shared" si="16"/>
        <v>0</v>
      </c>
    </row>
    <row r="220" spans="1:13" x14ac:dyDescent="0.25">
      <c r="A220" s="162"/>
      <c r="G220" s="132"/>
      <c r="H220" s="146">
        <v>215</v>
      </c>
      <c r="I220" s="147" t="str">
        <f t="shared" si="17"/>
        <v/>
      </c>
      <c r="J220" s="146">
        <f t="shared" si="18"/>
        <v>-7</v>
      </c>
      <c r="K220" s="146">
        <f t="shared" si="15"/>
        <v>-70</v>
      </c>
      <c r="L220" s="146"/>
      <c r="M220" s="148">
        <f t="shared" si="16"/>
        <v>0</v>
      </c>
    </row>
    <row r="221" spans="1:13" x14ac:dyDescent="0.25">
      <c r="A221" s="162"/>
      <c r="G221" s="132"/>
      <c r="H221" s="146">
        <v>216</v>
      </c>
      <c r="I221" s="147" t="str">
        <f t="shared" si="17"/>
        <v/>
      </c>
      <c r="J221" s="146">
        <f t="shared" si="18"/>
        <v>-7</v>
      </c>
      <c r="K221" s="146">
        <f t="shared" si="15"/>
        <v>-70</v>
      </c>
      <c r="L221" s="146"/>
      <c r="M221" s="148">
        <f t="shared" si="16"/>
        <v>0</v>
      </c>
    </row>
    <row r="222" spans="1:13" x14ac:dyDescent="0.25">
      <c r="A222" s="162"/>
      <c r="G222" s="132"/>
      <c r="H222" s="146">
        <v>217</v>
      </c>
      <c r="I222" s="147" t="str">
        <f t="shared" si="17"/>
        <v/>
      </c>
      <c r="J222" s="146">
        <f t="shared" si="18"/>
        <v>-7</v>
      </c>
      <c r="K222" s="146">
        <f t="shared" si="15"/>
        <v>-70</v>
      </c>
      <c r="L222" s="146"/>
      <c r="M222" s="148">
        <f t="shared" si="16"/>
        <v>0</v>
      </c>
    </row>
    <row r="223" spans="1:13" x14ac:dyDescent="0.25">
      <c r="A223" s="162"/>
      <c r="G223" s="132"/>
      <c r="H223" s="146">
        <v>218</v>
      </c>
      <c r="I223" s="147" t="str">
        <f t="shared" si="17"/>
        <v/>
      </c>
      <c r="J223" s="146">
        <f t="shared" si="18"/>
        <v>-7</v>
      </c>
      <c r="K223" s="146">
        <f t="shared" si="15"/>
        <v>-70</v>
      </c>
      <c r="L223" s="146"/>
      <c r="M223" s="148">
        <f t="shared" si="16"/>
        <v>0</v>
      </c>
    </row>
    <row r="224" spans="1:13" x14ac:dyDescent="0.25">
      <c r="A224" s="162"/>
      <c r="G224" s="132"/>
      <c r="H224" s="146">
        <v>219</v>
      </c>
      <c r="I224" s="147" t="str">
        <f t="shared" si="17"/>
        <v/>
      </c>
      <c r="J224" s="146">
        <f t="shared" si="18"/>
        <v>-7</v>
      </c>
      <c r="K224" s="146">
        <f t="shared" si="15"/>
        <v>-70</v>
      </c>
      <c r="L224" s="146"/>
      <c r="M224" s="148">
        <f t="shared" si="16"/>
        <v>0</v>
      </c>
    </row>
    <row r="225" spans="1:13" x14ac:dyDescent="0.25">
      <c r="A225" s="162"/>
      <c r="G225" s="132"/>
      <c r="H225" s="146">
        <v>220</v>
      </c>
      <c r="I225" s="147" t="str">
        <f t="shared" si="17"/>
        <v/>
      </c>
      <c r="J225" s="146">
        <f t="shared" si="18"/>
        <v>-7</v>
      </c>
      <c r="K225" s="146">
        <f t="shared" si="15"/>
        <v>-70</v>
      </c>
      <c r="L225" s="146"/>
      <c r="M225" s="148">
        <f t="shared" si="16"/>
        <v>0</v>
      </c>
    </row>
    <row r="226" spans="1:13" x14ac:dyDescent="0.25">
      <c r="A226" s="162"/>
      <c r="G226" s="132"/>
      <c r="H226" s="146">
        <v>221</v>
      </c>
      <c r="I226" s="147" t="str">
        <f t="shared" si="17"/>
        <v/>
      </c>
      <c r="J226" s="146">
        <f t="shared" si="18"/>
        <v>-7</v>
      </c>
      <c r="K226" s="146">
        <f t="shared" si="15"/>
        <v>-70</v>
      </c>
      <c r="L226" s="146"/>
      <c r="M226" s="148">
        <f t="shared" si="16"/>
        <v>0</v>
      </c>
    </row>
    <row r="227" spans="1:13" x14ac:dyDescent="0.25">
      <c r="A227" s="162"/>
      <c r="G227" s="132"/>
      <c r="H227" s="146">
        <v>222</v>
      </c>
      <c r="I227" s="147" t="str">
        <f t="shared" si="17"/>
        <v/>
      </c>
      <c r="J227" s="146">
        <f t="shared" si="18"/>
        <v>-7</v>
      </c>
      <c r="K227" s="146">
        <f t="shared" si="15"/>
        <v>-70</v>
      </c>
      <c r="L227" s="146"/>
      <c r="M227" s="148">
        <f t="shared" si="16"/>
        <v>0</v>
      </c>
    </row>
    <row r="228" spans="1:13" x14ac:dyDescent="0.25">
      <c r="A228" s="162"/>
      <c r="G228" s="132"/>
      <c r="H228" s="146">
        <v>223</v>
      </c>
      <c r="I228" s="147" t="str">
        <f t="shared" si="17"/>
        <v/>
      </c>
      <c r="J228" s="146">
        <f t="shared" si="18"/>
        <v>-7</v>
      </c>
      <c r="K228" s="146">
        <f t="shared" si="15"/>
        <v>-70</v>
      </c>
      <c r="L228" s="146"/>
      <c r="M228" s="148">
        <f t="shared" si="16"/>
        <v>0</v>
      </c>
    </row>
    <row r="229" spans="1:13" x14ac:dyDescent="0.25">
      <c r="A229" s="162"/>
      <c r="G229" s="132"/>
      <c r="H229" s="146">
        <v>224</v>
      </c>
      <c r="I229" s="147" t="str">
        <f t="shared" si="17"/>
        <v/>
      </c>
      <c r="J229" s="146">
        <f t="shared" si="18"/>
        <v>-7</v>
      </c>
      <c r="K229" s="146">
        <f t="shared" si="15"/>
        <v>-70</v>
      </c>
      <c r="L229" s="146"/>
      <c r="M229" s="148">
        <f t="shared" si="16"/>
        <v>0</v>
      </c>
    </row>
    <row r="230" spans="1:13" x14ac:dyDescent="0.25">
      <c r="A230" s="162"/>
      <c r="G230" s="132"/>
      <c r="H230" s="146">
        <v>225</v>
      </c>
      <c r="I230" s="147" t="str">
        <f t="shared" si="17"/>
        <v/>
      </c>
      <c r="J230" s="146">
        <f t="shared" si="18"/>
        <v>-7</v>
      </c>
      <c r="K230" s="146">
        <f t="shared" si="15"/>
        <v>-70</v>
      </c>
      <c r="L230" s="146"/>
      <c r="M230" s="148">
        <f t="shared" si="16"/>
        <v>0</v>
      </c>
    </row>
    <row r="231" spans="1:13" x14ac:dyDescent="0.25">
      <c r="A231" s="162"/>
      <c r="G231" s="132"/>
      <c r="H231" s="146">
        <v>226</v>
      </c>
      <c r="I231" s="147" t="str">
        <f t="shared" si="17"/>
        <v/>
      </c>
      <c r="J231" s="146">
        <f t="shared" si="18"/>
        <v>-7</v>
      </c>
      <c r="K231" s="146">
        <f t="shared" si="15"/>
        <v>-70</v>
      </c>
      <c r="L231" s="146"/>
      <c r="M231" s="148">
        <f t="shared" si="16"/>
        <v>0</v>
      </c>
    </row>
    <row r="232" spans="1:13" x14ac:dyDescent="0.25">
      <c r="A232" s="162"/>
      <c r="G232" s="132"/>
      <c r="H232" s="146">
        <v>227</v>
      </c>
      <c r="I232" s="147" t="str">
        <f t="shared" si="17"/>
        <v/>
      </c>
      <c r="J232" s="146">
        <f t="shared" si="18"/>
        <v>-7</v>
      </c>
      <c r="K232" s="146">
        <f t="shared" si="15"/>
        <v>-70</v>
      </c>
      <c r="L232" s="146"/>
      <c r="M232" s="148">
        <f t="shared" si="16"/>
        <v>0</v>
      </c>
    </row>
    <row r="233" spans="1:13" x14ac:dyDescent="0.25">
      <c r="A233" s="162"/>
      <c r="G233" s="132"/>
      <c r="H233" s="146">
        <v>228</v>
      </c>
      <c r="I233" s="147" t="str">
        <f t="shared" si="17"/>
        <v/>
      </c>
      <c r="J233" s="146">
        <f t="shared" si="18"/>
        <v>-7</v>
      </c>
      <c r="K233" s="146">
        <f t="shared" si="15"/>
        <v>-70</v>
      </c>
      <c r="L233" s="146"/>
      <c r="M233" s="148">
        <f t="shared" si="16"/>
        <v>0</v>
      </c>
    </row>
    <row r="234" spans="1:13" x14ac:dyDescent="0.25">
      <c r="A234" s="162"/>
      <c r="G234" s="132"/>
      <c r="H234" s="146">
        <v>229</v>
      </c>
      <c r="I234" s="147" t="str">
        <f t="shared" si="17"/>
        <v/>
      </c>
      <c r="J234" s="146">
        <f t="shared" si="18"/>
        <v>-7</v>
      </c>
      <c r="K234" s="146">
        <f t="shared" si="15"/>
        <v>-70</v>
      </c>
      <c r="L234" s="146"/>
      <c r="M234" s="148">
        <f t="shared" si="16"/>
        <v>0</v>
      </c>
    </row>
    <row r="235" spans="1:13" x14ac:dyDescent="0.25">
      <c r="A235" s="162"/>
      <c r="G235" s="132"/>
      <c r="H235" s="146">
        <v>230</v>
      </c>
      <c r="I235" s="147" t="str">
        <f t="shared" si="17"/>
        <v/>
      </c>
      <c r="J235" s="146">
        <f t="shared" si="18"/>
        <v>-7</v>
      </c>
      <c r="K235" s="146">
        <f t="shared" si="15"/>
        <v>-70</v>
      </c>
      <c r="L235" s="146"/>
      <c r="M235" s="148">
        <f t="shared" si="16"/>
        <v>0</v>
      </c>
    </row>
    <row r="236" spans="1:13" x14ac:dyDescent="0.25">
      <c r="A236" s="162"/>
      <c r="G236" s="132"/>
      <c r="H236" s="146">
        <v>231</v>
      </c>
      <c r="I236" s="147" t="str">
        <f t="shared" si="17"/>
        <v/>
      </c>
      <c r="J236" s="146">
        <f t="shared" si="18"/>
        <v>-7</v>
      </c>
      <c r="K236" s="146">
        <f t="shared" si="15"/>
        <v>-70</v>
      </c>
      <c r="L236" s="146"/>
      <c r="M236" s="148">
        <f t="shared" si="16"/>
        <v>0</v>
      </c>
    </row>
    <row r="237" spans="1:13" x14ac:dyDescent="0.25">
      <c r="A237" s="162"/>
      <c r="G237" s="132"/>
      <c r="H237" s="146">
        <v>232</v>
      </c>
      <c r="I237" s="147" t="str">
        <f t="shared" si="17"/>
        <v/>
      </c>
      <c r="J237" s="146">
        <f t="shared" si="18"/>
        <v>-7</v>
      </c>
      <c r="K237" s="146">
        <f t="shared" si="15"/>
        <v>-70</v>
      </c>
      <c r="L237" s="146"/>
      <c r="M237" s="148">
        <f t="shared" si="16"/>
        <v>0</v>
      </c>
    </row>
    <row r="238" spans="1:13" x14ac:dyDescent="0.25">
      <c r="A238" s="162"/>
      <c r="G238" s="132"/>
      <c r="H238" s="146">
        <v>233</v>
      </c>
      <c r="I238" s="147" t="str">
        <f t="shared" si="17"/>
        <v/>
      </c>
      <c r="J238" s="146">
        <f t="shared" si="18"/>
        <v>-7</v>
      </c>
      <c r="K238" s="146">
        <f t="shared" si="15"/>
        <v>-70</v>
      </c>
      <c r="L238" s="146"/>
      <c r="M238" s="148">
        <f t="shared" si="16"/>
        <v>0</v>
      </c>
    </row>
    <row r="239" spans="1:13" x14ac:dyDescent="0.25">
      <c r="A239" s="162"/>
      <c r="G239" s="132"/>
      <c r="H239" s="146">
        <v>234</v>
      </c>
      <c r="I239" s="147" t="str">
        <f t="shared" si="17"/>
        <v/>
      </c>
      <c r="J239" s="146">
        <f t="shared" si="18"/>
        <v>-7</v>
      </c>
      <c r="K239" s="146">
        <f t="shared" si="15"/>
        <v>-70</v>
      </c>
      <c r="L239" s="146"/>
      <c r="M239" s="148">
        <f t="shared" si="16"/>
        <v>0</v>
      </c>
    </row>
    <row r="240" spans="1:13" x14ac:dyDescent="0.25">
      <c r="A240" s="162"/>
      <c r="G240" s="132"/>
      <c r="H240" s="146">
        <v>235</v>
      </c>
      <c r="I240" s="147" t="str">
        <f t="shared" si="17"/>
        <v/>
      </c>
      <c r="J240" s="146">
        <f t="shared" si="18"/>
        <v>-7</v>
      </c>
      <c r="K240" s="146">
        <f t="shared" si="15"/>
        <v>-70</v>
      </c>
      <c r="L240" s="146"/>
      <c r="M240" s="148">
        <f t="shared" si="16"/>
        <v>0</v>
      </c>
    </row>
    <row r="241" spans="1:13" x14ac:dyDescent="0.25">
      <c r="A241" s="162"/>
      <c r="G241" s="132"/>
      <c r="H241" s="146">
        <v>236</v>
      </c>
      <c r="I241" s="147" t="str">
        <f t="shared" si="17"/>
        <v/>
      </c>
      <c r="J241" s="146">
        <f t="shared" si="18"/>
        <v>-7</v>
      </c>
      <c r="K241" s="146">
        <f t="shared" si="15"/>
        <v>-70</v>
      </c>
      <c r="L241" s="146"/>
      <c r="M241" s="148">
        <f t="shared" si="16"/>
        <v>0</v>
      </c>
    </row>
    <row r="242" spans="1:13" x14ac:dyDescent="0.25">
      <c r="A242" s="162"/>
      <c r="G242" s="132"/>
      <c r="H242" s="146">
        <v>237</v>
      </c>
      <c r="I242" s="147" t="str">
        <f t="shared" si="17"/>
        <v/>
      </c>
      <c r="J242" s="146">
        <f t="shared" si="18"/>
        <v>-7</v>
      </c>
      <c r="K242" s="146">
        <f t="shared" si="15"/>
        <v>-70</v>
      </c>
      <c r="L242" s="146"/>
      <c r="M242" s="148">
        <f t="shared" si="16"/>
        <v>0</v>
      </c>
    </row>
    <row r="243" spans="1:13" x14ac:dyDescent="0.25">
      <c r="A243" s="162"/>
      <c r="G243" s="132"/>
      <c r="H243" s="146">
        <v>238</v>
      </c>
      <c r="I243" s="147" t="str">
        <f t="shared" si="17"/>
        <v/>
      </c>
      <c r="J243" s="146">
        <f t="shared" si="18"/>
        <v>-7</v>
      </c>
      <c r="K243" s="146">
        <f t="shared" si="15"/>
        <v>-70</v>
      </c>
      <c r="L243" s="146"/>
      <c r="M243" s="148">
        <f t="shared" si="16"/>
        <v>0</v>
      </c>
    </row>
    <row r="244" spans="1:13" x14ac:dyDescent="0.25">
      <c r="A244" s="162"/>
      <c r="G244" s="132"/>
      <c r="H244" s="146">
        <v>239</v>
      </c>
      <c r="I244" s="147" t="str">
        <f t="shared" si="17"/>
        <v/>
      </c>
      <c r="J244" s="146">
        <f t="shared" si="18"/>
        <v>-7</v>
      </c>
      <c r="K244" s="146">
        <f t="shared" si="15"/>
        <v>-70</v>
      </c>
      <c r="L244" s="146"/>
      <c r="M244" s="148">
        <f t="shared" si="16"/>
        <v>0</v>
      </c>
    </row>
    <row r="245" spans="1:13" x14ac:dyDescent="0.25">
      <c r="A245" s="162"/>
      <c r="G245" s="132"/>
      <c r="H245" s="146">
        <v>240</v>
      </c>
      <c r="I245" s="147" t="str">
        <f t="shared" si="17"/>
        <v/>
      </c>
      <c r="J245" s="146">
        <f t="shared" si="18"/>
        <v>-7</v>
      </c>
      <c r="K245" s="146">
        <f t="shared" si="15"/>
        <v>-70</v>
      </c>
      <c r="L245" s="146"/>
      <c r="M245" s="148">
        <f t="shared" si="16"/>
        <v>0</v>
      </c>
    </row>
    <row r="246" spans="1:13" x14ac:dyDescent="0.25">
      <c r="A246" s="162"/>
      <c r="G246" s="132"/>
      <c r="H246" s="146">
        <v>241</v>
      </c>
      <c r="I246" s="147" t="str">
        <f t="shared" si="17"/>
        <v/>
      </c>
      <c r="J246" s="146">
        <f t="shared" si="18"/>
        <v>-7</v>
      </c>
      <c r="K246" s="146">
        <f t="shared" si="15"/>
        <v>-70</v>
      </c>
      <c r="L246" s="146"/>
      <c r="M246" s="148">
        <f t="shared" si="16"/>
        <v>0</v>
      </c>
    </row>
    <row r="247" spans="1:13" x14ac:dyDescent="0.25">
      <c r="A247" s="162"/>
      <c r="G247" s="132"/>
      <c r="H247" s="146">
        <v>242</v>
      </c>
      <c r="I247" s="147" t="str">
        <f t="shared" si="17"/>
        <v/>
      </c>
      <c r="J247" s="146">
        <f t="shared" si="18"/>
        <v>-7</v>
      </c>
      <c r="K247" s="146">
        <f t="shared" si="15"/>
        <v>-70</v>
      </c>
      <c r="L247" s="146"/>
      <c r="M247" s="148">
        <f t="shared" si="16"/>
        <v>0</v>
      </c>
    </row>
    <row r="248" spans="1:13" x14ac:dyDescent="0.25">
      <c r="A248" s="162"/>
      <c r="G248" s="132"/>
      <c r="H248" s="146">
        <v>243</v>
      </c>
      <c r="I248" s="147" t="str">
        <f t="shared" si="17"/>
        <v/>
      </c>
      <c r="J248" s="146">
        <f t="shared" si="18"/>
        <v>-7</v>
      </c>
      <c r="K248" s="146">
        <f t="shared" si="15"/>
        <v>-70</v>
      </c>
      <c r="L248" s="146"/>
      <c r="M248" s="148">
        <f t="shared" si="16"/>
        <v>0</v>
      </c>
    </row>
    <row r="249" spans="1:13" x14ac:dyDescent="0.25">
      <c r="A249" s="162"/>
      <c r="G249" s="132"/>
      <c r="H249" s="146">
        <v>244</v>
      </c>
      <c r="I249" s="147" t="str">
        <f t="shared" si="17"/>
        <v/>
      </c>
      <c r="J249" s="146">
        <f t="shared" si="18"/>
        <v>-7</v>
      </c>
      <c r="K249" s="146">
        <f t="shared" si="15"/>
        <v>-70</v>
      </c>
      <c r="L249" s="146"/>
      <c r="M249" s="148">
        <f t="shared" si="16"/>
        <v>0</v>
      </c>
    </row>
    <row r="250" spans="1:13" x14ac:dyDescent="0.25">
      <c r="A250" s="162"/>
      <c r="G250" s="132"/>
      <c r="H250" s="146">
        <v>245</v>
      </c>
      <c r="I250" s="147" t="str">
        <f t="shared" si="17"/>
        <v/>
      </c>
      <c r="J250" s="146">
        <f t="shared" si="18"/>
        <v>-7</v>
      </c>
      <c r="K250" s="146">
        <f t="shared" si="15"/>
        <v>-70</v>
      </c>
      <c r="L250" s="146"/>
      <c r="M250" s="148">
        <f t="shared" si="16"/>
        <v>0</v>
      </c>
    </row>
    <row r="251" spans="1:13" x14ac:dyDescent="0.25">
      <c r="A251" s="162"/>
      <c r="G251" s="132"/>
      <c r="H251" s="146">
        <v>246</v>
      </c>
      <c r="I251" s="147" t="str">
        <f t="shared" si="17"/>
        <v/>
      </c>
      <c r="J251" s="146">
        <f t="shared" si="18"/>
        <v>-7</v>
      </c>
      <c r="K251" s="146">
        <f t="shared" si="15"/>
        <v>-70</v>
      </c>
      <c r="L251" s="146"/>
      <c r="M251" s="148">
        <f t="shared" si="16"/>
        <v>0</v>
      </c>
    </row>
    <row r="252" spans="1:13" x14ac:dyDescent="0.25">
      <c r="A252" s="162"/>
      <c r="G252" s="132"/>
      <c r="H252" s="146">
        <v>247</v>
      </c>
      <c r="I252" s="147" t="str">
        <f t="shared" si="17"/>
        <v/>
      </c>
      <c r="J252" s="146">
        <f t="shared" si="18"/>
        <v>-7</v>
      </c>
      <c r="K252" s="146">
        <f t="shared" si="15"/>
        <v>-70</v>
      </c>
      <c r="L252" s="146"/>
      <c r="M252" s="148">
        <f t="shared" si="16"/>
        <v>0</v>
      </c>
    </row>
    <row r="253" spans="1:13" x14ac:dyDescent="0.25">
      <c r="A253" s="162"/>
      <c r="G253" s="132"/>
      <c r="H253" s="146">
        <v>248</v>
      </c>
      <c r="I253" s="147" t="str">
        <f t="shared" si="17"/>
        <v/>
      </c>
      <c r="J253" s="146">
        <f t="shared" si="18"/>
        <v>-7</v>
      </c>
      <c r="K253" s="146">
        <f t="shared" si="15"/>
        <v>-70</v>
      </c>
      <c r="L253" s="146"/>
      <c r="M253" s="148">
        <f t="shared" si="16"/>
        <v>0</v>
      </c>
    </row>
    <row r="254" spans="1:13" x14ac:dyDescent="0.25">
      <c r="A254" s="162"/>
      <c r="G254" s="132"/>
      <c r="H254" s="146">
        <v>249</v>
      </c>
      <c r="I254" s="147" t="str">
        <f t="shared" si="17"/>
        <v/>
      </c>
      <c r="J254" s="146">
        <f t="shared" si="18"/>
        <v>-7</v>
      </c>
      <c r="K254" s="146">
        <f t="shared" si="15"/>
        <v>-70</v>
      </c>
      <c r="L254" s="146"/>
      <c r="M254" s="148">
        <f t="shared" si="16"/>
        <v>0</v>
      </c>
    </row>
    <row r="255" spans="1:13" x14ac:dyDescent="0.25">
      <c r="A255" s="162"/>
      <c r="G255" s="132"/>
      <c r="H255" s="146">
        <v>250</v>
      </c>
      <c r="I255" s="147" t="str">
        <f t="shared" si="17"/>
        <v/>
      </c>
      <c r="J255" s="146">
        <f t="shared" si="18"/>
        <v>-7</v>
      </c>
      <c r="K255" s="146">
        <f t="shared" si="15"/>
        <v>-70</v>
      </c>
      <c r="L255" s="146"/>
      <c r="M255" s="148">
        <f t="shared" si="16"/>
        <v>0</v>
      </c>
    </row>
    <row r="256" spans="1:13" x14ac:dyDescent="0.25">
      <c r="A256" s="162"/>
      <c r="G256" s="132"/>
      <c r="H256" s="146">
        <v>251</v>
      </c>
      <c r="I256" s="147" t="str">
        <f t="shared" si="17"/>
        <v/>
      </c>
      <c r="J256" s="146">
        <f t="shared" si="18"/>
        <v>-7</v>
      </c>
      <c r="K256" s="146">
        <f t="shared" si="15"/>
        <v>-70</v>
      </c>
      <c r="L256" s="146"/>
      <c r="M256" s="148">
        <f t="shared" si="16"/>
        <v>0</v>
      </c>
    </row>
    <row r="257" spans="1:13" x14ac:dyDescent="0.25">
      <c r="A257" s="162"/>
      <c r="G257" s="132"/>
      <c r="H257" s="146">
        <v>252</v>
      </c>
      <c r="I257" s="147" t="str">
        <f t="shared" si="17"/>
        <v/>
      </c>
      <c r="J257" s="146">
        <f t="shared" si="18"/>
        <v>-7</v>
      </c>
      <c r="K257" s="146">
        <f t="shared" si="15"/>
        <v>-70</v>
      </c>
      <c r="L257" s="146"/>
      <c r="M257" s="148">
        <f t="shared" si="16"/>
        <v>0</v>
      </c>
    </row>
    <row r="258" spans="1:13" x14ac:dyDescent="0.25">
      <c r="A258" s="162"/>
      <c r="G258" s="132"/>
      <c r="H258" s="146">
        <v>253</v>
      </c>
      <c r="I258" s="147" t="str">
        <f t="shared" si="17"/>
        <v/>
      </c>
      <c r="J258" s="146">
        <f t="shared" si="18"/>
        <v>-7</v>
      </c>
      <c r="K258" s="146">
        <f t="shared" si="15"/>
        <v>-70</v>
      </c>
      <c r="L258" s="146"/>
      <c r="M258" s="148">
        <f t="shared" si="16"/>
        <v>0</v>
      </c>
    </row>
    <row r="259" spans="1:13" x14ac:dyDescent="0.25">
      <c r="A259" s="162"/>
      <c r="G259" s="132"/>
      <c r="H259" s="146">
        <v>254</v>
      </c>
      <c r="I259" s="147" t="str">
        <f t="shared" si="17"/>
        <v/>
      </c>
      <c r="J259" s="146">
        <f t="shared" si="18"/>
        <v>-7</v>
      </c>
      <c r="K259" s="146">
        <f t="shared" si="15"/>
        <v>-70</v>
      </c>
      <c r="L259" s="146"/>
      <c r="M259" s="148">
        <f t="shared" si="16"/>
        <v>0</v>
      </c>
    </row>
    <row r="260" spans="1:13" x14ac:dyDescent="0.25">
      <c r="A260" s="162"/>
      <c r="G260" s="132"/>
      <c r="H260" s="146">
        <v>255</v>
      </c>
      <c r="I260" s="147" t="str">
        <f t="shared" si="17"/>
        <v/>
      </c>
      <c r="J260" s="146">
        <f t="shared" si="18"/>
        <v>-7</v>
      </c>
      <c r="K260" s="146">
        <f t="shared" si="15"/>
        <v>-70</v>
      </c>
      <c r="L260" s="146"/>
      <c r="M260" s="148">
        <f t="shared" si="16"/>
        <v>0</v>
      </c>
    </row>
    <row r="261" spans="1:13" x14ac:dyDescent="0.25">
      <c r="A261" s="162"/>
      <c r="G261" s="132"/>
      <c r="H261" s="146">
        <v>256</v>
      </c>
      <c r="I261" s="147" t="str">
        <f t="shared" si="17"/>
        <v/>
      </c>
      <c r="J261" s="146">
        <f t="shared" si="18"/>
        <v>-7</v>
      </c>
      <c r="K261" s="146">
        <f t="shared" si="15"/>
        <v>-70</v>
      </c>
      <c r="L261" s="146"/>
      <c r="M261" s="148">
        <f t="shared" si="16"/>
        <v>0</v>
      </c>
    </row>
    <row r="262" spans="1:13" x14ac:dyDescent="0.25">
      <c r="A262" s="162"/>
      <c r="G262" s="132"/>
      <c r="H262" s="146">
        <v>257</v>
      </c>
      <c r="I262" s="147" t="str">
        <f t="shared" si="17"/>
        <v/>
      </c>
      <c r="J262" s="146">
        <f t="shared" si="18"/>
        <v>-8</v>
      </c>
      <c r="K262" s="146">
        <f t="shared" ref="K262:K305" si="19">J262*$J$2</f>
        <v>-80</v>
      </c>
      <c r="L262" s="146"/>
      <c r="M262" s="148">
        <f t="shared" ref="M262:M305" si="20">IF(I262&lt;&gt;"",K262+I262+L262,0)</f>
        <v>0</v>
      </c>
    </row>
    <row r="263" spans="1:13" x14ac:dyDescent="0.25">
      <c r="A263" s="162"/>
      <c r="G263" s="132"/>
      <c r="H263" s="146">
        <v>258</v>
      </c>
      <c r="I263" s="147" t="str">
        <f t="shared" ref="I263:I305" si="21">IF(H263&lt;$H$2+1,($I$2-($I$2-1)*(LOG(H263)/LOG($H$2))),"")</f>
        <v/>
      </c>
      <c r="J263" s="146">
        <f t="shared" ref="J263:J305" si="22">INT(LOG($H$2,2))-ROUNDUP(LOG(H263,2),0)+IF(OR($H$2=1,$H$2=2,$H$2=4,$H$2=8,$H$2=16,$H$2=32,$H$2=64,$H$2=128,$H$2=256),0,1)</f>
        <v>-8</v>
      </c>
      <c r="K263" s="146">
        <f t="shared" si="19"/>
        <v>-80</v>
      </c>
      <c r="L263" s="146"/>
      <c r="M263" s="148">
        <f t="shared" si="20"/>
        <v>0</v>
      </c>
    </row>
    <row r="264" spans="1:13" x14ac:dyDescent="0.25">
      <c r="A264" s="162"/>
      <c r="G264" s="132"/>
      <c r="H264" s="146">
        <v>259</v>
      </c>
      <c r="I264" s="147" t="str">
        <f t="shared" si="21"/>
        <v/>
      </c>
      <c r="J264" s="146">
        <f t="shared" si="22"/>
        <v>-8</v>
      </c>
      <c r="K264" s="146">
        <f t="shared" si="19"/>
        <v>-80</v>
      </c>
      <c r="L264" s="146"/>
      <c r="M264" s="148">
        <f t="shared" si="20"/>
        <v>0</v>
      </c>
    </row>
    <row r="265" spans="1:13" x14ac:dyDescent="0.25">
      <c r="A265" s="162"/>
      <c r="G265" s="132"/>
      <c r="H265" s="146">
        <v>260</v>
      </c>
      <c r="I265" s="147" t="str">
        <f t="shared" si="21"/>
        <v/>
      </c>
      <c r="J265" s="146">
        <f t="shared" si="22"/>
        <v>-8</v>
      </c>
      <c r="K265" s="146">
        <f t="shared" si="19"/>
        <v>-80</v>
      </c>
      <c r="L265" s="146"/>
      <c r="M265" s="148">
        <f t="shared" si="20"/>
        <v>0</v>
      </c>
    </row>
    <row r="266" spans="1:13" x14ac:dyDescent="0.25">
      <c r="A266" s="162"/>
      <c r="G266" s="132"/>
      <c r="H266" s="146">
        <v>261</v>
      </c>
      <c r="I266" s="147" t="str">
        <f t="shared" si="21"/>
        <v/>
      </c>
      <c r="J266" s="146">
        <f t="shared" si="22"/>
        <v>-8</v>
      </c>
      <c r="K266" s="146">
        <f t="shared" si="19"/>
        <v>-80</v>
      </c>
      <c r="L266" s="146"/>
      <c r="M266" s="148">
        <f t="shared" si="20"/>
        <v>0</v>
      </c>
    </row>
    <row r="267" spans="1:13" x14ac:dyDescent="0.25">
      <c r="A267" s="162"/>
      <c r="G267" s="132"/>
      <c r="H267" s="146">
        <v>262</v>
      </c>
      <c r="I267" s="147" t="str">
        <f t="shared" si="21"/>
        <v/>
      </c>
      <c r="J267" s="146">
        <f t="shared" si="22"/>
        <v>-8</v>
      </c>
      <c r="K267" s="146">
        <f t="shared" si="19"/>
        <v>-80</v>
      </c>
      <c r="L267" s="146"/>
      <c r="M267" s="148">
        <f t="shared" si="20"/>
        <v>0</v>
      </c>
    </row>
    <row r="268" spans="1:13" x14ac:dyDescent="0.25">
      <c r="A268" s="162"/>
      <c r="G268" s="132"/>
      <c r="H268" s="146">
        <v>263</v>
      </c>
      <c r="I268" s="147" t="str">
        <f t="shared" si="21"/>
        <v/>
      </c>
      <c r="J268" s="146">
        <f t="shared" si="22"/>
        <v>-8</v>
      </c>
      <c r="K268" s="146">
        <f t="shared" si="19"/>
        <v>-80</v>
      </c>
      <c r="L268" s="146"/>
      <c r="M268" s="148">
        <f t="shared" si="20"/>
        <v>0</v>
      </c>
    </row>
    <row r="269" spans="1:13" x14ac:dyDescent="0.25">
      <c r="A269" s="162"/>
      <c r="G269" s="132"/>
      <c r="H269" s="146">
        <v>264</v>
      </c>
      <c r="I269" s="147" t="str">
        <f t="shared" si="21"/>
        <v/>
      </c>
      <c r="J269" s="146">
        <f t="shared" si="22"/>
        <v>-8</v>
      </c>
      <c r="K269" s="146">
        <f t="shared" si="19"/>
        <v>-80</v>
      </c>
      <c r="L269" s="146"/>
      <c r="M269" s="148">
        <f t="shared" si="20"/>
        <v>0</v>
      </c>
    </row>
    <row r="270" spans="1:13" x14ac:dyDescent="0.25">
      <c r="A270" s="162"/>
      <c r="G270" s="132"/>
      <c r="H270" s="146">
        <v>265</v>
      </c>
      <c r="I270" s="147" t="str">
        <f t="shared" si="21"/>
        <v/>
      </c>
      <c r="J270" s="146">
        <f t="shared" si="22"/>
        <v>-8</v>
      </c>
      <c r="K270" s="146">
        <f t="shared" si="19"/>
        <v>-80</v>
      </c>
      <c r="L270" s="146"/>
      <c r="M270" s="148">
        <f t="shared" si="20"/>
        <v>0</v>
      </c>
    </row>
    <row r="271" spans="1:13" x14ac:dyDescent="0.25">
      <c r="A271" s="162"/>
      <c r="G271" s="132"/>
      <c r="H271" s="146">
        <v>266</v>
      </c>
      <c r="I271" s="147" t="str">
        <f t="shared" si="21"/>
        <v/>
      </c>
      <c r="J271" s="146">
        <f t="shared" si="22"/>
        <v>-8</v>
      </c>
      <c r="K271" s="146">
        <f t="shared" si="19"/>
        <v>-80</v>
      </c>
      <c r="L271" s="146"/>
      <c r="M271" s="148">
        <f t="shared" si="20"/>
        <v>0</v>
      </c>
    </row>
    <row r="272" spans="1:13" x14ac:dyDescent="0.25">
      <c r="A272" s="162"/>
      <c r="G272" s="132"/>
      <c r="H272" s="146">
        <v>267</v>
      </c>
      <c r="I272" s="147" t="str">
        <f t="shared" si="21"/>
        <v/>
      </c>
      <c r="J272" s="146">
        <f t="shared" si="22"/>
        <v>-8</v>
      </c>
      <c r="K272" s="146">
        <f t="shared" si="19"/>
        <v>-80</v>
      </c>
      <c r="L272" s="146"/>
      <c r="M272" s="148">
        <f t="shared" si="20"/>
        <v>0</v>
      </c>
    </row>
    <row r="273" spans="1:13" x14ac:dyDescent="0.25">
      <c r="A273" s="162"/>
      <c r="G273" s="132"/>
      <c r="H273" s="146">
        <v>268</v>
      </c>
      <c r="I273" s="147" t="str">
        <f t="shared" si="21"/>
        <v/>
      </c>
      <c r="J273" s="146">
        <f t="shared" si="22"/>
        <v>-8</v>
      </c>
      <c r="K273" s="146">
        <f t="shared" si="19"/>
        <v>-80</v>
      </c>
      <c r="L273" s="146"/>
      <c r="M273" s="148">
        <f t="shared" si="20"/>
        <v>0</v>
      </c>
    </row>
    <row r="274" spans="1:13" x14ac:dyDescent="0.25">
      <c r="A274" s="162"/>
      <c r="G274" s="132"/>
      <c r="H274" s="146">
        <v>269</v>
      </c>
      <c r="I274" s="147" t="str">
        <f t="shared" si="21"/>
        <v/>
      </c>
      <c r="J274" s="146">
        <f t="shared" si="22"/>
        <v>-8</v>
      </c>
      <c r="K274" s="146">
        <f t="shared" si="19"/>
        <v>-80</v>
      </c>
      <c r="L274" s="146"/>
      <c r="M274" s="148">
        <f t="shared" si="20"/>
        <v>0</v>
      </c>
    </row>
    <row r="275" spans="1:13" x14ac:dyDescent="0.25">
      <c r="A275" s="162"/>
      <c r="G275" s="132"/>
      <c r="H275" s="146">
        <v>270</v>
      </c>
      <c r="I275" s="147" t="str">
        <f t="shared" si="21"/>
        <v/>
      </c>
      <c r="J275" s="146">
        <f t="shared" si="22"/>
        <v>-8</v>
      </c>
      <c r="K275" s="146">
        <f t="shared" si="19"/>
        <v>-80</v>
      </c>
      <c r="L275" s="146"/>
      <c r="M275" s="148">
        <f t="shared" si="20"/>
        <v>0</v>
      </c>
    </row>
    <row r="276" spans="1:13" x14ac:dyDescent="0.25">
      <c r="A276" s="162"/>
      <c r="G276" s="132"/>
      <c r="H276" s="146">
        <v>271</v>
      </c>
      <c r="I276" s="147" t="str">
        <f t="shared" si="21"/>
        <v/>
      </c>
      <c r="J276" s="146">
        <f t="shared" si="22"/>
        <v>-8</v>
      </c>
      <c r="K276" s="146">
        <f t="shared" si="19"/>
        <v>-80</v>
      </c>
      <c r="L276" s="146"/>
      <c r="M276" s="148">
        <f t="shared" si="20"/>
        <v>0</v>
      </c>
    </row>
    <row r="277" spans="1:13" x14ac:dyDescent="0.25">
      <c r="A277" s="162"/>
      <c r="G277" s="132"/>
      <c r="H277" s="146">
        <v>272</v>
      </c>
      <c r="I277" s="147" t="str">
        <f t="shared" si="21"/>
        <v/>
      </c>
      <c r="J277" s="146">
        <f t="shared" si="22"/>
        <v>-8</v>
      </c>
      <c r="K277" s="146">
        <f t="shared" si="19"/>
        <v>-80</v>
      </c>
      <c r="L277" s="146"/>
      <c r="M277" s="148">
        <f t="shared" si="20"/>
        <v>0</v>
      </c>
    </row>
    <row r="278" spans="1:13" x14ac:dyDescent="0.25">
      <c r="A278" s="162"/>
      <c r="G278" s="132"/>
      <c r="H278" s="146">
        <v>273</v>
      </c>
      <c r="I278" s="147" t="str">
        <f t="shared" si="21"/>
        <v/>
      </c>
      <c r="J278" s="146">
        <f t="shared" si="22"/>
        <v>-8</v>
      </c>
      <c r="K278" s="146">
        <f t="shared" si="19"/>
        <v>-80</v>
      </c>
      <c r="L278" s="146"/>
      <c r="M278" s="148">
        <f t="shared" si="20"/>
        <v>0</v>
      </c>
    </row>
    <row r="279" spans="1:13" x14ac:dyDescent="0.25">
      <c r="A279" s="162"/>
      <c r="G279" s="132"/>
      <c r="H279" s="146">
        <v>274</v>
      </c>
      <c r="I279" s="147" t="str">
        <f t="shared" si="21"/>
        <v/>
      </c>
      <c r="J279" s="146">
        <f t="shared" si="22"/>
        <v>-8</v>
      </c>
      <c r="K279" s="146">
        <f t="shared" si="19"/>
        <v>-80</v>
      </c>
      <c r="L279" s="146"/>
      <c r="M279" s="148">
        <f t="shared" si="20"/>
        <v>0</v>
      </c>
    </row>
    <row r="280" spans="1:13" x14ac:dyDescent="0.25">
      <c r="A280" s="162"/>
      <c r="G280" s="132"/>
      <c r="H280" s="146">
        <v>275</v>
      </c>
      <c r="I280" s="147" t="str">
        <f t="shared" si="21"/>
        <v/>
      </c>
      <c r="J280" s="146">
        <f t="shared" si="22"/>
        <v>-8</v>
      </c>
      <c r="K280" s="146">
        <f t="shared" si="19"/>
        <v>-80</v>
      </c>
      <c r="L280" s="146"/>
      <c r="M280" s="148">
        <f t="shared" si="20"/>
        <v>0</v>
      </c>
    </row>
    <row r="281" spans="1:13" x14ac:dyDescent="0.25">
      <c r="A281" s="162"/>
      <c r="G281" s="132"/>
      <c r="H281" s="146">
        <v>276</v>
      </c>
      <c r="I281" s="147" t="str">
        <f t="shared" si="21"/>
        <v/>
      </c>
      <c r="J281" s="146">
        <f t="shared" si="22"/>
        <v>-8</v>
      </c>
      <c r="K281" s="146">
        <f t="shared" si="19"/>
        <v>-80</v>
      </c>
      <c r="L281" s="146"/>
      <c r="M281" s="148">
        <f t="shared" si="20"/>
        <v>0</v>
      </c>
    </row>
    <row r="282" spans="1:13" x14ac:dyDescent="0.25">
      <c r="A282" s="162"/>
      <c r="G282" s="132"/>
      <c r="H282" s="146">
        <v>277</v>
      </c>
      <c r="I282" s="147" t="str">
        <f t="shared" si="21"/>
        <v/>
      </c>
      <c r="J282" s="146">
        <f t="shared" si="22"/>
        <v>-8</v>
      </c>
      <c r="K282" s="146">
        <f t="shared" si="19"/>
        <v>-80</v>
      </c>
      <c r="L282" s="146"/>
      <c r="M282" s="148">
        <f t="shared" si="20"/>
        <v>0</v>
      </c>
    </row>
    <row r="283" spans="1:13" x14ac:dyDescent="0.25">
      <c r="A283" s="162"/>
      <c r="G283" s="132"/>
      <c r="H283" s="146">
        <v>278</v>
      </c>
      <c r="I283" s="147" t="str">
        <f t="shared" si="21"/>
        <v/>
      </c>
      <c r="J283" s="146">
        <f t="shared" si="22"/>
        <v>-8</v>
      </c>
      <c r="K283" s="146">
        <f t="shared" si="19"/>
        <v>-80</v>
      </c>
      <c r="L283" s="146"/>
      <c r="M283" s="148">
        <f t="shared" si="20"/>
        <v>0</v>
      </c>
    </row>
    <row r="284" spans="1:13" x14ac:dyDescent="0.25">
      <c r="A284" s="162"/>
      <c r="G284" s="132"/>
      <c r="H284" s="146">
        <v>279</v>
      </c>
      <c r="I284" s="147" t="str">
        <f t="shared" si="21"/>
        <v/>
      </c>
      <c r="J284" s="146">
        <f t="shared" si="22"/>
        <v>-8</v>
      </c>
      <c r="K284" s="146">
        <f t="shared" si="19"/>
        <v>-80</v>
      </c>
      <c r="L284" s="146"/>
      <c r="M284" s="148">
        <f t="shared" si="20"/>
        <v>0</v>
      </c>
    </row>
    <row r="285" spans="1:13" x14ac:dyDescent="0.25">
      <c r="A285" s="162"/>
      <c r="G285" s="132"/>
      <c r="H285" s="146">
        <v>280</v>
      </c>
      <c r="I285" s="147" t="str">
        <f t="shared" si="21"/>
        <v/>
      </c>
      <c r="J285" s="146">
        <f t="shared" si="22"/>
        <v>-8</v>
      </c>
      <c r="K285" s="146">
        <f t="shared" si="19"/>
        <v>-80</v>
      </c>
      <c r="L285" s="146"/>
      <c r="M285" s="148">
        <f t="shared" si="20"/>
        <v>0</v>
      </c>
    </row>
    <row r="286" spans="1:13" x14ac:dyDescent="0.25">
      <c r="A286" s="162"/>
      <c r="G286" s="132"/>
      <c r="H286" s="146">
        <v>281</v>
      </c>
      <c r="I286" s="147" t="str">
        <f t="shared" si="21"/>
        <v/>
      </c>
      <c r="J286" s="146">
        <f t="shared" si="22"/>
        <v>-8</v>
      </c>
      <c r="K286" s="146">
        <f t="shared" si="19"/>
        <v>-80</v>
      </c>
      <c r="L286" s="146"/>
      <c r="M286" s="148">
        <f t="shared" si="20"/>
        <v>0</v>
      </c>
    </row>
    <row r="287" spans="1:13" x14ac:dyDescent="0.25">
      <c r="A287" s="162"/>
      <c r="G287" s="132"/>
      <c r="H287" s="146">
        <v>282</v>
      </c>
      <c r="I287" s="147" t="str">
        <f t="shared" si="21"/>
        <v/>
      </c>
      <c r="J287" s="146">
        <f t="shared" si="22"/>
        <v>-8</v>
      </c>
      <c r="K287" s="146">
        <f t="shared" si="19"/>
        <v>-80</v>
      </c>
      <c r="L287" s="146"/>
      <c r="M287" s="148">
        <f t="shared" si="20"/>
        <v>0</v>
      </c>
    </row>
    <row r="288" spans="1:13" x14ac:dyDescent="0.25">
      <c r="A288" s="162"/>
      <c r="G288" s="132"/>
      <c r="H288" s="146">
        <v>283</v>
      </c>
      <c r="I288" s="147" t="str">
        <f t="shared" si="21"/>
        <v/>
      </c>
      <c r="J288" s="146">
        <f t="shared" si="22"/>
        <v>-8</v>
      </c>
      <c r="K288" s="146">
        <f t="shared" si="19"/>
        <v>-80</v>
      </c>
      <c r="L288" s="146"/>
      <c r="M288" s="148">
        <f t="shared" si="20"/>
        <v>0</v>
      </c>
    </row>
    <row r="289" spans="1:13" x14ac:dyDescent="0.25">
      <c r="A289" s="162"/>
      <c r="G289" s="132"/>
      <c r="H289" s="146">
        <v>284</v>
      </c>
      <c r="I289" s="147" t="str">
        <f t="shared" si="21"/>
        <v/>
      </c>
      <c r="J289" s="146">
        <f t="shared" si="22"/>
        <v>-8</v>
      </c>
      <c r="K289" s="146">
        <f t="shared" si="19"/>
        <v>-80</v>
      </c>
      <c r="L289" s="146"/>
      <c r="M289" s="148">
        <f t="shared" si="20"/>
        <v>0</v>
      </c>
    </row>
    <row r="290" spans="1:13" x14ac:dyDescent="0.25">
      <c r="A290" s="162"/>
      <c r="G290" s="132"/>
      <c r="H290" s="146">
        <v>285</v>
      </c>
      <c r="I290" s="147" t="str">
        <f t="shared" si="21"/>
        <v/>
      </c>
      <c r="J290" s="146">
        <f t="shared" si="22"/>
        <v>-8</v>
      </c>
      <c r="K290" s="146">
        <f t="shared" si="19"/>
        <v>-80</v>
      </c>
      <c r="L290" s="146"/>
      <c r="M290" s="148">
        <f t="shared" si="20"/>
        <v>0</v>
      </c>
    </row>
    <row r="291" spans="1:13" x14ac:dyDescent="0.25">
      <c r="A291" s="162"/>
      <c r="G291" s="132"/>
      <c r="H291" s="146">
        <v>286</v>
      </c>
      <c r="I291" s="147" t="str">
        <f t="shared" si="21"/>
        <v/>
      </c>
      <c r="J291" s="146">
        <f t="shared" si="22"/>
        <v>-8</v>
      </c>
      <c r="K291" s="146">
        <f t="shared" si="19"/>
        <v>-80</v>
      </c>
      <c r="L291" s="146"/>
      <c r="M291" s="148">
        <f t="shared" si="20"/>
        <v>0</v>
      </c>
    </row>
    <row r="292" spans="1:13" x14ac:dyDescent="0.25">
      <c r="A292" s="162"/>
      <c r="G292" s="132"/>
      <c r="H292" s="146">
        <v>287</v>
      </c>
      <c r="I292" s="147" t="str">
        <f t="shared" si="21"/>
        <v/>
      </c>
      <c r="J292" s="146">
        <f t="shared" si="22"/>
        <v>-8</v>
      </c>
      <c r="K292" s="146">
        <f t="shared" si="19"/>
        <v>-80</v>
      </c>
      <c r="L292" s="146"/>
      <c r="M292" s="148">
        <f t="shared" si="20"/>
        <v>0</v>
      </c>
    </row>
    <row r="293" spans="1:13" x14ac:dyDescent="0.25">
      <c r="A293" s="162"/>
      <c r="G293" s="132"/>
      <c r="H293" s="146">
        <v>288</v>
      </c>
      <c r="I293" s="147" t="str">
        <f t="shared" si="21"/>
        <v/>
      </c>
      <c r="J293" s="146">
        <f t="shared" si="22"/>
        <v>-8</v>
      </c>
      <c r="K293" s="146">
        <f t="shared" si="19"/>
        <v>-80</v>
      </c>
      <c r="L293" s="146"/>
      <c r="M293" s="148">
        <f t="shared" si="20"/>
        <v>0</v>
      </c>
    </row>
    <row r="294" spans="1:13" x14ac:dyDescent="0.25">
      <c r="A294" s="162"/>
      <c r="G294" s="132"/>
      <c r="H294" s="146">
        <v>289</v>
      </c>
      <c r="I294" s="147" t="str">
        <f t="shared" si="21"/>
        <v/>
      </c>
      <c r="J294" s="146">
        <f t="shared" si="22"/>
        <v>-8</v>
      </c>
      <c r="K294" s="146">
        <f t="shared" si="19"/>
        <v>-80</v>
      </c>
      <c r="L294" s="146"/>
      <c r="M294" s="148">
        <f t="shared" si="20"/>
        <v>0</v>
      </c>
    </row>
    <row r="295" spans="1:13" x14ac:dyDescent="0.25">
      <c r="A295" s="162"/>
      <c r="G295" s="132"/>
      <c r="H295" s="146">
        <v>290</v>
      </c>
      <c r="I295" s="147" t="str">
        <f t="shared" si="21"/>
        <v/>
      </c>
      <c r="J295" s="146">
        <f t="shared" si="22"/>
        <v>-8</v>
      </c>
      <c r="K295" s="146">
        <f t="shared" si="19"/>
        <v>-80</v>
      </c>
      <c r="L295" s="146"/>
      <c r="M295" s="148">
        <f t="shared" si="20"/>
        <v>0</v>
      </c>
    </row>
    <row r="296" spans="1:13" x14ac:dyDescent="0.25">
      <c r="A296" s="162"/>
      <c r="G296" s="132"/>
      <c r="H296" s="146">
        <v>291</v>
      </c>
      <c r="I296" s="147" t="str">
        <f t="shared" si="21"/>
        <v/>
      </c>
      <c r="J296" s="146">
        <f t="shared" si="22"/>
        <v>-8</v>
      </c>
      <c r="K296" s="146">
        <f t="shared" si="19"/>
        <v>-80</v>
      </c>
      <c r="L296" s="146"/>
      <c r="M296" s="148">
        <f t="shared" si="20"/>
        <v>0</v>
      </c>
    </row>
    <row r="297" spans="1:13" x14ac:dyDescent="0.25">
      <c r="A297" s="162"/>
      <c r="G297" s="132"/>
      <c r="H297" s="146">
        <v>292</v>
      </c>
      <c r="I297" s="147" t="str">
        <f t="shared" si="21"/>
        <v/>
      </c>
      <c r="J297" s="146">
        <f t="shared" si="22"/>
        <v>-8</v>
      </c>
      <c r="K297" s="146">
        <f t="shared" si="19"/>
        <v>-80</v>
      </c>
      <c r="L297" s="146"/>
      <c r="M297" s="148">
        <f t="shared" si="20"/>
        <v>0</v>
      </c>
    </row>
    <row r="298" spans="1:13" x14ac:dyDescent="0.25">
      <c r="A298" s="162"/>
      <c r="G298" s="132"/>
      <c r="H298" s="146">
        <v>293</v>
      </c>
      <c r="I298" s="147" t="str">
        <f t="shared" si="21"/>
        <v/>
      </c>
      <c r="J298" s="146">
        <f t="shared" si="22"/>
        <v>-8</v>
      </c>
      <c r="K298" s="146">
        <f t="shared" si="19"/>
        <v>-80</v>
      </c>
      <c r="L298" s="146"/>
      <c r="M298" s="148">
        <f t="shared" si="20"/>
        <v>0</v>
      </c>
    </row>
    <row r="299" spans="1:13" x14ac:dyDescent="0.25">
      <c r="A299" s="162"/>
      <c r="G299" s="132"/>
      <c r="H299" s="146">
        <v>294</v>
      </c>
      <c r="I299" s="147" t="str">
        <f t="shared" si="21"/>
        <v/>
      </c>
      <c r="J299" s="146">
        <f t="shared" si="22"/>
        <v>-8</v>
      </c>
      <c r="K299" s="146">
        <f t="shared" si="19"/>
        <v>-80</v>
      </c>
      <c r="L299" s="146"/>
      <c r="M299" s="148">
        <f t="shared" si="20"/>
        <v>0</v>
      </c>
    </row>
    <row r="300" spans="1:13" x14ac:dyDescent="0.25">
      <c r="A300" s="162"/>
      <c r="G300" s="132"/>
      <c r="H300" s="146">
        <v>295</v>
      </c>
      <c r="I300" s="147" t="str">
        <f t="shared" si="21"/>
        <v/>
      </c>
      <c r="J300" s="146">
        <f t="shared" si="22"/>
        <v>-8</v>
      </c>
      <c r="K300" s="146">
        <f t="shared" si="19"/>
        <v>-80</v>
      </c>
      <c r="L300" s="146"/>
      <c r="M300" s="148">
        <f t="shared" si="20"/>
        <v>0</v>
      </c>
    </row>
    <row r="301" spans="1:13" x14ac:dyDescent="0.25">
      <c r="A301" s="162"/>
      <c r="G301" s="132"/>
      <c r="H301" s="146">
        <v>296</v>
      </c>
      <c r="I301" s="147" t="str">
        <f t="shared" si="21"/>
        <v/>
      </c>
      <c r="J301" s="146">
        <f t="shared" si="22"/>
        <v>-8</v>
      </c>
      <c r="K301" s="146">
        <f t="shared" si="19"/>
        <v>-80</v>
      </c>
      <c r="L301" s="146"/>
      <c r="M301" s="148">
        <f t="shared" si="20"/>
        <v>0</v>
      </c>
    </row>
    <row r="302" spans="1:13" x14ac:dyDescent="0.25">
      <c r="A302" s="162"/>
      <c r="G302" s="132"/>
      <c r="H302" s="146">
        <v>297</v>
      </c>
      <c r="I302" s="147" t="str">
        <f t="shared" si="21"/>
        <v/>
      </c>
      <c r="J302" s="146">
        <f t="shared" si="22"/>
        <v>-8</v>
      </c>
      <c r="K302" s="146">
        <f t="shared" si="19"/>
        <v>-80</v>
      </c>
      <c r="L302" s="146"/>
      <c r="M302" s="148">
        <f t="shared" si="20"/>
        <v>0</v>
      </c>
    </row>
    <row r="303" spans="1:13" x14ac:dyDescent="0.25">
      <c r="A303" s="162"/>
      <c r="G303" s="132"/>
      <c r="H303" s="146">
        <v>298</v>
      </c>
      <c r="I303" s="147" t="str">
        <f t="shared" si="21"/>
        <v/>
      </c>
      <c r="J303" s="146">
        <f t="shared" si="22"/>
        <v>-8</v>
      </c>
      <c r="K303" s="146">
        <f t="shared" si="19"/>
        <v>-80</v>
      </c>
      <c r="L303" s="146"/>
      <c r="M303" s="148">
        <f t="shared" si="20"/>
        <v>0</v>
      </c>
    </row>
    <row r="304" spans="1:13" x14ac:dyDescent="0.25">
      <c r="A304" s="162"/>
      <c r="G304" s="132"/>
      <c r="H304" s="146">
        <v>299</v>
      </c>
      <c r="I304" s="147" t="str">
        <f t="shared" si="21"/>
        <v/>
      </c>
      <c r="J304" s="146">
        <f t="shared" si="22"/>
        <v>-8</v>
      </c>
      <c r="K304" s="146">
        <f t="shared" si="19"/>
        <v>-80</v>
      </c>
      <c r="L304" s="146"/>
      <c r="M304" s="148">
        <f t="shared" si="20"/>
        <v>0</v>
      </c>
    </row>
    <row r="305" spans="1:16" x14ac:dyDescent="0.25">
      <c r="A305" s="162"/>
      <c r="G305" s="132"/>
      <c r="H305" s="146">
        <v>300</v>
      </c>
      <c r="I305" s="147" t="str">
        <f t="shared" si="21"/>
        <v/>
      </c>
      <c r="J305" s="146">
        <f t="shared" si="22"/>
        <v>-8</v>
      </c>
      <c r="K305" s="146">
        <f t="shared" si="19"/>
        <v>-80</v>
      </c>
      <c r="L305" s="146"/>
      <c r="M305" s="148">
        <f t="shared" si="20"/>
        <v>0</v>
      </c>
    </row>
    <row r="306" spans="1:16" x14ac:dyDescent="0.25">
      <c r="A306" s="164"/>
    </row>
    <row r="314" spans="1:16" x14ac:dyDescent="0.25">
      <c r="L314" s="167"/>
      <c r="P314" s="157"/>
    </row>
    <row r="315" spans="1:16" x14ac:dyDescent="0.25">
      <c r="L315" s="167"/>
      <c r="P315" s="157"/>
    </row>
    <row r="316" spans="1:16" x14ac:dyDescent="0.25">
      <c r="L316" s="167"/>
      <c r="P316" s="157"/>
    </row>
    <row r="317" spans="1:16" x14ac:dyDescent="0.25">
      <c r="L317" s="167"/>
      <c r="P317" s="157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715A9D18-0190-4FB1-9C23-C7B8B94F28DF}">
      <formula1>#REF!</formula1>
    </dataValidation>
  </dataValidations>
  <hyperlinks>
    <hyperlink ref="C2:D2" r:id="rId1" display="NIEPOŁOMICE" xr:uid="{E7C28424-D071-42EC-9D25-ADF546B9C84D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45F4-BCF1-481C-B5CF-9C95632260BA}">
  <sheetPr>
    <tabColor rgb="FF92D050"/>
  </sheetPr>
  <dimension ref="A1:AM317"/>
  <sheetViews>
    <sheetView workbookViewId="0">
      <selection activeCell="C6" sqref="C6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29</v>
      </c>
      <c r="I1" s="15" t="s">
        <v>30</v>
      </c>
      <c r="J1" s="15" t="s">
        <v>31</v>
      </c>
      <c r="K1" s="16" t="s">
        <v>96</v>
      </c>
      <c r="L1" s="62" t="s">
        <v>97</v>
      </c>
      <c r="M1" s="63"/>
      <c r="N1" s="17"/>
    </row>
    <row r="2" spans="1:37" x14ac:dyDescent="0.25">
      <c r="A2" s="13"/>
      <c r="B2" s="19" t="s">
        <v>33</v>
      </c>
      <c r="C2" s="283" t="s">
        <v>244</v>
      </c>
      <c r="D2" s="283"/>
      <c r="E2" s="20"/>
      <c r="F2" s="20"/>
      <c r="G2" s="20"/>
      <c r="H2" s="21">
        <v>4</v>
      </c>
      <c r="I2" s="22">
        <v>50</v>
      </c>
      <c r="J2" s="22">
        <v>10</v>
      </c>
      <c r="K2" s="23">
        <f>3*H2^(1/3)</f>
        <v>4.7622031559045981</v>
      </c>
      <c r="L2" s="64">
        <f>1.2</f>
        <v>1.2</v>
      </c>
      <c r="M2" s="17"/>
      <c r="N2" s="17"/>
    </row>
    <row r="3" spans="1:37" x14ac:dyDescent="0.25">
      <c r="A3" s="13"/>
      <c r="B3" s="24" t="s">
        <v>35</v>
      </c>
      <c r="C3" s="284" t="s">
        <v>245</v>
      </c>
      <c r="D3" s="284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9" t="s">
        <v>43</v>
      </c>
      <c r="I5" s="30" t="s">
        <v>44</v>
      </c>
      <c r="J5" s="31" t="s">
        <v>45</v>
      </c>
      <c r="K5" s="30" t="s">
        <v>46</v>
      </c>
      <c r="L5" s="30" t="s">
        <v>47</v>
      </c>
      <c r="M5" s="29" t="s">
        <v>48</v>
      </c>
      <c r="N5" s="29" t="s">
        <v>98</v>
      </c>
    </row>
    <row r="6" spans="1:37" ht="14.45" customHeight="1" x14ac:dyDescent="0.25">
      <c r="A6" s="32">
        <f t="shared" ref="A6:A17" si="0">N6</f>
        <v>101.14393136125655</v>
      </c>
      <c r="B6" s="33">
        <f t="shared" ref="B6:B17" si="1">IF(H6&gt;$H$2,"",(ROW()-5))</f>
        <v>1</v>
      </c>
      <c r="C6" s="34" t="s">
        <v>20</v>
      </c>
      <c r="D6" s="34"/>
      <c r="E6" s="34"/>
      <c r="F6" s="34" t="s">
        <v>69</v>
      </c>
      <c r="G6" s="27"/>
      <c r="H6" s="35">
        <v>1</v>
      </c>
      <c r="I6" s="36">
        <f>IF(H2=1,50,IF(H6&lt;$H$2+1,($I$2-($I$2-1)*(LOG(H6)/LOG($H$2))),""))</f>
        <v>50</v>
      </c>
      <c r="J6" s="35">
        <f>INT(LOG($H$2,2))-ROUNDUP(LOG(H6,2),0)+IF(OR($H$2=1,$H$2=2,$H$2=4,$H$2=8,$H$2=16,$H$2=32,$H$2=64,$H$2=128,$H$2=256),0,1)</f>
        <v>2</v>
      </c>
      <c r="K6" s="35">
        <f t="shared" ref="K6:K69" si="2">J6*$J$2</f>
        <v>20</v>
      </c>
      <c r="L6" s="37">
        <f>3*K2</f>
        <v>14.286609467713795</v>
      </c>
      <c r="M6" s="37">
        <f t="shared" ref="M6:M69" si="3">IF(I6&lt;&gt;"",K6+I6+L6,0)</f>
        <v>84.286609467713788</v>
      </c>
      <c r="N6" s="37">
        <f t="shared" ref="N6:N69" si="4">IF(I6&lt;&gt;"",M6*L$2,0)</f>
        <v>101.14393136125655</v>
      </c>
    </row>
    <row r="7" spans="1:37" ht="14.45" customHeight="1" x14ac:dyDescent="0.25">
      <c r="A7" s="38">
        <f t="shared" si="0"/>
        <v>54.029287574171029</v>
      </c>
      <c r="B7" s="39">
        <f t="shared" si="1"/>
        <v>2</v>
      </c>
      <c r="C7" s="40" t="s">
        <v>21</v>
      </c>
      <c r="D7" s="40"/>
      <c r="E7" s="40"/>
      <c r="F7" s="40" t="s">
        <v>69</v>
      </c>
      <c r="G7" s="27"/>
      <c r="H7" s="41">
        <v>2</v>
      </c>
      <c r="I7" s="42">
        <f t="shared" ref="I7:I69" si="5">IF(H7&lt;$H$2+1,($I$2-($I$2-1)*(LOG(H7)/LOG($H$2))),"")</f>
        <v>25.5</v>
      </c>
      <c r="J7" s="41">
        <f t="shared" ref="J7:J70" si="6">INT(LOG($H$2,2))-ROUNDUP(LOG(H7,2),0)+IF(OR($H$2=1,$H$2=2,$H$2=4,$H$2=8,$H$2=16,$H$2=32,$H$2=64,$H$2=128,$H$2=256),0,1)</f>
        <v>1</v>
      </c>
      <c r="K7" s="41">
        <f t="shared" si="2"/>
        <v>10</v>
      </c>
      <c r="L7" s="43">
        <f>2*K2</f>
        <v>9.5244063118091962</v>
      </c>
      <c r="M7" s="43">
        <f t="shared" si="3"/>
        <v>45.024406311809194</v>
      </c>
      <c r="N7" s="43">
        <f t="shared" si="4"/>
        <v>54.029287574171029</v>
      </c>
    </row>
    <row r="8" spans="1:37" ht="14.45" customHeight="1" x14ac:dyDescent="0.25">
      <c r="A8" s="32">
        <f t="shared" si="0"/>
        <v>19.116746265883524</v>
      </c>
      <c r="B8" s="33">
        <f t="shared" si="1"/>
        <v>3</v>
      </c>
      <c r="C8" s="34" t="s">
        <v>24</v>
      </c>
      <c r="D8" s="34"/>
      <c r="E8" s="34"/>
      <c r="F8" s="34" t="s">
        <v>69</v>
      </c>
      <c r="G8" s="27"/>
      <c r="H8" s="35">
        <v>3</v>
      </c>
      <c r="I8" s="36">
        <f t="shared" si="5"/>
        <v>11.168418732331673</v>
      </c>
      <c r="J8" s="35">
        <f t="shared" si="6"/>
        <v>0</v>
      </c>
      <c r="K8" s="35">
        <f t="shared" si="2"/>
        <v>0</v>
      </c>
      <c r="L8" s="37">
        <f>K2</f>
        <v>4.7622031559045981</v>
      </c>
      <c r="M8" s="37">
        <f t="shared" si="3"/>
        <v>15.930621888236271</v>
      </c>
      <c r="N8" s="37">
        <f t="shared" si="4"/>
        <v>19.116746265883524</v>
      </c>
    </row>
    <row r="9" spans="1:37" ht="14.45" customHeight="1" x14ac:dyDescent="0.25">
      <c r="A9" s="38">
        <f t="shared" si="0"/>
        <v>1.2</v>
      </c>
      <c r="B9" s="39">
        <f t="shared" si="1"/>
        <v>4</v>
      </c>
      <c r="C9" s="40" t="s">
        <v>27</v>
      </c>
      <c r="D9" s="40"/>
      <c r="E9" s="40"/>
      <c r="F9" s="40" t="s">
        <v>69</v>
      </c>
      <c r="G9" s="27"/>
      <c r="H9" s="41">
        <v>4</v>
      </c>
      <c r="I9" s="42">
        <f t="shared" si="5"/>
        <v>1</v>
      </c>
      <c r="J9" s="41">
        <f t="shared" si="6"/>
        <v>0</v>
      </c>
      <c r="K9" s="41">
        <f t="shared" si="2"/>
        <v>0</v>
      </c>
      <c r="L9" s="43"/>
      <c r="M9" s="43">
        <f t="shared" si="3"/>
        <v>1</v>
      </c>
      <c r="N9" s="43">
        <f t="shared" si="4"/>
        <v>1.2</v>
      </c>
      <c r="W9" s="44"/>
      <c r="AA9" s="45"/>
      <c r="AB9" s="45"/>
      <c r="AH9" s="46"/>
      <c r="AI9" s="18" t="s">
        <v>54</v>
      </c>
      <c r="AJ9" s="18">
        <v>23</v>
      </c>
    </row>
    <row r="10" spans="1:37" ht="14.45" customHeight="1" x14ac:dyDescent="0.25">
      <c r="A10" s="3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>
        <f t="shared" si="6"/>
        <v>-1</v>
      </c>
      <c r="K10" s="35">
        <f t="shared" si="2"/>
        <v>-10</v>
      </c>
      <c r="L10" s="35"/>
      <c r="M10" s="37">
        <f t="shared" si="3"/>
        <v>0</v>
      </c>
      <c r="N10" s="37">
        <f t="shared" si="4"/>
        <v>0</v>
      </c>
      <c r="W10" s="44"/>
      <c r="AA10" s="45"/>
      <c r="AB10" s="45"/>
      <c r="AH10" s="46"/>
      <c r="AI10" s="18" t="s">
        <v>55</v>
      </c>
      <c r="AJ10" s="18">
        <v>45</v>
      </c>
    </row>
    <row r="11" spans="1:37" ht="14.45" customHeight="1" x14ac:dyDescent="0.25">
      <c r="A11" s="38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-1</v>
      </c>
      <c r="K11" s="41">
        <f t="shared" si="2"/>
        <v>-10</v>
      </c>
      <c r="L11" s="41"/>
      <c r="M11" s="43">
        <f t="shared" si="3"/>
        <v>0</v>
      </c>
      <c r="N11" s="43">
        <f t="shared" si="4"/>
        <v>0</v>
      </c>
      <c r="W11" s="47"/>
      <c r="AA11" s="45"/>
      <c r="AB11" s="45"/>
      <c r="AH11" s="46"/>
      <c r="AI11" s="18" t="s">
        <v>56</v>
      </c>
      <c r="AJ11" s="18">
        <v>50</v>
      </c>
    </row>
    <row r="12" spans="1:37" ht="14.45" customHeight="1" x14ac:dyDescent="0.25">
      <c r="A12" s="3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-1</v>
      </c>
      <c r="K12" s="35">
        <f t="shared" si="2"/>
        <v>-10</v>
      </c>
      <c r="L12" s="35"/>
      <c r="M12" s="37">
        <f t="shared" si="3"/>
        <v>0</v>
      </c>
      <c r="N12" s="37">
        <f t="shared" si="4"/>
        <v>0</v>
      </c>
      <c r="AA12" s="45"/>
      <c r="AB12" s="45"/>
      <c r="AH12" s="46"/>
      <c r="AI12" s="18" t="s">
        <v>57</v>
      </c>
      <c r="AJ12" s="18">
        <f>AJ11-1</f>
        <v>49</v>
      </c>
    </row>
    <row r="13" spans="1:37" ht="14.45" customHeight="1" x14ac:dyDescent="0.25">
      <c r="A13" s="48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-1</v>
      </c>
      <c r="K13" s="41">
        <f t="shared" si="2"/>
        <v>-10</v>
      </c>
      <c r="L13" s="41"/>
      <c r="M13" s="43">
        <f t="shared" si="3"/>
        <v>0</v>
      </c>
      <c r="N13" s="43">
        <f t="shared" si="4"/>
        <v>0</v>
      </c>
      <c r="Y13" s="44"/>
      <c r="AH13" s="46"/>
      <c r="AI13" s="18" t="s">
        <v>58</v>
      </c>
      <c r="AJ13" s="18">
        <f>LOG(AJ9)</f>
        <v>1.3617278360175928</v>
      </c>
    </row>
    <row r="14" spans="1:37" x14ac:dyDescent="0.25">
      <c r="A14" s="49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-2</v>
      </c>
      <c r="K14" s="35">
        <f t="shared" si="2"/>
        <v>-20</v>
      </c>
      <c r="L14" s="35"/>
      <c r="M14" s="37">
        <f t="shared" si="3"/>
        <v>0</v>
      </c>
      <c r="N14" s="37">
        <f t="shared" si="4"/>
        <v>0</v>
      </c>
      <c r="Y14" s="50"/>
      <c r="AA14" s="45"/>
      <c r="AB14" s="45"/>
      <c r="AH14" s="46"/>
      <c r="AI14" s="18" t="s">
        <v>59</v>
      </c>
      <c r="AJ14" s="18">
        <f>LOG(AJ10)</f>
        <v>1.6532125137753437</v>
      </c>
    </row>
    <row r="15" spans="1:37" x14ac:dyDescent="0.25">
      <c r="A15" s="48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-2</v>
      </c>
      <c r="K15" s="41">
        <f t="shared" si="2"/>
        <v>-20</v>
      </c>
      <c r="L15" s="41"/>
      <c r="M15" s="43">
        <f t="shared" si="3"/>
        <v>0</v>
      </c>
      <c r="N15" s="43">
        <f t="shared" si="4"/>
        <v>0</v>
      </c>
    </row>
    <row r="16" spans="1:37" x14ac:dyDescent="0.25">
      <c r="A16" s="49">
        <f t="shared" si="0"/>
        <v>0</v>
      </c>
      <c r="B16" s="33" t="str">
        <f t="shared" si="1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-2</v>
      </c>
      <c r="K16" s="35">
        <f t="shared" si="2"/>
        <v>-20</v>
      </c>
      <c r="L16" s="35"/>
      <c r="M16" s="37">
        <f t="shared" si="3"/>
        <v>0</v>
      </c>
      <c r="N16" s="37">
        <f t="shared" si="4"/>
        <v>0</v>
      </c>
      <c r="AI16" s="18" t="s">
        <v>60</v>
      </c>
      <c r="AJ16" s="18">
        <f>AJ11-AJ12*AJ13/AJ14</f>
        <v>9.6393909380186855</v>
      </c>
      <c r="AK16" s="18" t="s">
        <v>61</v>
      </c>
    </row>
    <row r="17" spans="1:20" x14ac:dyDescent="0.25">
      <c r="A17" s="48">
        <f t="shared" si="0"/>
        <v>0</v>
      </c>
      <c r="B17" s="39" t="str">
        <f t="shared" si="1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-2</v>
      </c>
      <c r="K17" s="41">
        <f t="shared" si="2"/>
        <v>-20</v>
      </c>
      <c r="L17" s="41"/>
      <c r="M17" s="43">
        <f t="shared" si="3"/>
        <v>0</v>
      </c>
      <c r="N17" s="43">
        <f t="shared" si="4"/>
        <v>0</v>
      </c>
    </row>
    <row r="18" spans="1:20" x14ac:dyDescent="0.25">
      <c r="A18" s="49">
        <f t="shared" ref="A18:A70" si="7">N18</f>
        <v>0</v>
      </c>
      <c r="B18" s="33" t="str">
        <f t="shared" ref="B18:B65" si="8">IF(H18&gt;$H$2,"",(ROW()-5))</f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-2</v>
      </c>
      <c r="K18" s="35">
        <f t="shared" si="2"/>
        <v>-20</v>
      </c>
      <c r="L18" s="35"/>
      <c r="M18" s="37">
        <f t="shared" si="3"/>
        <v>0</v>
      </c>
      <c r="N18" s="37">
        <f t="shared" si="4"/>
        <v>0</v>
      </c>
    </row>
    <row r="19" spans="1:20" x14ac:dyDescent="0.25">
      <c r="A19" s="48">
        <f t="shared" si="7"/>
        <v>0</v>
      </c>
      <c r="B19" s="39" t="str">
        <f t="shared" si="8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-2</v>
      </c>
      <c r="K19" s="41">
        <f t="shared" si="2"/>
        <v>-20</v>
      </c>
      <c r="L19" s="41"/>
      <c r="M19" s="43">
        <f t="shared" si="3"/>
        <v>0</v>
      </c>
      <c r="N19" s="43">
        <f t="shared" si="4"/>
        <v>0</v>
      </c>
    </row>
    <row r="20" spans="1:20" x14ac:dyDescent="0.25">
      <c r="A20" s="49">
        <f t="shared" si="7"/>
        <v>0</v>
      </c>
      <c r="B20" s="33" t="str">
        <f t="shared" si="8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-2</v>
      </c>
      <c r="K20" s="35">
        <f t="shared" si="2"/>
        <v>-20</v>
      </c>
      <c r="L20" s="35"/>
      <c r="M20" s="37">
        <f t="shared" si="3"/>
        <v>0</v>
      </c>
      <c r="N20" s="37">
        <f t="shared" si="4"/>
        <v>0</v>
      </c>
      <c r="S20" s="53"/>
      <c r="T20" s="54"/>
    </row>
    <row r="21" spans="1:20" x14ac:dyDescent="0.25">
      <c r="A21" s="48">
        <f t="shared" si="7"/>
        <v>0</v>
      </c>
      <c r="B21" s="39" t="str">
        <f t="shared" si="8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-2</v>
      </c>
      <c r="K21" s="41">
        <f t="shared" si="2"/>
        <v>-20</v>
      </c>
      <c r="L21" s="41"/>
      <c r="M21" s="43">
        <f t="shared" si="3"/>
        <v>0</v>
      </c>
      <c r="N21" s="43">
        <f t="shared" si="4"/>
        <v>0</v>
      </c>
    </row>
    <row r="22" spans="1:20" x14ac:dyDescent="0.25">
      <c r="A22" s="49">
        <f t="shared" si="7"/>
        <v>0</v>
      </c>
      <c r="B22" s="33" t="str">
        <f t="shared" si="8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-3</v>
      </c>
      <c r="K22" s="35">
        <f t="shared" si="2"/>
        <v>-30</v>
      </c>
      <c r="L22" s="35"/>
      <c r="M22" s="37">
        <f t="shared" si="3"/>
        <v>0</v>
      </c>
      <c r="N22" s="37">
        <f t="shared" si="4"/>
        <v>0</v>
      </c>
    </row>
    <row r="23" spans="1:20" x14ac:dyDescent="0.25">
      <c r="A23" s="48">
        <f t="shared" si="7"/>
        <v>0</v>
      </c>
      <c r="B23" s="39" t="str">
        <f t="shared" si="8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-3</v>
      </c>
      <c r="K23" s="41">
        <f t="shared" si="2"/>
        <v>-30</v>
      </c>
      <c r="L23" s="41"/>
      <c r="M23" s="43">
        <f t="shared" si="3"/>
        <v>0</v>
      </c>
      <c r="N23" s="43">
        <f t="shared" si="4"/>
        <v>0</v>
      </c>
    </row>
    <row r="24" spans="1:20" x14ac:dyDescent="0.25">
      <c r="A24" s="49">
        <f t="shared" si="7"/>
        <v>0</v>
      </c>
      <c r="B24" s="33" t="str">
        <f t="shared" si="8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-3</v>
      </c>
      <c r="K24" s="35">
        <f t="shared" si="2"/>
        <v>-30</v>
      </c>
      <c r="L24" s="35"/>
      <c r="M24" s="37">
        <f t="shared" si="3"/>
        <v>0</v>
      </c>
      <c r="N24" s="37">
        <f t="shared" si="4"/>
        <v>0</v>
      </c>
      <c r="S24" s="53"/>
      <c r="T24" s="54"/>
    </row>
    <row r="25" spans="1:20" x14ac:dyDescent="0.25">
      <c r="A25" s="48">
        <f t="shared" si="7"/>
        <v>0</v>
      </c>
      <c r="B25" s="39" t="str">
        <f t="shared" si="8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-3</v>
      </c>
      <c r="K25" s="41">
        <f t="shared" si="2"/>
        <v>-30</v>
      </c>
      <c r="L25" s="41"/>
      <c r="M25" s="43">
        <f t="shared" si="3"/>
        <v>0</v>
      </c>
      <c r="N25" s="43">
        <f t="shared" si="4"/>
        <v>0</v>
      </c>
    </row>
    <row r="26" spans="1:20" x14ac:dyDescent="0.25">
      <c r="A26" s="49">
        <f t="shared" si="7"/>
        <v>0</v>
      </c>
      <c r="B26" s="33" t="str">
        <f t="shared" si="8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-3</v>
      </c>
      <c r="K26" s="35">
        <f t="shared" si="2"/>
        <v>-30</v>
      </c>
      <c r="L26" s="35"/>
      <c r="M26" s="37">
        <f t="shared" si="3"/>
        <v>0</v>
      </c>
      <c r="N26" s="37">
        <f t="shared" si="4"/>
        <v>0</v>
      </c>
    </row>
    <row r="27" spans="1:20" x14ac:dyDescent="0.25">
      <c r="A27" s="48">
        <f t="shared" si="7"/>
        <v>0</v>
      </c>
      <c r="B27" s="39" t="str">
        <f t="shared" si="8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-3</v>
      </c>
      <c r="K27" s="41">
        <f t="shared" si="2"/>
        <v>-30</v>
      </c>
      <c r="L27" s="41"/>
      <c r="M27" s="43">
        <f t="shared" si="3"/>
        <v>0</v>
      </c>
      <c r="N27" s="43">
        <f t="shared" si="4"/>
        <v>0</v>
      </c>
    </row>
    <row r="28" spans="1:20" x14ac:dyDescent="0.25">
      <c r="A28" s="49">
        <f t="shared" si="7"/>
        <v>0</v>
      </c>
      <c r="B28" s="33" t="str">
        <f t="shared" si="8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-3</v>
      </c>
      <c r="K28" s="35">
        <f t="shared" si="2"/>
        <v>-30</v>
      </c>
      <c r="L28" s="35"/>
      <c r="M28" s="37">
        <f t="shared" si="3"/>
        <v>0</v>
      </c>
      <c r="N28" s="37">
        <f t="shared" si="4"/>
        <v>0</v>
      </c>
      <c r="S28" s="53"/>
      <c r="T28" s="54"/>
    </row>
    <row r="29" spans="1:20" x14ac:dyDescent="0.25">
      <c r="A29" s="48">
        <f t="shared" si="7"/>
        <v>0</v>
      </c>
      <c r="B29" s="39" t="str">
        <f t="shared" si="8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-3</v>
      </c>
      <c r="K29" s="41">
        <f t="shared" si="2"/>
        <v>-30</v>
      </c>
      <c r="L29" s="41"/>
      <c r="M29" s="43">
        <f t="shared" si="3"/>
        <v>0</v>
      </c>
      <c r="N29" s="43">
        <f t="shared" si="4"/>
        <v>0</v>
      </c>
    </row>
    <row r="30" spans="1:20" x14ac:dyDescent="0.25">
      <c r="A30" s="49">
        <f t="shared" si="7"/>
        <v>0</v>
      </c>
      <c r="B30" s="33" t="str">
        <f t="shared" si="8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-3</v>
      </c>
      <c r="K30" s="35">
        <f t="shared" si="2"/>
        <v>-30</v>
      </c>
      <c r="L30" s="35"/>
      <c r="M30" s="37">
        <f t="shared" si="3"/>
        <v>0</v>
      </c>
      <c r="N30" s="37">
        <f t="shared" si="4"/>
        <v>0</v>
      </c>
    </row>
    <row r="31" spans="1:20" x14ac:dyDescent="0.25">
      <c r="A31" s="48">
        <f t="shared" si="7"/>
        <v>0</v>
      </c>
      <c r="B31" s="39" t="str">
        <f t="shared" si="8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-3</v>
      </c>
      <c r="K31" s="41">
        <f t="shared" si="2"/>
        <v>-30</v>
      </c>
      <c r="L31" s="41"/>
      <c r="M31" s="43">
        <f t="shared" si="3"/>
        <v>0</v>
      </c>
      <c r="N31" s="43">
        <f t="shared" si="4"/>
        <v>0</v>
      </c>
    </row>
    <row r="32" spans="1:20" x14ac:dyDescent="0.25">
      <c r="A32" s="49">
        <f t="shared" si="7"/>
        <v>0</v>
      </c>
      <c r="B32" s="33" t="str">
        <f t="shared" si="8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-3</v>
      </c>
      <c r="K32" s="35">
        <f t="shared" si="2"/>
        <v>-30</v>
      </c>
      <c r="L32" s="35"/>
      <c r="M32" s="37">
        <f t="shared" si="3"/>
        <v>0</v>
      </c>
      <c r="N32" s="37">
        <f t="shared" si="4"/>
        <v>0</v>
      </c>
      <c r="S32" s="53"/>
      <c r="T32" s="54"/>
    </row>
    <row r="33" spans="1:22" x14ac:dyDescent="0.25">
      <c r="A33" s="48">
        <f t="shared" si="7"/>
        <v>0</v>
      </c>
      <c r="B33" s="39" t="str">
        <f t="shared" si="8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-3</v>
      </c>
      <c r="K33" s="41">
        <f t="shared" si="2"/>
        <v>-30</v>
      </c>
      <c r="L33" s="41"/>
      <c r="M33" s="43">
        <f t="shared" si="3"/>
        <v>0</v>
      </c>
      <c r="N33" s="43">
        <f t="shared" si="4"/>
        <v>0</v>
      </c>
    </row>
    <row r="34" spans="1:22" x14ac:dyDescent="0.25">
      <c r="A34" s="49">
        <f t="shared" si="7"/>
        <v>0</v>
      </c>
      <c r="B34" s="33" t="str">
        <f t="shared" si="8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-3</v>
      </c>
      <c r="K34" s="35">
        <f t="shared" si="2"/>
        <v>-30</v>
      </c>
      <c r="L34" s="35"/>
      <c r="M34" s="37">
        <f t="shared" si="3"/>
        <v>0</v>
      </c>
      <c r="N34" s="37">
        <f t="shared" si="4"/>
        <v>0</v>
      </c>
    </row>
    <row r="35" spans="1:22" x14ac:dyDescent="0.25">
      <c r="A35" s="48">
        <f t="shared" si="7"/>
        <v>0</v>
      </c>
      <c r="B35" s="39" t="str">
        <f t="shared" si="8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-3</v>
      </c>
      <c r="K35" s="41">
        <f t="shared" si="2"/>
        <v>-30</v>
      </c>
      <c r="L35" s="41"/>
      <c r="M35" s="43">
        <f t="shared" si="3"/>
        <v>0</v>
      </c>
      <c r="N35" s="43">
        <f t="shared" si="4"/>
        <v>0</v>
      </c>
    </row>
    <row r="36" spans="1:22" x14ac:dyDescent="0.25">
      <c r="A36" s="49">
        <f t="shared" si="7"/>
        <v>0</v>
      </c>
      <c r="B36" s="33" t="str">
        <f t="shared" si="8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-3</v>
      </c>
      <c r="K36" s="35">
        <f t="shared" si="2"/>
        <v>-30</v>
      </c>
      <c r="L36" s="35"/>
      <c r="M36" s="37">
        <f t="shared" si="3"/>
        <v>0</v>
      </c>
      <c r="N36" s="37">
        <f t="shared" si="4"/>
        <v>0</v>
      </c>
      <c r="S36" s="53"/>
      <c r="T36" s="54"/>
    </row>
    <row r="37" spans="1:22" x14ac:dyDescent="0.25">
      <c r="A37" s="48">
        <f t="shared" si="7"/>
        <v>0</v>
      </c>
      <c r="B37" s="39" t="str">
        <f t="shared" si="8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-3</v>
      </c>
      <c r="K37" s="41">
        <f t="shared" si="2"/>
        <v>-30</v>
      </c>
      <c r="L37" s="41"/>
      <c r="M37" s="43">
        <f t="shared" si="3"/>
        <v>0</v>
      </c>
      <c r="N37" s="43">
        <f t="shared" si="4"/>
        <v>0</v>
      </c>
    </row>
    <row r="38" spans="1:22" x14ac:dyDescent="0.25">
      <c r="A38" s="49">
        <f t="shared" si="7"/>
        <v>0</v>
      </c>
      <c r="B38" s="33" t="str">
        <f t="shared" si="8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-4</v>
      </c>
      <c r="K38" s="35">
        <f t="shared" si="2"/>
        <v>-40</v>
      </c>
      <c r="L38" s="35"/>
      <c r="M38" s="37">
        <f t="shared" si="3"/>
        <v>0</v>
      </c>
      <c r="N38" s="37">
        <f t="shared" si="4"/>
        <v>0</v>
      </c>
    </row>
    <row r="39" spans="1:22" x14ac:dyDescent="0.25">
      <c r="A39" s="48">
        <f t="shared" si="7"/>
        <v>0</v>
      </c>
      <c r="B39" s="39" t="str">
        <f t="shared" si="8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-4</v>
      </c>
      <c r="K39" s="41">
        <f t="shared" si="2"/>
        <v>-40</v>
      </c>
      <c r="L39" s="41"/>
      <c r="M39" s="43">
        <f t="shared" si="3"/>
        <v>0</v>
      </c>
      <c r="N39" s="43">
        <f t="shared" si="4"/>
        <v>0</v>
      </c>
    </row>
    <row r="40" spans="1:22" x14ac:dyDescent="0.25">
      <c r="A40" s="49">
        <f t="shared" si="7"/>
        <v>0</v>
      </c>
      <c r="B40" s="33" t="str">
        <f t="shared" si="8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-4</v>
      </c>
      <c r="K40" s="35">
        <f t="shared" si="2"/>
        <v>-40</v>
      </c>
      <c r="L40" s="35"/>
      <c r="M40" s="37">
        <f t="shared" si="3"/>
        <v>0</v>
      </c>
      <c r="N40" s="37">
        <f t="shared" si="4"/>
        <v>0</v>
      </c>
    </row>
    <row r="41" spans="1:22" x14ac:dyDescent="0.25">
      <c r="A41" s="48">
        <f t="shared" si="7"/>
        <v>0</v>
      </c>
      <c r="B41" s="39" t="str">
        <f t="shared" si="8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-4</v>
      </c>
      <c r="K41" s="41">
        <f t="shared" si="2"/>
        <v>-40</v>
      </c>
      <c r="L41" s="41"/>
      <c r="M41" s="43">
        <f t="shared" si="3"/>
        <v>0</v>
      </c>
      <c r="N41" s="43">
        <f t="shared" si="4"/>
        <v>0</v>
      </c>
      <c r="T41" s="55"/>
    </row>
    <row r="42" spans="1:22" x14ac:dyDescent="0.25">
      <c r="A42" s="49">
        <f t="shared" si="7"/>
        <v>0</v>
      </c>
      <c r="B42" s="33" t="str">
        <f t="shared" si="8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-4</v>
      </c>
      <c r="K42" s="35">
        <f t="shared" si="2"/>
        <v>-40</v>
      </c>
      <c r="L42" s="35"/>
      <c r="M42" s="37">
        <f t="shared" si="3"/>
        <v>0</v>
      </c>
      <c r="N42" s="37">
        <f t="shared" si="4"/>
        <v>0</v>
      </c>
    </row>
    <row r="43" spans="1:22" x14ac:dyDescent="0.25">
      <c r="A43" s="48">
        <f t="shared" si="7"/>
        <v>0</v>
      </c>
      <c r="B43" s="39" t="str">
        <f t="shared" si="8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-4</v>
      </c>
      <c r="K43" s="41">
        <f t="shared" si="2"/>
        <v>-40</v>
      </c>
      <c r="L43" s="41"/>
      <c r="M43" s="43">
        <f t="shared" si="3"/>
        <v>0</v>
      </c>
      <c r="N43" s="43">
        <f t="shared" si="4"/>
        <v>0</v>
      </c>
    </row>
    <row r="44" spans="1:22" x14ac:dyDescent="0.25">
      <c r="A44" s="49">
        <f t="shared" si="7"/>
        <v>0</v>
      </c>
      <c r="B44" s="33" t="str">
        <f t="shared" si="8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-4</v>
      </c>
      <c r="K44" s="35">
        <f t="shared" si="2"/>
        <v>-40</v>
      </c>
      <c r="L44" s="35"/>
      <c r="M44" s="37">
        <f t="shared" si="3"/>
        <v>0</v>
      </c>
      <c r="N44" s="37">
        <f t="shared" si="4"/>
        <v>0</v>
      </c>
    </row>
    <row r="45" spans="1:22" x14ac:dyDescent="0.25">
      <c r="A45" s="48">
        <f t="shared" si="7"/>
        <v>0</v>
      </c>
      <c r="B45" s="39" t="str">
        <f t="shared" si="8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-4</v>
      </c>
      <c r="K45" s="41">
        <f t="shared" si="2"/>
        <v>-40</v>
      </c>
      <c r="L45" s="41"/>
      <c r="M45" s="43">
        <f t="shared" si="3"/>
        <v>0</v>
      </c>
      <c r="N45" s="43">
        <f t="shared" si="4"/>
        <v>0</v>
      </c>
    </row>
    <row r="46" spans="1:22" x14ac:dyDescent="0.25">
      <c r="A46" s="49">
        <f t="shared" si="7"/>
        <v>0</v>
      </c>
      <c r="B46" s="33" t="str">
        <f t="shared" si="8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-4</v>
      </c>
      <c r="K46" s="35">
        <f t="shared" si="2"/>
        <v>-40</v>
      </c>
      <c r="L46" s="35"/>
      <c r="M46" s="37">
        <f t="shared" si="3"/>
        <v>0</v>
      </c>
      <c r="N46" s="37">
        <f t="shared" si="4"/>
        <v>0</v>
      </c>
      <c r="S46" s="13">
        <f>LOG($H$2,2)</f>
        <v>2</v>
      </c>
      <c r="U46" s="18">
        <f>LOG(H38,2)</f>
        <v>5.0443941193584534</v>
      </c>
      <c r="V46" s="18">
        <f>S46-U46</f>
        <v>-3.0443941193584534</v>
      </c>
    </row>
    <row r="47" spans="1:22" x14ac:dyDescent="0.25">
      <c r="A47" s="48">
        <f t="shared" si="7"/>
        <v>0</v>
      </c>
      <c r="B47" s="39" t="str">
        <f t="shared" si="8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-4</v>
      </c>
      <c r="K47" s="41">
        <f t="shared" si="2"/>
        <v>-40</v>
      </c>
      <c r="L47" s="41"/>
      <c r="M47" s="43">
        <f t="shared" si="3"/>
        <v>0</v>
      </c>
      <c r="N47" s="43">
        <f t="shared" si="4"/>
        <v>0</v>
      </c>
    </row>
    <row r="48" spans="1:22" x14ac:dyDescent="0.25">
      <c r="A48" s="49">
        <f t="shared" si="7"/>
        <v>0</v>
      </c>
      <c r="B48" s="33" t="str">
        <f t="shared" si="8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-4</v>
      </c>
      <c r="K48" s="35">
        <f t="shared" si="2"/>
        <v>-40</v>
      </c>
      <c r="L48" s="35"/>
      <c r="M48" s="37">
        <f t="shared" si="3"/>
        <v>0</v>
      </c>
      <c r="N48" s="37">
        <f t="shared" si="4"/>
        <v>0</v>
      </c>
    </row>
    <row r="49" spans="1:14" x14ac:dyDescent="0.25">
      <c r="A49" s="48">
        <f t="shared" si="7"/>
        <v>0</v>
      </c>
      <c r="B49" s="39" t="str">
        <f t="shared" si="8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-4</v>
      </c>
      <c r="K49" s="41">
        <f t="shared" si="2"/>
        <v>-40</v>
      </c>
      <c r="L49" s="41"/>
      <c r="M49" s="43">
        <f t="shared" si="3"/>
        <v>0</v>
      </c>
      <c r="N49" s="43">
        <f t="shared" si="4"/>
        <v>0</v>
      </c>
    </row>
    <row r="50" spans="1:14" x14ac:dyDescent="0.25">
      <c r="A50" s="49">
        <f t="shared" si="7"/>
        <v>0</v>
      </c>
      <c r="B50" s="33" t="str">
        <f t="shared" si="8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-4</v>
      </c>
      <c r="K50" s="35">
        <f t="shared" si="2"/>
        <v>-40</v>
      </c>
      <c r="L50" s="35"/>
      <c r="M50" s="37">
        <f t="shared" si="3"/>
        <v>0</v>
      </c>
      <c r="N50" s="37">
        <f t="shared" si="4"/>
        <v>0</v>
      </c>
    </row>
    <row r="51" spans="1:14" x14ac:dyDescent="0.25">
      <c r="A51" s="48">
        <f t="shared" si="7"/>
        <v>0</v>
      </c>
      <c r="B51" s="39" t="str">
        <f t="shared" si="8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-4</v>
      </c>
      <c r="K51" s="41">
        <f t="shared" si="2"/>
        <v>-40</v>
      </c>
      <c r="L51" s="41"/>
      <c r="M51" s="43">
        <f t="shared" si="3"/>
        <v>0</v>
      </c>
      <c r="N51" s="43">
        <f t="shared" si="4"/>
        <v>0</v>
      </c>
    </row>
    <row r="52" spans="1:14" x14ac:dyDescent="0.25">
      <c r="A52" s="49">
        <f t="shared" si="7"/>
        <v>0</v>
      </c>
      <c r="B52" s="33" t="str">
        <f t="shared" si="8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-4</v>
      </c>
      <c r="K52" s="35">
        <f t="shared" si="2"/>
        <v>-40</v>
      </c>
      <c r="L52" s="35"/>
      <c r="M52" s="37">
        <f t="shared" si="3"/>
        <v>0</v>
      </c>
      <c r="N52" s="37">
        <f t="shared" si="4"/>
        <v>0</v>
      </c>
    </row>
    <row r="53" spans="1:14" x14ac:dyDescent="0.25">
      <c r="A53" s="48">
        <f t="shared" si="7"/>
        <v>0</v>
      </c>
      <c r="B53" s="39" t="str">
        <f t="shared" si="8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-4</v>
      </c>
      <c r="K53" s="41">
        <f t="shared" si="2"/>
        <v>-40</v>
      </c>
      <c r="L53" s="41"/>
      <c r="M53" s="43">
        <f t="shared" si="3"/>
        <v>0</v>
      </c>
      <c r="N53" s="43">
        <f t="shared" si="4"/>
        <v>0</v>
      </c>
    </row>
    <row r="54" spans="1:14" x14ac:dyDescent="0.25">
      <c r="A54" s="49">
        <f t="shared" si="7"/>
        <v>0</v>
      </c>
      <c r="B54" s="33" t="str">
        <f t="shared" si="8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-4</v>
      </c>
      <c r="K54" s="35">
        <f t="shared" si="2"/>
        <v>-40</v>
      </c>
      <c r="L54" s="35"/>
      <c r="M54" s="37">
        <f t="shared" si="3"/>
        <v>0</v>
      </c>
      <c r="N54" s="37">
        <f t="shared" si="4"/>
        <v>0</v>
      </c>
    </row>
    <row r="55" spans="1:14" x14ac:dyDescent="0.25">
      <c r="A55" s="48">
        <f t="shared" si="7"/>
        <v>0</v>
      </c>
      <c r="B55" s="39" t="str">
        <f t="shared" si="8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-4</v>
      </c>
      <c r="K55" s="41">
        <f t="shared" si="2"/>
        <v>-40</v>
      </c>
      <c r="L55" s="41"/>
      <c r="M55" s="43">
        <f t="shared" si="3"/>
        <v>0</v>
      </c>
      <c r="N55" s="43">
        <f t="shared" si="4"/>
        <v>0</v>
      </c>
    </row>
    <row r="56" spans="1:14" x14ac:dyDescent="0.25">
      <c r="A56" s="49">
        <f t="shared" si="7"/>
        <v>0</v>
      </c>
      <c r="B56" s="33" t="str">
        <f t="shared" si="8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-4</v>
      </c>
      <c r="K56" s="35">
        <f t="shared" si="2"/>
        <v>-40</v>
      </c>
      <c r="L56" s="35"/>
      <c r="M56" s="37">
        <f t="shared" si="3"/>
        <v>0</v>
      </c>
      <c r="N56" s="37">
        <f t="shared" si="4"/>
        <v>0</v>
      </c>
    </row>
    <row r="57" spans="1:14" x14ac:dyDescent="0.25">
      <c r="A57" s="48">
        <f t="shared" si="7"/>
        <v>0</v>
      </c>
      <c r="B57" s="39" t="str">
        <f t="shared" si="8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-4</v>
      </c>
      <c r="K57" s="41">
        <f t="shared" si="2"/>
        <v>-40</v>
      </c>
      <c r="L57" s="41"/>
      <c r="M57" s="43">
        <f t="shared" si="3"/>
        <v>0</v>
      </c>
      <c r="N57" s="43">
        <f t="shared" si="4"/>
        <v>0</v>
      </c>
    </row>
    <row r="58" spans="1:14" x14ac:dyDescent="0.25">
      <c r="A58" s="49">
        <f t="shared" si="7"/>
        <v>0</v>
      </c>
      <c r="B58" s="33" t="str">
        <f t="shared" si="8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-4</v>
      </c>
      <c r="K58" s="35">
        <f t="shared" si="2"/>
        <v>-40</v>
      </c>
      <c r="L58" s="35"/>
      <c r="M58" s="37">
        <f t="shared" si="3"/>
        <v>0</v>
      </c>
      <c r="N58" s="37">
        <f t="shared" si="4"/>
        <v>0</v>
      </c>
    </row>
    <row r="59" spans="1:14" x14ac:dyDescent="0.25">
      <c r="A59" s="48">
        <f t="shared" si="7"/>
        <v>0</v>
      </c>
      <c r="B59" s="39" t="str">
        <f t="shared" si="8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-4</v>
      </c>
      <c r="K59" s="41">
        <f t="shared" si="2"/>
        <v>-40</v>
      </c>
      <c r="L59" s="41"/>
      <c r="M59" s="43">
        <f t="shared" si="3"/>
        <v>0</v>
      </c>
      <c r="N59" s="43">
        <f t="shared" si="4"/>
        <v>0</v>
      </c>
    </row>
    <row r="60" spans="1:14" x14ac:dyDescent="0.25">
      <c r="A60" s="49">
        <f t="shared" si="7"/>
        <v>0</v>
      </c>
      <c r="B60" s="33" t="str">
        <f t="shared" si="8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-4</v>
      </c>
      <c r="K60" s="35">
        <f t="shared" si="2"/>
        <v>-40</v>
      </c>
      <c r="L60" s="35"/>
      <c r="M60" s="37">
        <f t="shared" si="3"/>
        <v>0</v>
      </c>
      <c r="N60" s="37">
        <f t="shared" si="4"/>
        <v>0</v>
      </c>
    </row>
    <row r="61" spans="1:14" x14ac:dyDescent="0.25">
      <c r="A61" s="48">
        <f t="shared" si="7"/>
        <v>0</v>
      </c>
      <c r="B61" s="39" t="str">
        <f t="shared" si="8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-4</v>
      </c>
      <c r="K61" s="41">
        <f t="shared" si="2"/>
        <v>-40</v>
      </c>
      <c r="L61" s="41"/>
      <c r="M61" s="43">
        <f t="shared" si="3"/>
        <v>0</v>
      </c>
      <c r="N61" s="43">
        <f t="shared" si="4"/>
        <v>0</v>
      </c>
    </row>
    <row r="62" spans="1:14" x14ac:dyDescent="0.25">
      <c r="A62" s="49">
        <f t="shared" si="7"/>
        <v>0</v>
      </c>
      <c r="B62" s="33" t="str">
        <f t="shared" si="8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-4</v>
      </c>
      <c r="K62" s="35">
        <f t="shared" si="2"/>
        <v>-40</v>
      </c>
      <c r="L62" s="35"/>
      <c r="M62" s="37">
        <f t="shared" si="3"/>
        <v>0</v>
      </c>
      <c r="N62" s="37">
        <f t="shared" si="4"/>
        <v>0</v>
      </c>
    </row>
    <row r="63" spans="1:14" x14ac:dyDescent="0.25">
      <c r="A63" s="48">
        <f t="shared" si="7"/>
        <v>0</v>
      </c>
      <c r="B63" s="39" t="str">
        <f t="shared" si="8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-4</v>
      </c>
      <c r="K63" s="41">
        <f t="shared" si="2"/>
        <v>-40</v>
      </c>
      <c r="L63" s="41"/>
      <c r="M63" s="43">
        <f t="shared" si="3"/>
        <v>0</v>
      </c>
      <c r="N63" s="43">
        <f t="shared" si="4"/>
        <v>0</v>
      </c>
    </row>
    <row r="64" spans="1:14" x14ac:dyDescent="0.25">
      <c r="A64" s="49">
        <f t="shared" si="7"/>
        <v>0</v>
      </c>
      <c r="B64" s="33" t="str">
        <f t="shared" si="8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-4</v>
      </c>
      <c r="K64" s="35">
        <f t="shared" si="2"/>
        <v>-40</v>
      </c>
      <c r="L64" s="35"/>
      <c r="M64" s="37">
        <f t="shared" si="3"/>
        <v>0</v>
      </c>
      <c r="N64" s="37">
        <f t="shared" si="4"/>
        <v>0</v>
      </c>
    </row>
    <row r="65" spans="1:14" x14ac:dyDescent="0.25">
      <c r="A65" s="48">
        <f t="shared" si="7"/>
        <v>0</v>
      </c>
      <c r="B65" s="39" t="str">
        <f t="shared" si="8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-4</v>
      </c>
      <c r="K65" s="41">
        <f t="shared" si="2"/>
        <v>-40</v>
      </c>
      <c r="L65" s="41"/>
      <c r="M65" s="43">
        <f t="shared" si="3"/>
        <v>0</v>
      </c>
      <c r="N65" s="43">
        <f t="shared" si="4"/>
        <v>0</v>
      </c>
    </row>
    <row r="66" spans="1:14" x14ac:dyDescent="0.25">
      <c r="A66" s="56">
        <f t="shared" si="7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-4</v>
      </c>
      <c r="K66" s="35">
        <f t="shared" si="2"/>
        <v>-40</v>
      </c>
      <c r="L66" s="35"/>
      <c r="M66" s="37">
        <f t="shared" si="3"/>
        <v>0</v>
      </c>
      <c r="N66" s="37">
        <f t="shared" si="4"/>
        <v>0</v>
      </c>
    </row>
    <row r="67" spans="1:14" x14ac:dyDescent="0.25">
      <c r="A67" s="56">
        <f t="shared" si="7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-4</v>
      </c>
      <c r="K67" s="35">
        <f t="shared" si="2"/>
        <v>-40</v>
      </c>
      <c r="L67" s="35"/>
      <c r="M67" s="37">
        <f t="shared" si="3"/>
        <v>0</v>
      </c>
      <c r="N67" s="37">
        <f t="shared" si="4"/>
        <v>0</v>
      </c>
    </row>
    <row r="68" spans="1:14" x14ac:dyDescent="0.25">
      <c r="A68" s="56">
        <f t="shared" si="7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-4</v>
      </c>
      <c r="K68" s="35">
        <f t="shared" si="2"/>
        <v>-40</v>
      </c>
      <c r="L68" s="35"/>
      <c r="M68" s="37">
        <f t="shared" si="3"/>
        <v>0</v>
      </c>
      <c r="N68" s="37">
        <f t="shared" si="4"/>
        <v>0</v>
      </c>
    </row>
    <row r="69" spans="1:14" x14ac:dyDescent="0.25">
      <c r="A69" s="56">
        <f t="shared" si="7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-4</v>
      </c>
      <c r="K69" s="35">
        <f t="shared" si="2"/>
        <v>-40</v>
      </c>
      <c r="L69" s="35"/>
      <c r="M69" s="37">
        <f t="shared" si="3"/>
        <v>0</v>
      </c>
      <c r="N69" s="37">
        <f t="shared" si="4"/>
        <v>0</v>
      </c>
    </row>
    <row r="70" spans="1:14" x14ac:dyDescent="0.25">
      <c r="A70" s="56">
        <f t="shared" si="7"/>
        <v>0</v>
      </c>
      <c r="G70" s="13"/>
      <c r="H70" s="35">
        <v>65</v>
      </c>
      <c r="I70" s="36" t="str">
        <f t="shared" ref="I70:I133" si="9">IF(H70&lt;$H$2+1,($I$2-($I$2-1)*(LOG(H70)/LOG($H$2))),"")</f>
        <v/>
      </c>
      <c r="J70" s="35">
        <f t="shared" si="6"/>
        <v>-5</v>
      </c>
      <c r="K70" s="35">
        <f t="shared" ref="K70:K133" si="10">J70*$J$2</f>
        <v>-50</v>
      </c>
      <c r="L70" s="35"/>
      <c r="M70" s="37">
        <f t="shared" ref="M70:M133" si="11">IF(I70&lt;&gt;"",K70+I70+L70,0)</f>
        <v>0</v>
      </c>
      <c r="N70" s="37">
        <f t="shared" ref="N70:N133" si="12">IF(I70&lt;&gt;"",M70*L$2,0)</f>
        <v>0</v>
      </c>
    </row>
    <row r="71" spans="1:14" x14ac:dyDescent="0.25">
      <c r="A71" s="56">
        <f t="shared" ref="A71:A134" si="13">N71</f>
        <v>0</v>
      </c>
      <c r="G71" s="13"/>
      <c r="H71" s="35">
        <v>66</v>
      </c>
      <c r="I71" s="36" t="str">
        <f t="shared" si="9"/>
        <v/>
      </c>
      <c r="J71" s="35">
        <f t="shared" ref="J71:J134" si="14">INT(LOG($H$2,2))-ROUNDUP(LOG(H71,2),0)+IF(OR($H$2=1,$H$2=2,$H$2=4,$H$2=8,$H$2=16,$H$2=32,$H$2=64,$H$2=128,$H$2=256),0,1)</f>
        <v>-5</v>
      </c>
      <c r="K71" s="35">
        <f t="shared" si="10"/>
        <v>-50</v>
      </c>
      <c r="L71" s="35"/>
      <c r="M71" s="37">
        <f t="shared" si="11"/>
        <v>0</v>
      </c>
      <c r="N71" s="37">
        <f t="shared" si="12"/>
        <v>0</v>
      </c>
    </row>
    <row r="72" spans="1:14" x14ac:dyDescent="0.25">
      <c r="A72" s="56">
        <f t="shared" si="13"/>
        <v>0</v>
      </c>
      <c r="G72" s="13"/>
      <c r="H72" s="35">
        <v>67</v>
      </c>
      <c r="I72" s="36" t="str">
        <f t="shared" si="9"/>
        <v/>
      </c>
      <c r="J72" s="35">
        <f t="shared" si="14"/>
        <v>-5</v>
      </c>
      <c r="K72" s="35">
        <f t="shared" si="10"/>
        <v>-50</v>
      </c>
      <c r="L72" s="35"/>
      <c r="M72" s="37">
        <f t="shared" si="11"/>
        <v>0</v>
      </c>
      <c r="N72" s="37">
        <f t="shared" si="12"/>
        <v>0</v>
      </c>
    </row>
    <row r="73" spans="1:14" x14ac:dyDescent="0.25">
      <c r="A73" s="56">
        <f t="shared" si="13"/>
        <v>0</v>
      </c>
      <c r="G73" s="13"/>
      <c r="H73" s="35">
        <v>68</v>
      </c>
      <c r="I73" s="36" t="str">
        <f t="shared" si="9"/>
        <v/>
      </c>
      <c r="J73" s="35">
        <f t="shared" si="14"/>
        <v>-5</v>
      </c>
      <c r="K73" s="35">
        <f t="shared" si="10"/>
        <v>-50</v>
      </c>
      <c r="L73" s="35"/>
      <c r="M73" s="37">
        <f t="shared" si="11"/>
        <v>0</v>
      </c>
      <c r="N73" s="37">
        <f t="shared" si="12"/>
        <v>0</v>
      </c>
    </row>
    <row r="74" spans="1:14" x14ac:dyDescent="0.25">
      <c r="A74" s="56">
        <f t="shared" si="13"/>
        <v>0</v>
      </c>
      <c r="G74" s="13"/>
      <c r="H74" s="35">
        <v>69</v>
      </c>
      <c r="I74" s="36" t="str">
        <f t="shared" si="9"/>
        <v/>
      </c>
      <c r="J74" s="35">
        <f t="shared" si="14"/>
        <v>-5</v>
      </c>
      <c r="K74" s="35">
        <f t="shared" si="10"/>
        <v>-50</v>
      </c>
      <c r="L74" s="35"/>
      <c r="M74" s="37">
        <f t="shared" si="11"/>
        <v>0</v>
      </c>
      <c r="N74" s="37">
        <f t="shared" si="12"/>
        <v>0</v>
      </c>
    </row>
    <row r="75" spans="1:14" x14ac:dyDescent="0.25">
      <c r="A75" s="56">
        <f t="shared" si="13"/>
        <v>0</v>
      </c>
      <c r="G75" s="13"/>
      <c r="H75" s="35">
        <v>70</v>
      </c>
      <c r="I75" s="36" t="str">
        <f t="shared" si="9"/>
        <v/>
      </c>
      <c r="J75" s="35">
        <f t="shared" si="14"/>
        <v>-5</v>
      </c>
      <c r="K75" s="35">
        <f t="shared" si="10"/>
        <v>-50</v>
      </c>
      <c r="L75" s="35"/>
      <c r="M75" s="37">
        <f t="shared" si="11"/>
        <v>0</v>
      </c>
      <c r="N75" s="37">
        <f t="shared" si="12"/>
        <v>0</v>
      </c>
    </row>
    <row r="76" spans="1:14" x14ac:dyDescent="0.25">
      <c r="A76" s="56">
        <f t="shared" si="13"/>
        <v>0</v>
      </c>
      <c r="G76" s="13"/>
      <c r="H76" s="35">
        <v>71</v>
      </c>
      <c r="I76" s="36" t="str">
        <f t="shared" si="9"/>
        <v/>
      </c>
      <c r="J76" s="35">
        <f t="shared" si="14"/>
        <v>-5</v>
      </c>
      <c r="K76" s="35">
        <f t="shared" si="10"/>
        <v>-50</v>
      </c>
      <c r="L76" s="35"/>
      <c r="M76" s="37">
        <f t="shared" si="11"/>
        <v>0</v>
      </c>
      <c r="N76" s="37">
        <f t="shared" si="12"/>
        <v>0</v>
      </c>
    </row>
    <row r="77" spans="1:14" x14ac:dyDescent="0.25">
      <c r="A77" s="56">
        <f t="shared" si="13"/>
        <v>0</v>
      </c>
      <c r="G77" s="13"/>
      <c r="H77" s="35">
        <v>72</v>
      </c>
      <c r="I77" s="36" t="str">
        <f t="shared" si="9"/>
        <v/>
      </c>
      <c r="J77" s="35">
        <f t="shared" si="14"/>
        <v>-5</v>
      </c>
      <c r="K77" s="35">
        <f t="shared" si="10"/>
        <v>-50</v>
      </c>
      <c r="L77" s="35"/>
      <c r="M77" s="37">
        <f t="shared" si="11"/>
        <v>0</v>
      </c>
      <c r="N77" s="37">
        <f t="shared" si="12"/>
        <v>0</v>
      </c>
    </row>
    <row r="78" spans="1:14" x14ac:dyDescent="0.25">
      <c r="A78" s="56">
        <f t="shared" si="13"/>
        <v>0</v>
      </c>
      <c r="G78" s="13"/>
      <c r="H78" s="35">
        <v>73</v>
      </c>
      <c r="I78" s="36" t="str">
        <f t="shared" si="9"/>
        <v/>
      </c>
      <c r="J78" s="35">
        <f t="shared" si="14"/>
        <v>-5</v>
      </c>
      <c r="K78" s="35">
        <f t="shared" si="10"/>
        <v>-50</v>
      </c>
      <c r="L78" s="35"/>
      <c r="M78" s="37">
        <f t="shared" si="11"/>
        <v>0</v>
      </c>
      <c r="N78" s="37">
        <f t="shared" si="12"/>
        <v>0</v>
      </c>
    </row>
    <row r="79" spans="1:14" x14ac:dyDescent="0.25">
      <c r="A79" s="56">
        <f t="shared" si="13"/>
        <v>0</v>
      </c>
      <c r="G79" s="13"/>
      <c r="H79" s="35">
        <v>74</v>
      </c>
      <c r="I79" s="36" t="str">
        <f t="shared" si="9"/>
        <v/>
      </c>
      <c r="J79" s="35">
        <f t="shared" si="14"/>
        <v>-5</v>
      </c>
      <c r="K79" s="35">
        <f t="shared" si="10"/>
        <v>-50</v>
      </c>
      <c r="L79" s="35"/>
      <c r="M79" s="37">
        <f t="shared" si="11"/>
        <v>0</v>
      </c>
      <c r="N79" s="37">
        <f t="shared" si="12"/>
        <v>0</v>
      </c>
    </row>
    <row r="80" spans="1:14" x14ac:dyDescent="0.25">
      <c r="A80" s="56">
        <f t="shared" si="13"/>
        <v>0</v>
      </c>
      <c r="G80" s="13"/>
      <c r="H80" s="35">
        <v>75</v>
      </c>
      <c r="I80" s="36" t="str">
        <f t="shared" si="9"/>
        <v/>
      </c>
      <c r="J80" s="35">
        <f t="shared" si="14"/>
        <v>-5</v>
      </c>
      <c r="K80" s="35">
        <f t="shared" si="10"/>
        <v>-50</v>
      </c>
      <c r="L80" s="35"/>
      <c r="M80" s="37">
        <f t="shared" si="11"/>
        <v>0</v>
      </c>
      <c r="N80" s="37">
        <f t="shared" si="12"/>
        <v>0</v>
      </c>
    </row>
    <row r="81" spans="1:14" x14ac:dyDescent="0.25">
      <c r="A81" s="56">
        <f t="shared" si="13"/>
        <v>0</v>
      </c>
      <c r="G81" s="13"/>
      <c r="H81" s="35">
        <v>76</v>
      </c>
      <c r="I81" s="36" t="str">
        <f t="shared" si="9"/>
        <v/>
      </c>
      <c r="J81" s="35">
        <f t="shared" si="14"/>
        <v>-5</v>
      </c>
      <c r="K81" s="35">
        <f t="shared" si="10"/>
        <v>-50</v>
      </c>
      <c r="L81" s="35"/>
      <c r="M81" s="37">
        <f t="shared" si="11"/>
        <v>0</v>
      </c>
      <c r="N81" s="37">
        <f t="shared" si="12"/>
        <v>0</v>
      </c>
    </row>
    <row r="82" spans="1:14" x14ac:dyDescent="0.25">
      <c r="A82" s="56">
        <f t="shared" si="13"/>
        <v>0</v>
      </c>
      <c r="G82" s="13"/>
      <c r="H82" s="35">
        <v>77</v>
      </c>
      <c r="I82" s="36" t="str">
        <f t="shared" si="9"/>
        <v/>
      </c>
      <c r="J82" s="35">
        <f t="shared" si="14"/>
        <v>-5</v>
      </c>
      <c r="K82" s="35">
        <f t="shared" si="10"/>
        <v>-50</v>
      </c>
      <c r="L82" s="35"/>
      <c r="M82" s="37">
        <f t="shared" si="11"/>
        <v>0</v>
      </c>
      <c r="N82" s="37">
        <f t="shared" si="12"/>
        <v>0</v>
      </c>
    </row>
    <row r="83" spans="1:14" x14ac:dyDescent="0.25">
      <c r="A83" s="56">
        <f t="shared" si="13"/>
        <v>0</v>
      </c>
      <c r="G83" s="13"/>
      <c r="H83" s="35">
        <v>78</v>
      </c>
      <c r="I83" s="36" t="str">
        <f t="shared" si="9"/>
        <v/>
      </c>
      <c r="J83" s="35">
        <f t="shared" si="14"/>
        <v>-5</v>
      </c>
      <c r="K83" s="35">
        <f t="shared" si="10"/>
        <v>-50</v>
      </c>
      <c r="L83" s="35"/>
      <c r="M83" s="37">
        <f t="shared" si="11"/>
        <v>0</v>
      </c>
      <c r="N83" s="37">
        <f t="shared" si="12"/>
        <v>0</v>
      </c>
    </row>
    <row r="84" spans="1:14" x14ac:dyDescent="0.25">
      <c r="A84" s="56">
        <f t="shared" si="13"/>
        <v>0</v>
      </c>
      <c r="G84" s="13"/>
      <c r="H84" s="35">
        <v>79</v>
      </c>
      <c r="I84" s="36" t="str">
        <f t="shared" si="9"/>
        <v/>
      </c>
      <c r="J84" s="35">
        <f t="shared" si="14"/>
        <v>-5</v>
      </c>
      <c r="K84" s="35">
        <f t="shared" si="10"/>
        <v>-50</v>
      </c>
      <c r="L84" s="35"/>
      <c r="M84" s="37">
        <f t="shared" si="11"/>
        <v>0</v>
      </c>
      <c r="N84" s="37">
        <f t="shared" si="12"/>
        <v>0</v>
      </c>
    </row>
    <row r="85" spans="1:14" x14ac:dyDescent="0.25">
      <c r="A85" s="56">
        <f t="shared" si="13"/>
        <v>0</v>
      </c>
      <c r="G85" s="13"/>
      <c r="H85" s="35">
        <v>80</v>
      </c>
      <c r="I85" s="36" t="str">
        <f t="shared" si="9"/>
        <v/>
      </c>
      <c r="J85" s="35">
        <f t="shared" si="14"/>
        <v>-5</v>
      </c>
      <c r="K85" s="35">
        <f t="shared" si="10"/>
        <v>-50</v>
      </c>
      <c r="L85" s="35"/>
      <c r="M85" s="37">
        <f t="shared" si="11"/>
        <v>0</v>
      </c>
      <c r="N85" s="37">
        <f t="shared" si="12"/>
        <v>0</v>
      </c>
    </row>
    <row r="86" spans="1:14" x14ac:dyDescent="0.25">
      <c r="A86" s="56">
        <f t="shared" si="13"/>
        <v>0</v>
      </c>
      <c r="G86" s="13"/>
      <c r="H86" s="35">
        <v>81</v>
      </c>
      <c r="I86" s="36" t="str">
        <f t="shared" si="9"/>
        <v/>
      </c>
      <c r="J86" s="35">
        <f t="shared" si="14"/>
        <v>-5</v>
      </c>
      <c r="K86" s="35">
        <f t="shared" si="10"/>
        <v>-50</v>
      </c>
      <c r="L86" s="35"/>
      <c r="M86" s="37">
        <f t="shared" si="11"/>
        <v>0</v>
      </c>
      <c r="N86" s="37">
        <f t="shared" si="12"/>
        <v>0</v>
      </c>
    </row>
    <row r="87" spans="1:14" x14ac:dyDescent="0.25">
      <c r="A87" s="56">
        <f t="shared" si="13"/>
        <v>0</v>
      </c>
      <c r="G87" s="13"/>
      <c r="H87" s="35">
        <v>82</v>
      </c>
      <c r="I87" s="36" t="str">
        <f t="shared" si="9"/>
        <v/>
      </c>
      <c r="J87" s="35">
        <f t="shared" si="14"/>
        <v>-5</v>
      </c>
      <c r="K87" s="35">
        <f t="shared" si="10"/>
        <v>-50</v>
      </c>
      <c r="L87" s="35"/>
      <c r="M87" s="37">
        <f t="shared" si="11"/>
        <v>0</v>
      </c>
      <c r="N87" s="37">
        <f t="shared" si="12"/>
        <v>0</v>
      </c>
    </row>
    <row r="88" spans="1:14" x14ac:dyDescent="0.25">
      <c r="A88" s="56">
        <f t="shared" si="13"/>
        <v>0</v>
      </c>
      <c r="G88" s="13"/>
      <c r="H88" s="35">
        <v>83</v>
      </c>
      <c r="I88" s="36" t="str">
        <f t="shared" si="9"/>
        <v/>
      </c>
      <c r="J88" s="35">
        <f t="shared" si="14"/>
        <v>-5</v>
      </c>
      <c r="K88" s="35">
        <f t="shared" si="10"/>
        <v>-50</v>
      </c>
      <c r="L88" s="35"/>
      <c r="M88" s="37">
        <f t="shared" si="11"/>
        <v>0</v>
      </c>
      <c r="N88" s="37">
        <f t="shared" si="12"/>
        <v>0</v>
      </c>
    </row>
    <row r="89" spans="1:14" x14ac:dyDescent="0.25">
      <c r="A89" s="56">
        <f t="shared" si="13"/>
        <v>0</v>
      </c>
      <c r="G89" s="13"/>
      <c r="H89" s="35">
        <v>84</v>
      </c>
      <c r="I89" s="36" t="str">
        <f t="shared" si="9"/>
        <v/>
      </c>
      <c r="J89" s="35">
        <f t="shared" si="14"/>
        <v>-5</v>
      </c>
      <c r="K89" s="35">
        <f t="shared" si="10"/>
        <v>-50</v>
      </c>
      <c r="L89" s="35"/>
      <c r="M89" s="37">
        <f t="shared" si="11"/>
        <v>0</v>
      </c>
      <c r="N89" s="37">
        <f t="shared" si="12"/>
        <v>0</v>
      </c>
    </row>
    <row r="90" spans="1:14" x14ac:dyDescent="0.25">
      <c r="A90" s="56">
        <f t="shared" si="13"/>
        <v>0</v>
      </c>
      <c r="G90" s="13"/>
      <c r="H90" s="35">
        <v>85</v>
      </c>
      <c r="I90" s="36" t="str">
        <f t="shared" si="9"/>
        <v/>
      </c>
      <c r="J90" s="35">
        <f t="shared" si="14"/>
        <v>-5</v>
      </c>
      <c r="K90" s="35">
        <f t="shared" si="10"/>
        <v>-50</v>
      </c>
      <c r="L90" s="35"/>
      <c r="M90" s="37">
        <f t="shared" si="11"/>
        <v>0</v>
      </c>
      <c r="N90" s="37">
        <f t="shared" si="12"/>
        <v>0</v>
      </c>
    </row>
    <row r="91" spans="1:14" x14ac:dyDescent="0.25">
      <c r="A91" s="56">
        <f t="shared" si="13"/>
        <v>0</v>
      </c>
      <c r="G91" s="13"/>
      <c r="H91" s="35">
        <v>86</v>
      </c>
      <c r="I91" s="36" t="str">
        <f t="shared" si="9"/>
        <v/>
      </c>
      <c r="J91" s="35">
        <f t="shared" si="14"/>
        <v>-5</v>
      </c>
      <c r="K91" s="35">
        <f t="shared" si="10"/>
        <v>-50</v>
      </c>
      <c r="L91" s="35"/>
      <c r="M91" s="37">
        <f t="shared" si="11"/>
        <v>0</v>
      </c>
      <c r="N91" s="37">
        <f t="shared" si="12"/>
        <v>0</v>
      </c>
    </row>
    <row r="92" spans="1:14" x14ac:dyDescent="0.25">
      <c r="A92" s="56">
        <f t="shared" si="13"/>
        <v>0</v>
      </c>
      <c r="G92" s="13"/>
      <c r="H92" s="35">
        <v>87</v>
      </c>
      <c r="I92" s="36" t="str">
        <f t="shared" si="9"/>
        <v/>
      </c>
      <c r="J92" s="35">
        <f t="shared" si="14"/>
        <v>-5</v>
      </c>
      <c r="K92" s="35">
        <f t="shared" si="10"/>
        <v>-50</v>
      </c>
      <c r="L92" s="35"/>
      <c r="M92" s="37">
        <f t="shared" si="11"/>
        <v>0</v>
      </c>
      <c r="N92" s="37">
        <f t="shared" si="12"/>
        <v>0</v>
      </c>
    </row>
    <row r="93" spans="1:14" x14ac:dyDescent="0.25">
      <c r="A93" s="56">
        <f t="shared" si="13"/>
        <v>0</v>
      </c>
      <c r="G93" s="13"/>
      <c r="H93" s="35">
        <v>88</v>
      </c>
      <c r="I93" s="36" t="str">
        <f t="shared" si="9"/>
        <v/>
      </c>
      <c r="J93" s="35">
        <f t="shared" si="14"/>
        <v>-5</v>
      </c>
      <c r="K93" s="35">
        <f t="shared" si="10"/>
        <v>-50</v>
      </c>
      <c r="L93" s="35"/>
      <c r="M93" s="37">
        <f t="shared" si="11"/>
        <v>0</v>
      </c>
      <c r="N93" s="37">
        <f t="shared" si="12"/>
        <v>0</v>
      </c>
    </row>
    <row r="94" spans="1:14" x14ac:dyDescent="0.25">
      <c r="A94" s="56">
        <f t="shared" si="13"/>
        <v>0</v>
      </c>
      <c r="G94" s="13"/>
      <c r="H94" s="35">
        <v>89</v>
      </c>
      <c r="I94" s="36" t="str">
        <f t="shared" si="9"/>
        <v/>
      </c>
      <c r="J94" s="35">
        <f t="shared" si="14"/>
        <v>-5</v>
      </c>
      <c r="K94" s="35">
        <f t="shared" si="10"/>
        <v>-50</v>
      </c>
      <c r="L94" s="35"/>
      <c r="M94" s="37">
        <f t="shared" si="11"/>
        <v>0</v>
      </c>
      <c r="N94" s="37">
        <f t="shared" si="12"/>
        <v>0</v>
      </c>
    </row>
    <row r="95" spans="1:14" x14ac:dyDescent="0.25">
      <c r="A95" s="56">
        <f t="shared" si="13"/>
        <v>0</v>
      </c>
      <c r="G95" s="13"/>
      <c r="H95" s="35">
        <v>90</v>
      </c>
      <c r="I95" s="36" t="str">
        <f t="shared" si="9"/>
        <v/>
      </c>
      <c r="J95" s="35">
        <f t="shared" si="14"/>
        <v>-5</v>
      </c>
      <c r="K95" s="35">
        <f t="shared" si="10"/>
        <v>-50</v>
      </c>
      <c r="L95" s="35"/>
      <c r="M95" s="37">
        <f t="shared" si="11"/>
        <v>0</v>
      </c>
      <c r="N95" s="37">
        <f t="shared" si="12"/>
        <v>0</v>
      </c>
    </row>
    <row r="96" spans="1:14" x14ac:dyDescent="0.25">
      <c r="A96" s="56">
        <f t="shared" si="13"/>
        <v>0</v>
      </c>
      <c r="G96" s="13"/>
      <c r="H96" s="35">
        <v>91</v>
      </c>
      <c r="I96" s="36" t="str">
        <f t="shared" si="9"/>
        <v/>
      </c>
      <c r="J96" s="35">
        <f t="shared" si="14"/>
        <v>-5</v>
      </c>
      <c r="K96" s="35">
        <f t="shared" si="10"/>
        <v>-50</v>
      </c>
      <c r="L96" s="35"/>
      <c r="M96" s="37">
        <f t="shared" si="11"/>
        <v>0</v>
      </c>
      <c r="N96" s="37">
        <f t="shared" si="12"/>
        <v>0</v>
      </c>
    </row>
    <row r="97" spans="1:14" x14ac:dyDescent="0.25">
      <c r="A97" s="56">
        <f t="shared" si="13"/>
        <v>0</v>
      </c>
      <c r="G97" s="13"/>
      <c r="H97" s="35">
        <v>92</v>
      </c>
      <c r="I97" s="36" t="str">
        <f t="shared" si="9"/>
        <v/>
      </c>
      <c r="J97" s="35">
        <f t="shared" si="14"/>
        <v>-5</v>
      </c>
      <c r="K97" s="35">
        <f t="shared" si="10"/>
        <v>-50</v>
      </c>
      <c r="L97" s="35"/>
      <c r="M97" s="37">
        <f t="shared" si="11"/>
        <v>0</v>
      </c>
      <c r="N97" s="37">
        <f t="shared" si="12"/>
        <v>0</v>
      </c>
    </row>
    <row r="98" spans="1:14" x14ac:dyDescent="0.25">
      <c r="A98" s="56">
        <f t="shared" si="13"/>
        <v>0</v>
      </c>
      <c r="G98" s="13"/>
      <c r="H98" s="35">
        <v>93</v>
      </c>
      <c r="I98" s="36" t="str">
        <f t="shared" si="9"/>
        <v/>
      </c>
      <c r="J98" s="35">
        <f t="shared" si="14"/>
        <v>-5</v>
      </c>
      <c r="K98" s="35">
        <f t="shared" si="10"/>
        <v>-50</v>
      </c>
      <c r="L98" s="35"/>
      <c r="M98" s="37">
        <f t="shared" si="11"/>
        <v>0</v>
      </c>
      <c r="N98" s="37">
        <f t="shared" si="12"/>
        <v>0</v>
      </c>
    </row>
    <row r="99" spans="1:14" x14ac:dyDescent="0.25">
      <c r="A99" s="56">
        <f t="shared" si="13"/>
        <v>0</v>
      </c>
      <c r="G99" s="13"/>
      <c r="H99" s="35">
        <v>94</v>
      </c>
      <c r="I99" s="36" t="str">
        <f t="shared" si="9"/>
        <v/>
      </c>
      <c r="J99" s="35">
        <f t="shared" si="14"/>
        <v>-5</v>
      </c>
      <c r="K99" s="35">
        <f t="shared" si="10"/>
        <v>-50</v>
      </c>
      <c r="L99" s="35"/>
      <c r="M99" s="37">
        <f t="shared" si="11"/>
        <v>0</v>
      </c>
      <c r="N99" s="37">
        <f t="shared" si="12"/>
        <v>0</v>
      </c>
    </row>
    <row r="100" spans="1:14" x14ac:dyDescent="0.25">
      <c r="A100" s="56">
        <f t="shared" si="13"/>
        <v>0</v>
      </c>
      <c r="G100" s="13"/>
      <c r="H100" s="35">
        <v>95</v>
      </c>
      <c r="I100" s="36" t="str">
        <f t="shared" si="9"/>
        <v/>
      </c>
      <c r="J100" s="35">
        <f t="shared" si="14"/>
        <v>-5</v>
      </c>
      <c r="K100" s="35">
        <f t="shared" si="10"/>
        <v>-50</v>
      </c>
      <c r="L100" s="35"/>
      <c r="M100" s="37">
        <f t="shared" si="11"/>
        <v>0</v>
      </c>
      <c r="N100" s="37">
        <f t="shared" si="12"/>
        <v>0</v>
      </c>
    </row>
    <row r="101" spans="1:14" x14ac:dyDescent="0.25">
      <c r="A101" s="56">
        <f t="shared" si="13"/>
        <v>0</v>
      </c>
      <c r="G101" s="13"/>
      <c r="H101" s="35">
        <v>96</v>
      </c>
      <c r="I101" s="36" t="str">
        <f t="shared" si="9"/>
        <v/>
      </c>
      <c r="J101" s="35">
        <f t="shared" si="14"/>
        <v>-5</v>
      </c>
      <c r="K101" s="35">
        <f t="shared" si="10"/>
        <v>-50</v>
      </c>
      <c r="L101" s="35"/>
      <c r="M101" s="37">
        <f t="shared" si="11"/>
        <v>0</v>
      </c>
      <c r="N101" s="37">
        <f t="shared" si="12"/>
        <v>0</v>
      </c>
    </row>
    <row r="102" spans="1:14" x14ac:dyDescent="0.25">
      <c r="A102" s="56">
        <f t="shared" si="13"/>
        <v>0</v>
      </c>
      <c r="G102" s="13"/>
      <c r="H102" s="35">
        <v>97</v>
      </c>
      <c r="I102" s="36" t="str">
        <f t="shared" si="9"/>
        <v/>
      </c>
      <c r="J102" s="35">
        <f t="shared" si="14"/>
        <v>-5</v>
      </c>
      <c r="K102" s="35">
        <f t="shared" si="10"/>
        <v>-50</v>
      </c>
      <c r="L102" s="35"/>
      <c r="M102" s="37">
        <f t="shared" si="11"/>
        <v>0</v>
      </c>
      <c r="N102" s="37">
        <f t="shared" si="12"/>
        <v>0</v>
      </c>
    </row>
    <row r="103" spans="1:14" x14ac:dyDescent="0.25">
      <c r="A103" s="56">
        <f t="shared" si="13"/>
        <v>0</v>
      </c>
      <c r="G103" s="13"/>
      <c r="H103" s="35">
        <v>98</v>
      </c>
      <c r="I103" s="36" t="str">
        <f t="shared" si="9"/>
        <v/>
      </c>
      <c r="J103" s="35">
        <f t="shared" si="14"/>
        <v>-5</v>
      </c>
      <c r="K103" s="35">
        <f t="shared" si="10"/>
        <v>-50</v>
      </c>
      <c r="L103" s="35"/>
      <c r="M103" s="37">
        <f t="shared" si="11"/>
        <v>0</v>
      </c>
      <c r="N103" s="37">
        <f t="shared" si="12"/>
        <v>0</v>
      </c>
    </row>
    <row r="104" spans="1:14" x14ac:dyDescent="0.25">
      <c r="A104" s="56">
        <f t="shared" si="13"/>
        <v>0</v>
      </c>
      <c r="G104" s="13"/>
      <c r="H104" s="35">
        <v>99</v>
      </c>
      <c r="I104" s="36" t="str">
        <f t="shared" si="9"/>
        <v/>
      </c>
      <c r="J104" s="35">
        <f t="shared" si="14"/>
        <v>-5</v>
      </c>
      <c r="K104" s="35">
        <f t="shared" si="10"/>
        <v>-50</v>
      </c>
      <c r="L104" s="35"/>
      <c r="M104" s="37">
        <f t="shared" si="11"/>
        <v>0</v>
      </c>
      <c r="N104" s="37">
        <f t="shared" si="12"/>
        <v>0</v>
      </c>
    </row>
    <row r="105" spans="1:14" x14ac:dyDescent="0.25">
      <c r="A105" s="56">
        <f t="shared" si="13"/>
        <v>0</v>
      </c>
      <c r="G105" s="13"/>
      <c r="H105" s="35">
        <v>100</v>
      </c>
      <c r="I105" s="36" t="str">
        <f t="shared" si="9"/>
        <v/>
      </c>
      <c r="J105" s="35">
        <f t="shared" si="14"/>
        <v>-5</v>
      </c>
      <c r="K105" s="35">
        <f t="shared" si="10"/>
        <v>-50</v>
      </c>
      <c r="L105" s="35"/>
      <c r="M105" s="37">
        <f t="shared" si="11"/>
        <v>0</v>
      </c>
      <c r="N105" s="37">
        <f t="shared" si="12"/>
        <v>0</v>
      </c>
    </row>
    <row r="106" spans="1:14" x14ac:dyDescent="0.25">
      <c r="A106" s="56">
        <f t="shared" si="13"/>
        <v>0</v>
      </c>
      <c r="G106" s="13"/>
      <c r="H106" s="35">
        <v>101</v>
      </c>
      <c r="I106" s="36" t="str">
        <f t="shared" si="9"/>
        <v/>
      </c>
      <c r="J106" s="35">
        <f t="shared" si="14"/>
        <v>-5</v>
      </c>
      <c r="K106" s="35">
        <f t="shared" si="10"/>
        <v>-50</v>
      </c>
      <c r="L106" s="35"/>
      <c r="M106" s="37">
        <f t="shared" si="11"/>
        <v>0</v>
      </c>
      <c r="N106" s="37">
        <f t="shared" si="12"/>
        <v>0</v>
      </c>
    </row>
    <row r="107" spans="1:14" x14ac:dyDescent="0.25">
      <c r="A107" s="56">
        <f t="shared" si="13"/>
        <v>0</v>
      </c>
      <c r="G107" s="13"/>
      <c r="H107" s="35">
        <v>102</v>
      </c>
      <c r="I107" s="36" t="str">
        <f t="shared" si="9"/>
        <v/>
      </c>
      <c r="J107" s="35">
        <f t="shared" si="14"/>
        <v>-5</v>
      </c>
      <c r="K107" s="35">
        <f t="shared" si="10"/>
        <v>-50</v>
      </c>
      <c r="L107" s="35"/>
      <c r="M107" s="37">
        <f t="shared" si="11"/>
        <v>0</v>
      </c>
      <c r="N107" s="37">
        <f t="shared" si="12"/>
        <v>0</v>
      </c>
    </row>
    <row r="108" spans="1:14" x14ac:dyDescent="0.25">
      <c r="A108" s="56">
        <f t="shared" si="13"/>
        <v>0</v>
      </c>
      <c r="G108" s="13"/>
      <c r="H108" s="35">
        <v>103</v>
      </c>
      <c r="I108" s="36" t="str">
        <f t="shared" si="9"/>
        <v/>
      </c>
      <c r="J108" s="35">
        <f t="shared" si="14"/>
        <v>-5</v>
      </c>
      <c r="K108" s="35">
        <f t="shared" si="10"/>
        <v>-50</v>
      </c>
      <c r="L108" s="35"/>
      <c r="M108" s="37">
        <f t="shared" si="11"/>
        <v>0</v>
      </c>
      <c r="N108" s="37">
        <f t="shared" si="12"/>
        <v>0</v>
      </c>
    </row>
    <row r="109" spans="1:14" x14ac:dyDescent="0.25">
      <c r="A109" s="56">
        <f t="shared" si="13"/>
        <v>0</v>
      </c>
      <c r="G109" s="13"/>
      <c r="H109" s="35">
        <v>104</v>
      </c>
      <c r="I109" s="36" t="str">
        <f t="shared" si="9"/>
        <v/>
      </c>
      <c r="J109" s="35">
        <f t="shared" si="14"/>
        <v>-5</v>
      </c>
      <c r="K109" s="35">
        <f t="shared" si="10"/>
        <v>-50</v>
      </c>
      <c r="L109" s="35"/>
      <c r="M109" s="37">
        <f t="shared" si="11"/>
        <v>0</v>
      </c>
      <c r="N109" s="37">
        <f t="shared" si="12"/>
        <v>0</v>
      </c>
    </row>
    <row r="110" spans="1:14" x14ac:dyDescent="0.25">
      <c r="A110" s="56">
        <f t="shared" si="13"/>
        <v>0</v>
      </c>
      <c r="G110" s="13"/>
      <c r="H110" s="35">
        <v>105</v>
      </c>
      <c r="I110" s="36" t="str">
        <f t="shared" si="9"/>
        <v/>
      </c>
      <c r="J110" s="35">
        <f t="shared" si="14"/>
        <v>-5</v>
      </c>
      <c r="K110" s="35">
        <f t="shared" si="10"/>
        <v>-50</v>
      </c>
      <c r="L110" s="35"/>
      <c r="M110" s="37">
        <f t="shared" si="11"/>
        <v>0</v>
      </c>
      <c r="N110" s="37">
        <f t="shared" si="12"/>
        <v>0</v>
      </c>
    </row>
    <row r="111" spans="1:14" x14ac:dyDescent="0.25">
      <c r="A111" s="56">
        <f t="shared" si="13"/>
        <v>0</v>
      </c>
      <c r="G111" s="13"/>
      <c r="H111" s="35">
        <v>106</v>
      </c>
      <c r="I111" s="36" t="str">
        <f t="shared" si="9"/>
        <v/>
      </c>
      <c r="J111" s="35">
        <f t="shared" si="14"/>
        <v>-5</v>
      </c>
      <c r="K111" s="35">
        <f t="shared" si="10"/>
        <v>-50</v>
      </c>
      <c r="L111" s="35"/>
      <c r="M111" s="37">
        <f t="shared" si="11"/>
        <v>0</v>
      </c>
      <c r="N111" s="37">
        <f t="shared" si="12"/>
        <v>0</v>
      </c>
    </row>
    <row r="112" spans="1:14" x14ac:dyDescent="0.25">
      <c r="A112" s="56">
        <f t="shared" si="13"/>
        <v>0</v>
      </c>
      <c r="G112" s="13"/>
      <c r="H112" s="35">
        <v>107</v>
      </c>
      <c r="I112" s="36" t="str">
        <f t="shared" si="9"/>
        <v/>
      </c>
      <c r="J112" s="35">
        <f t="shared" si="14"/>
        <v>-5</v>
      </c>
      <c r="K112" s="35">
        <f t="shared" si="10"/>
        <v>-50</v>
      </c>
      <c r="L112" s="35"/>
      <c r="M112" s="37">
        <f t="shared" si="11"/>
        <v>0</v>
      </c>
      <c r="N112" s="37">
        <f t="shared" si="12"/>
        <v>0</v>
      </c>
    </row>
    <row r="113" spans="1:14" x14ac:dyDescent="0.25">
      <c r="A113" s="56">
        <f t="shared" si="13"/>
        <v>0</v>
      </c>
      <c r="G113" s="13"/>
      <c r="H113" s="35">
        <v>108</v>
      </c>
      <c r="I113" s="36" t="str">
        <f t="shared" si="9"/>
        <v/>
      </c>
      <c r="J113" s="35">
        <f t="shared" si="14"/>
        <v>-5</v>
      </c>
      <c r="K113" s="35">
        <f t="shared" si="10"/>
        <v>-50</v>
      </c>
      <c r="L113" s="35"/>
      <c r="M113" s="37">
        <f t="shared" si="11"/>
        <v>0</v>
      </c>
      <c r="N113" s="37">
        <f t="shared" si="12"/>
        <v>0</v>
      </c>
    </row>
    <row r="114" spans="1:14" x14ac:dyDescent="0.25">
      <c r="A114" s="56">
        <f t="shared" si="13"/>
        <v>0</v>
      </c>
      <c r="G114" s="13"/>
      <c r="H114" s="35">
        <v>109</v>
      </c>
      <c r="I114" s="36" t="str">
        <f t="shared" si="9"/>
        <v/>
      </c>
      <c r="J114" s="35">
        <f t="shared" si="14"/>
        <v>-5</v>
      </c>
      <c r="K114" s="35">
        <f t="shared" si="10"/>
        <v>-50</v>
      </c>
      <c r="L114" s="35"/>
      <c r="M114" s="37">
        <f t="shared" si="11"/>
        <v>0</v>
      </c>
      <c r="N114" s="37">
        <f t="shared" si="12"/>
        <v>0</v>
      </c>
    </row>
    <row r="115" spans="1:14" x14ac:dyDescent="0.25">
      <c r="A115" s="56">
        <f t="shared" si="13"/>
        <v>0</v>
      </c>
      <c r="G115" s="13"/>
      <c r="H115" s="35">
        <v>110</v>
      </c>
      <c r="I115" s="36" t="str">
        <f t="shared" si="9"/>
        <v/>
      </c>
      <c r="J115" s="35">
        <f t="shared" si="14"/>
        <v>-5</v>
      </c>
      <c r="K115" s="35">
        <f t="shared" si="10"/>
        <v>-50</v>
      </c>
      <c r="L115" s="35"/>
      <c r="M115" s="37">
        <f t="shared" si="11"/>
        <v>0</v>
      </c>
      <c r="N115" s="37">
        <f t="shared" si="12"/>
        <v>0</v>
      </c>
    </row>
    <row r="116" spans="1:14" x14ac:dyDescent="0.25">
      <c r="A116" s="56">
        <f t="shared" si="13"/>
        <v>0</v>
      </c>
      <c r="G116" s="13"/>
      <c r="H116" s="35">
        <v>111</v>
      </c>
      <c r="I116" s="36" t="str">
        <f t="shared" si="9"/>
        <v/>
      </c>
      <c r="J116" s="35">
        <f t="shared" si="14"/>
        <v>-5</v>
      </c>
      <c r="K116" s="35">
        <f t="shared" si="10"/>
        <v>-50</v>
      </c>
      <c r="L116" s="35"/>
      <c r="M116" s="37">
        <f t="shared" si="11"/>
        <v>0</v>
      </c>
      <c r="N116" s="37">
        <f t="shared" si="12"/>
        <v>0</v>
      </c>
    </row>
    <row r="117" spans="1:14" x14ac:dyDescent="0.25">
      <c r="A117" s="56">
        <f t="shared" si="13"/>
        <v>0</v>
      </c>
      <c r="G117" s="13"/>
      <c r="H117" s="35">
        <v>112</v>
      </c>
      <c r="I117" s="36" t="str">
        <f t="shared" si="9"/>
        <v/>
      </c>
      <c r="J117" s="35">
        <f t="shared" si="14"/>
        <v>-5</v>
      </c>
      <c r="K117" s="35">
        <f t="shared" si="10"/>
        <v>-50</v>
      </c>
      <c r="L117" s="35"/>
      <c r="M117" s="37">
        <f t="shared" si="11"/>
        <v>0</v>
      </c>
      <c r="N117" s="37">
        <f t="shared" si="12"/>
        <v>0</v>
      </c>
    </row>
    <row r="118" spans="1:14" x14ac:dyDescent="0.25">
      <c r="A118" s="56">
        <f t="shared" si="13"/>
        <v>0</v>
      </c>
      <c r="G118" s="13"/>
      <c r="H118" s="35">
        <v>113</v>
      </c>
      <c r="I118" s="36" t="str">
        <f t="shared" si="9"/>
        <v/>
      </c>
      <c r="J118" s="35">
        <f t="shared" si="14"/>
        <v>-5</v>
      </c>
      <c r="K118" s="35">
        <f t="shared" si="10"/>
        <v>-50</v>
      </c>
      <c r="L118" s="35"/>
      <c r="M118" s="37">
        <f t="shared" si="11"/>
        <v>0</v>
      </c>
      <c r="N118" s="37">
        <f t="shared" si="12"/>
        <v>0</v>
      </c>
    </row>
    <row r="119" spans="1:14" x14ac:dyDescent="0.25">
      <c r="A119" s="56">
        <f t="shared" si="13"/>
        <v>0</v>
      </c>
      <c r="G119" s="13"/>
      <c r="H119" s="35">
        <v>114</v>
      </c>
      <c r="I119" s="36" t="str">
        <f t="shared" si="9"/>
        <v/>
      </c>
      <c r="J119" s="35">
        <f t="shared" si="14"/>
        <v>-5</v>
      </c>
      <c r="K119" s="35">
        <f t="shared" si="10"/>
        <v>-50</v>
      </c>
      <c r="L119" s="35"/>
      <c r="M119" s="37">
        <f t="shared" si="11"/>
        <v>0</v>
      </c>
      <c r="N119" s="37">
        <f t="shared" si="12"/>
        <v>0</v>
      </c>
    </row>
    <row r="120" spans="1:14" x14ac:dyDescent="0.25">
      <c r="A120" s="56">
        <f t="shared" si="13"/>
        <v>0</v>
      </c>
      <c r="G120" s="13"/>
      <c r="H120" s="35">
        <v>115</v>
      </c>
      <c r="I120" s="36" t="str">
        <f t="shared" si="9"/>
        <v/>
      </c>
      <c r="J120" s="35">
        <f t="shared" si="14"/>
        <v>-5</v>
      </c>
      <c r="K120" s="35">
        <f t="shared" si="10"/>
        <v>-50</v>
      </c>
      <c r="L120" s="35"/>
      <c r="M120" s="37">
        <f t="shared" si="11"/>
        <v>0</v>
      </c>
      <c r="N120" s="37">
        <f t="shared" si="12"/>
        <v>0</v>
      </c>
    </row>
    <row r="121" spans="1:14" x14ac:dyDescent="0.25">
      <c r="A121" s="56">
        <f t="shared" si="13"/>
        <v>0</v>
      </c>
      <c r="G121" s="13"/>
      <c r="H121" s="35">
        <v>116</v>
      </c>
      <c r="I121" s="36" t="str">
        <f t="shared" si="9"/>
        <v/>
      </c>
      <c r="J121" s="35">
        <f t="shared" si="14"/>
        <v>-5</v>
      </c>
      <c r="K121" s="35">
        <f t="shared" si="10"/>
        <v>-50</v>
      </c>
      <c r="L121" s="35"/>
      <c r="M121" s="37">
        <f t="shared" si="11"/>
        <v>0</v>
      </c>
      <c r="N121" s="37">
        <f t="shared" si="12"/>
        <v>0</v>
      </c>
    </row>
    <row r="122" spans="1:14" x14ac:dyDescent="0.25">
      <c r="A122" s="56">
        <f t="shared" si="13"/>
        <v>0</v>
      </c>
      <c r="G122" s="13"/>
      <c r="H122" s="35">
        <v>117</v>
      </c>
      <c r="I122" s="36" t="str">
        <f t="shared" si="9"/>
        <v/>
      </c>
      <c r="J122" s="35">
        <f t="shared" si="14"/>
        <v>-5</v>
      </c>
      <c r="K122" s="35">
        <f t="shared" si="10"/>
        <v>-50</v>
      </c>
      <c r="L122" s="35"/>
      <c r="M122" s="37">
        <f t="shared" si="11"/>
        <v>0</v>
      </c>
      <c r="N122" s="37">
        <f t="shared" si="12"/>
        <v>0</v>
      </c>
    </row>
    <row r="123" spans="1:14" x14ac:dyDescent="0.25">
      <c r="A123" s="56">
        <f t="shared" si="13"/>
        <v>0</v>
      </c>
      <c r="G123" s="13"/>
      <c r="H123" s="35">
        <v>118</v>
      </c>
      <c r="I123" s="36" t="str">
        <f t="shared" si="9"/>
        <v/>
      </c>
      <c r="J123" s="35">
        <f t="shared" si="14"/>
        <v>-5</v>
      </c>
      <c r="K123" s="35">
        <f t="shared" si="10"/>
        <v>-50</v>
      </c>
      <c r="L123" s="35"/>
      <c r="M123" s="37">
        <f t="shared" si="11"/>
        <v>0</v>
      </c>
      <c r="N123" s="37">
        <f t="shared" si="12"/>
        <v>0</v>
      </c>
    </row>
    <row r="124" spans="1:14" x14ac:dyDescent="0.25">
      <c r="A124" s="56">
        <f t="shared" si="13"/>
        <v>0</v>
      </c>
      <c r="G124" s="13"/>
      <c r="H124" s="35">
        <v>119</v>
      </c>
      <c r="I124" s="36" t="str">
        <f t="shared" si="9"/>
        <v/>
      </c>
      <c r="J124" s="35">
        <f t="shared" si="14"/>
        <v>-5</v>
      </c>
      <c r="K124" s="35">
        <f t="shared" si="10"/>
        <v>-50</v>
      </c>
      <c r="L124" s="35"/>
      <c r="M124" s="37">
        <f t="shared" si="11"/>
        <v>0</v>
      </c>
      <c r="N124" s="37">
        <f t="shared" si="12"/>
        <v>0</v>
      </c>
    </row>
    <row r="125" spans="1:14" x14ac:dyDescent="0.25">
      <c r="A125" s="56">
        <f t="shared" si="13"/>
        <v>0</v>
      </c>
      <c r="G125" s="13"/>
      <c r="H125" s="35">
        <v>120</v>
      </c>
      <c r="I125" s="36" t="str">
        <f t="shared" si="9"/>
        <v/>
      </c>
      <c r="J125" s="35">
        <f t="shared" si="14"/>
        <v>-5</v>
      </c>
      <c r="K125" s="35">
        <f t="shared" si="10"/>
        <v>-50</v>
      </c>
      <c r="L125" s="35"/>
      <c r="M125" s="37">
        <f t="shared" si="11"/>
        <v>0</v>
      </c>
      <c r="N125" s="37">
        <f t="shared" si="12"/>
        <v>0</v>
      </c>
    </row>
    <row r="126" spans="1:14" x14ac:dyDescent="0.25">
      <c r="A126" s="56">
        <f t="shared" si="13"/>
        <v>0</v>
      </c>
      <c r="G126" s="13"/>
      <c r="H126" s="35">
        <v>121</v>
      </c>
      <c r="I126" s="36" t="str">
        <f t="shared" si="9"/>
        <v/>
      </c>
      <c r="J126" s="35">
        <f t="shared" si="14"/>
        <v>-5</v>
      </c>
      <c r="K126" s="35">
        <f t="shared" si="10"/>
        <v>-50</v>
      </c>
      <c r="L126" s="35"/>
      <c r="M126" s="37">
        <f t="shared" si="11"/>
        <v>0</v>
      </c>
      <c r="N126" s="37">
        <f t="shared" si="12"/>
        <v>0</v>
      </c>
    </row>
    <row r="127" spans="1:14" x14ac:dyDescent="0.25">
      <c r="A127" s="56">
        <f t="shared" si="13"/>
        <v>0</v>
      </c>
      <c r="G127" s="13"/>
      <c r="H127" s="35">
        <v>122</v>
      </c>
      <c r="I127" s="36" t="str">
        <f t="shared" si="9"/>
        <v/>
      </c>
      <c r="J127" s="35">
        <f t="shared" si="14"/>
        <v>-5</v>
      </c>
      <c r="K127" s="35">
        <f t="shared" si="10"/>
        <v>-50</v>
      </c>
      <c r="L127" s="35"/>
      <c r="M127" s="37">
        <f t="shared" si="11"/>
        <v>0</v>
      </c>
      <c r="N127" s="37">
        <f t="shared" si="12"/>
        <v>0</v>
      </c>
    </row>
    <row r="128" spans="1:14" x14ac:dyDescent="0.25">
      <c r="A128" s="56">
        <f t="shared" si="13"/>
        <v>0</v>
      </c>
      <c r="G128" s="13"/>
      <c r="H128" s="35">
        <v>123</v>
      </c>
      <c r="I128" s="36" t="str">
        <f t="shared" si="9"/>
        <v/>
      </c>
      <c r="J128" s="35">
        <f t="shared" si="14"/>
        <v>-5</v>
      </c>
      <c r="K128" s="35">
        <f t="shared" si="10"/>
        <v>-50</v>
      </c>
      <c r="L128" s="35"/>
      <c r="M128" s="37">
        <f t="shared" si="11"/>
        <v>0</v>
      </c>
      <c r="N128" s="37">
        <f t="shared" si="12"/>
        <v>0</v>
      </c>
    </row>
    <row r="129" spans="1:14" x14ac:dyDescent="0.25">
      <c r="A129" s="56">
        <f t="shared" si="13"/>
        <v>0</v>
      </c>
      <c r="G129" s="13"/>
      <c r="H129" s="35">
        <v>124</v>
      </c>
      <c r="I129" s="36" t="str">
        <f t="shared" si="9"/>
        <v/>
      </c>
      <c r="J129" s="35">
        <f t="shared" si="14"/>
        <v>-5</v>
      </c>
      <c r="K129" s="35">
        <f t="shared" si="10"/>
        <v>-50</v>
      </c>
      <c r="L129" s="35"/>
      <c r="M129" s="37">
        <f t="shared" si="11"/>
        <v>0</v>
      </c>
      <c r="N129" s="37">
        <f t="shared" si="12"/>
        <v>0</v>
      </c>
    </row>
    <row r="130" spans="1:14" x14ac:dyDescent="0.25">
      <c r="A130" s="56">
        <f t="shared" si="13"/>
        <v>0</v>
      </c>
      <c r="G130" s="13"/>
      <c r="H130" s="35">
        <v>125</v>
      </c>
      <c r="I130" s="36" t="str">
        <f t="shared" si="9"/>
        <v/>
      </c>
      <c r="J130" s="35">
        <f t="shared" si="14"/>
        <v>-5</v>
      </c>
      <c r="K130" s="35">
        <f t="shared" si="10"/>
        <v>-50</v>
      </c>
      <c r="L130" s="35"/>
      <c r="M130" s="37">
        <f t="shared" si="11"/>
        <v>0</v>
      </c>
      <c r="N130" s="37">
        <f t="shared" si="12"/>
        <v>0</v>
      </c>
    </row>
    <row r="131" spans="1:14" x14ac:dyDescent="0.25">
      <c r="A131" s="56">
        <f t="shared" si="13"/>
        <v>0</v>
      </c>
      <c r="G131" s="13"/>
      <c r="H131" s="35">
        <v>126</v>
      </c>
      <c r="I131" s="36" t="str">
        <f t="shared" si="9"/>
        <v/>
      </c>
      <c r="J131" s="35">
        <f t="shared" si="14"/>
        <v>-5</v>
      </c>
      <c r="K131" s="35">
        <f t="shared" si="10"/>
        <v>-50</v>
      </c>
      <c r="L131" s="35"/>
      <c r="M131" s="37">
        <f t="shared" si="11"/>
        <v>0</v>
      </c>
      <c r="N131" s="37">
        <f t="shared" si="12"/>
        <v>0</v>
      </c>
    </row>
    <row r="132" spans="1:14" x14ac:dyDescent="0.25">
      <c r="A132" s="56">
        <f t="shared" si="13"/>
        <v>0</v>
      </c>
      <c r="G132" s="13"/>
      <c r="H132" s="35">
        <v>127</v>
      </c>
      <c r="I132" s="36" t="str">
        <f t="shared" si="9"/>
        <v/>
      </c>
      <c r="J132" s="35">
        <f t="shared" si="14"/>
        <v>-5</v>
      </c>
      <c r="K132" s="35">
        <f t="shared" si="10"/>
        <v>-50</v>
      </c>
      <c r="L132" s="35"/>
      <c r="M132" s="37">
        <f t="shared" si="11"/>
        <v>0</v>
      </c>
      <c r="N132" s="37">
        <f t="shared" si="12"/>
        <v>0</v>
      </c>
    </row>
    <row r="133" spans="1:14" x14ac:dyDescent="0.25">
      <c r="A133" s="56">
        <f t="shared" si="13"/>
        <v>0</v>
      </c>
      <c r="G133" s="13"/>
      <c r="H133" s="35">
        <v>128</v>
      </c>
      <c r="I133" s="36" t="str">
        <f t="shared" si="9"/>
        <v/>
      </c>
      <c r="J133" s="35">
        <f t="shared" si="14"/>
        <v>-5</v>
      </c>
      <c r="K133" s="35">
        <f t="shared" si="10"/>
        <v>-50</v>
      </c>
      <c r="L133" s="35"/>
      <c r="M133" s="37">
        <f t="shared" si="11"/>
        <v>0</v>
      </c>
      <c r="N133" s="37">
        <f t="shared" si="12"/>
        <v>0</v>
      </c>
    </row>
    <row r="134" spans="1:14" x14ac:dyDescent="0.25">
      <c r="A134" s="56">
        <f t="shared" si="13"/>
        <v>0</v>
      </c>
      <c r="G134" s="13"/>
      <c r="H134" s="35">
        <v>129</v>
      </c>
      <c r="I134" s="36" t="str">
        <f t="shared" ref="I134:I197" si="15">IF(H134&lt;$H$2+1,($I$2-($I$2-1)*(LOG(H134)/LOG($H$2))),"")</f>
        <v/>
      </c>
      <c r="J134" s="35">
        <f t="shared" si="14"/>
        <v>-6</v>
      </c>
      <c r="K134" s="35">
        <f t="shared" ref="K134:K197" si="16">J134*$J$2</f>
        <v>-60</v>
      </c>
      <c r="L134" s="35"/>
      <c r="M134" s="37">
        <f t="shared" ref="M134:M197" si="17">IF(I134&lt;&gt;"",K134+I134+L134,0)</f>
        <v>0</v>
      </c>
      <c r="N134" s="37">
        <f t="shared" ref="N134:N197" si="18">IF(I134&lt;&gt;"",M134*L$2,0)</f>
        <v>0</v>
      </c>
    </row>
    <row r="135" spans="1:14" x14ac:dyDescent="0.25">
      <c r="A135" s="56">
        <f t="shared" ref="A135:A198" si="19">N135</f>
        <v>0</v>
      </c>
      <c r="G135" s="13"/>
      <c r="H135" s="35">
        <v>130</v>
      </c>
      <c r="I135" s="36" t="str">
        <f t="shared" si="15"/>
        <v/>
      </c>
      <c r="J135" s="35">
        <f t="shared" ref="J135:J198" si="20">INT(LOG($H$2,2))-ROUNDUP(LOG(H135,2),0)+IF(OR($H$2=1,$H$2=2,$H$2=4,$H$2=8,$H$2=16,$H$2=32,$H$2=64,$H$2=128,$H$2=256),0,1)</f>
        <v>-6</v>
      </c>
      <c r="K135" s="35">
        <f t="shared" si="16"/>
        <v>-60</v>
      </c>
      <c r="L135" s="35"/>
      <c r="M135" s="37">
        <f t="shared" si="17"/>
        <v>0</v>
      </c>
      <c r="N135" s="37">
        <f t="shared" si="18"/>
        <v>0</v>
      </c>
    </row>
    <row r="136" spans="1:14" x14ac:dyDescent="0.25">
      <c r="A136" s="56">
        <f t="shared" si="19"/>
        <v>0</v>
      </c>
      <c r="G136" s="13"/>
      <c r="H136" s="35">
        <v>131</v>
      </c>
      <c r="I136" s="36" t="str">
        <f t="shared" si="15"/>
        <v/>
      </c>
      <c r="J136" s="35">
        <f t="shared" si="20"/>
        <v>-6</v>
      </c>
      <c r="K136" s="35">
        <f t="shared" si="16"/>
        <v>-60</v>
      </c>
      <c r="L136" s="35"/>
      <c r="M136" s="37">
        <f t="shared" si="17"/>
        <v>0</v>
      </c>
      <c r="N136" s="37">
        <f t="shared" si="18"/>
        <v>0</v>
      </c>
    </row>
    <row r="137" spans="1:14" x14ac:dyDescent="0.25">
      <c r="A137" s="56">
        <f t="shared" si="19"/>
        <v>0</v>
      </c>
      <c r="G137" s="13"/>
      <c r="H137" s="35">
        <v>132</v>
      </c>
      <c r="I137" s="36" t="str">
        <f t="shared" si="15"/>
        <v/>
      </c>
      <c r="J137" s="35">
        <f t="shared" si="20"/>
        <v>-6</v>
      </c>
      <c r="K137" s="35">
        <f t="shared" si="16"/>
        <v>-60</v>
      </c>
      <c r="L137" s="35"/>
      <c r="M137" s="37">
        <f t="shared" si="17"/>
        <v>0</v>
      </c>
      <c r="N137" s="37">
        <f t="shared" si="18"/>
        <v>0</v>
      </c>
    </row>
    <row r="138" spans="1:14" x14ac:dyDescent="0.25">
      <c r="A138" s="56">
        <f t="shared" si="19"/>
        <v>0</v>
      </c>
      <c r="G138" s="13"/>
      <c r="H138" s="35">
        <v>133</v>
      </c>
      <c r="I138" s="36" t="str">
        <f t="shared" si="15"/>
        <v/>
      </c>
      <c r="J138" s="35">
        <f t="shared" si="20"/>
        <v>-6</v>
      </c>
      <c r="K138" s="35">
        <f t="shared" si="16"/>
        <v>-60</v>
      </c>
      <c r="L138" s="35"/>
      <c r="M138" s="37">
        <f t="shared" si="17"/>
        <v>0</v>
      </c>
      <c r="N138" s="37">
        <f t="shared" si="18"/>
        <v>0</v>
      </c>
    </row>
    <row r="139" spans="1:14" x14ac:dyDescent="0.25">
      <c r="A139" s="56">
        <f t="shared" si="19"/>
        <v>0</v>
      </c>
      <c r="G139" s="13"/>
      <c r="H139" s="35">
        <v>134</v>
      </c>
      <c r="I139" s="36" t="str">
        <f t="shared" si="15"/>
        <v/>
      </c>
      <c r="J139" s="35">
        <f t="shared" si="20"/>
        <v>-6</v>
      </c>
      <c r="K139" s="35">
        <f t="shared" si="16"/>
        <v>-60</v>
      </c>
      <c r="L139" s="35"/>
      <c r="M139" s="37">
        <f t="shared" si="17"/>
        <v>0</v>
      </c>
      <c r="N139" s="37">
        <f t="shared" si="18"/>
        <v>0</v>
      </c>
    </row>
    <row r="140" spans="1:14" x14ac:dyDescent="0.25">
      <c r="A140" s="56">
        <f t="shared" si="19"/>
        <v>0</v>
      </c>
      <c r="G140" s="13"/>
      <c r="H140" s="35">
        <v>135</v>
      </c>
      <c r="I140" s="36" t="str">
        <f t="shared" si="15"/>
        <v/>
      </c>
      <c r="J140" s="35">
        <f t="shared" si="20"/>
        <v>-6</v>
      </c>
      <c r="K140" s="35">
        <f t="shared" si="16"/>
        <v>-60</v>
      </c>
      <c r="L140" s="35"/>
      <c r="M140" s="37">
        <f t="shared" si="17"/>
        <v>0</v>
      </c>
      <c r="N140" s="37">
        <f t="shared" si="18"/>
        <v>0</v>
      </c>
    </row>
    <row r="141" spans="1:14" x14ac:dyDescent="0.25">
      <c r="A141" s="56">
        <f t="shared" si="19"/>
        <v>0</v>
      </c>
      <c r="G141" s="13"/>
      <c r="H141" s="35">
        <v>136</v>
      </c>
      <c r="I141" s="36" t="str">
        <f t="shared" si="15"/>
        <v/>
      </c>
      <c r="J141" s="35">
        <f t="shared" si="20"/>
        <v>-6</v>
      </c>
      <c r="K141" s="35">
        <f t="shared" si="16"/>
        <v>-60</v>
      </c>
      <c r="L141" s="35"/>
      <c r="M141" s="37">
        <f t="shared" si="17"/>
        <v>0</v>
      </c>
      <c r="N141" s="37">
        <f t="shared" si="18"/>
        <v>0</v>
      </c>
    </row>
    <row r="142" spans="1:14" x14ac:dyDescent="0.25">
      <c r="A142" s="56">
        <f t="shared" si="19"/>
        <v>0</v>
      </c>
      <c r="G142" s="13"/>
      <c r="H142" s="35">
        <v>137</v>
      </c>
      <c r="I142" s="36" t="str">
        <f t="shared" si="15"/>
        <v/>
      </c>
      <c r="J142" s="35">
        <f t="shared" si="20"/>
        <v>-6</v>
      </c>
      <c r="K142" s="35">
        <f t="shared" si="16"/>
        <v>-60</v>
      </c>
      <c r="L142" s="35"/>
      <c r="M142" s="37">
        <f t="shared" si="17"/>
        <v>0</v>
      </c>
      <c r="N142" s="37">
        <f t="shared" si="18"/>
        <v>0</v>
      </c>
    </row>
    <row r="143" spans="1:14" x14ac:dyDescent="0.25">
      <c r="A143" s="56">
        <f t="shared" si="19"/>
        <v>0</v>
      </c>
      <c r="G143" s="13"/>
      <c r="H143" s="35">
        <v>138</v>
      </c>
      <c r="I143" s="36" t="str">
        <f t="shared" si="15"/>
        <v/>
      </c>
      <c r="J143" s="35">
        <f t="shared" si="20"/>
        <v>-6</v>
      </c>
      <c r="K143" s="35">
        <f t="shared" si="16"/>
        <v>-60</v>
      </c>
      <c r="L143" s="35"/>
      <c r="M143" s="37">
        <f t="shared" si="17"/>
        <v>0</v>
      </c>
      <c r="N143" s="37">
        <f t="shared" si="18"/>
        <v>0</v>
      </c>
    </row>
    <row r="144" spans="1:14" x14ac:dyDescent="0.25">
      <c r="A144" s="56">
        <f t="shared" si="19"/>
        <v>0</v>
      </c>
      <c r="G144" s="13"/>
      <c r="H144" s="35">
        <v>139</v>
      </c>
      <c r="I144" s="36" t="str">
        <f t="shared" si="15"/>
        <v/>
      </c>
      <c r="J144" s="35">
        <f t="shared" si="20"/>
        <v>-6</v>
      </c>
      <c r="K144" s="35">
        <f t="shared" si="16"/>
        <v>-60</v>
      </c>
      <c r="L144" s="35"/>
      <c r="M144" s="37">
        <f t="shared" si="17"/>
        <v>0</v>
      </c>
      <c r="N144" s="37">
        <f t="shared" si="18"/>
        <v>0</v>
      </c>
    </row>
    <row r="145" spans="1:14" x14ac:dyDescent="0.25">
      <c r="A145" s="56">
        <f t="shared" si="19"/>
        <v>0</v>
      </c>
      <c r="G145" s="13"/>
      <c r="H145" s="35">
        <v>140</v>
      </c>
      <c r="I145" s="36" t="str">
        <f t="shared" si="15"/>
        <v/>
      </c>
      <c r="J145" s="35">
        <f t="shared" si="20"/>
        <v>-6</v>
      </c>
      <c r="K145" s="35">
        <f t="shared" si="16"/>
        <v>-60</v>
      </c>
      <c r="L145" s="35"/>
      <c r="M145" s="37">
        <f t="shared" si="17"/>
        <v>0</v>
      </c>
      <c r="N145" s="37">
        <f t="shared" si="18"/>
        <v>0</v>
      </c>
    </row>
    <row r="146" spans="1:14" x14ac:dyDescent="0.25">
      <c r="A146" s="56">
        <f t="shared" si="19"/>
        <v>0</v>
      </c>
      <c r="G146" s="13"/>
      <c r="H146" s="35">
        <v>141</v>
      </c>
      <c r="I146" s="36" t="str">
        <f t="shared" si="15"/>
        <v/>
      </c>
      <c r="J146" s="35">
        <f t="shared" si="20"/>
        <v>-6</v>
      </c>
      <c r="K146" s="35">
        <f t="shared" si="16"/>
        <v>-60</v>
      </c>
      <c r="L146" s="35"/>
      <c r="M146" s="37">
        <f t="shared" si="17"/>
        <v>0</v>
      </c>
      <c r="N146" s="37">
        <f t="shared" si="18"/>
        <v>0</v>
      </c>
    </row>
    <row r="147" spans="1:14" x14ac:dyDescent="0.25">
      <c r="A147" s="56">
        <f t="shared" si="19"/>
        <v>0</v>
      </c>
      <c r="G147" s="13"/>
      <c r="H147" s="35">
        <v>142</v>
      </c>
      <c r="I147" s="36" t="str">
        <f t="shared" si="15"/>
        <v/>
      </c>
      <c r="J147" s="35">
        <f t="shared" si="20"/>
        <v>-6</v>
      </c>
      <c r="K147" s="35">
        <f t="shared" si="16"/>
        <v>-60</v>
      </c>
      <c r="L147" s="35"/>
      <c r="M147" s="37">
        <f t="shared" si="17"/>
        <v>0</v>
      </c>
      <c r="N147" s="37">
        <f t="shared" si="18"/>
        <v>0</v>
      </c>
    </row>
    <row r="148" spans="1:14" x14ac:dyDescent="0.25">
      <c r="A148" s="56">
        <f t="shared" si="19"/>
        <v>0</v>
      </c>
      <c r="G148" s="13"/>
      <c r="H148" s="35">
        <v>143</v>
      </c>
      <c r="I148" s="36" t="str">
        <f t="shared" si="15"/>
        <v/>
      </c>
      <c r="J148" s="35">
        <f t="shared" si="20"/>
        <v>-6</v>
      </c>
      <c r="K148" s="35">
        <f t="shared" si="16"/>
        <v>-60</v>
      </c>
      <c r="L148" s="35"/>
      <c r="M148" s="37">
        <f t="shared" si="17"/>
        <v>0</v>
      </c>
      <c r="N148" s="37">
        <f t="shared" si="18"/>
        <v>0</v>
      </c>
    </row>
    <row r="149" spans="1:14" x14ac:dyDescent="0.25">
      <c r="A149" s="56">
        <f t="shared" si="19"/>
        <v>0</v>
      </c>
      <c r="G149" s="13"/>
      <c r="H149" s="35">
        <v>144</v>
      </c>
      <c r="I149" s="36" t="str">
        <f t="shared" si="15"/>
        <v/>
      </c>
      <c r="J149" s="35">
        <f t="shared" si="20"/>
        <v>-6</v>
      </c>
      <c r="K149" s="35">
        <f t="shared" si="16"/>
        <v>-60</v>
      </c>
      <c r="L149" s="35"/>
      <c r="M149" s="37">
        <f t="shared" si="17"/>
        <v>0</v>
      </c>
      <c r="N149" s="37">
        <f t="shared" si="18"/>
        <v>0</v>
      </c>
    </row>
    <row r="150" spans="1:14" x14ac:dyDescent="0.25">
      <c r="A150" s="56">
        <f t="shared" si="19"/>
        <v>0</v>
      </c>
      <c r="G150" s="13"/>
      <c r="H150" s="35">
        <v>145</v>
      </c>
      <c r="I150" s="36" t="str">
        <f t="shared" si="15"/>
        <v/>
      </c>
      <c r="J150" s="35">
        <f t="shared" si="20"/>
        <v>-6</v>
      </c>
      <c r="K150" s="35">
        <f t="shared" si="16"/>
        <v>-60</v>
      </c>
      <c r="L150" s="35"/>
      <c r="M150" s="37">
        <f t="shared" si="17"/>
        <v>0</v>
      </c>
      <c r="N150" s="37">
        <f t="shared" si="18"/>
        <v>0</v>
      </c>
    </row>
    <row r="151" spans="1:14" x14ac:dyDescent="0.25">
      <c r="A151" s="56">
        <f t="shared" si="19"/>
        <v>0</v>
      </c>
      <c r="G151" s="13"/>
      <c r="H151" s="35">
        <v>146</v>
      </c>
      <c r="I151" s="36" t="str">
        <f t="shared" si="15"/>
        <v/>
      </c>
      <c r="J151" s="35">
        <f t="shared" si="20"/>
        <v>-6</v>
      </c>
      <c r="K151" s="35">
        <f t="shared" si="16"/>
        <v>-60</v>
      </c>
      <c r="L151" s="35"/>
      <c r="M151" s="37">
        <f t="shared" si="17"/>
        <v>0</v>
      </c>
      <c r="N151" s="37">
        <f t="shared" si="18"/>
        <v>0</v>
      </c>
    </row>
    <row r="152" spans="1:14" x14ac:dyDescent="0.25">
      <c r="A152" s="56">
        <f t="shared" si="19"/>
        <v>0</v>
      </c>
      <c r="G152" s="13"/>
      <c r="H152" s="35">
        <v>147</v>
      </c>
      <c r="I152" s="36" t="str">
        <f t="shared" si="15"/>
        <v/>
      </c>
      <c r="J152" s="35">
        <f t="shared" si="20"/>
        <v>-6</v>
      </c>
      <c r="K152" s="35">
        <f t="shared" si="16"/>
        <v>-60</v>
      </c>
      <c r="L152" s="35"/>
      <c r="M152" s="37">
        <f t="shared" si="17"/>
        <v>0</v>
      </c>
      <c r="N152" s="37">
        <f t="shared" si="18"/>
        <v>0</v>
      </c>
    </row>
    <row r="153" spans="1:14" x14ac:dyDescent="0.25">
      <c r="A153" s="56">
        <f t="shared" si="19"/>
        <v>0</v>
      </c>
      <c r="G153" s="13"/>
      <c r="H153" s="35">
        <v>148</v>
      </c>
      <c r="I153" s="36" t="str">
        <f t="shared" si="15"/>
        <v/>
      </c>
      <c r="J153" s="35">
        <f t="shared" si="20"/>
        <v>-6</v>
      </c>
      <c r="K153" s="35">
        <f t="shared" si="16"/>
        <v>-60</v>
      </c>
      <c r="L153" s="35"/>
      <c r="M153" s="37">
        <f t="shared" si="17"/>
        <v>0</v>
      </c>
      <c r="N153" s="37">
        <f t="shared" si="18"/>
        <v>0</v>
      </c>
    </row>
    <row r="154" spans="1:14" x14ac:dyDescent="0.25">
      <c r="A154" s="56">
        <f t="shared" si="19"/>
        <v>0</v>
      </c>
      <c r="G154" s="13"/>
      <c r="H154" s="35">
        <v>149</v>
      </c>
      <c r="I154" s="36" t="str">
        <f t="shared" si="15"/>
        <v/>
      </c>
      <c r="J154" s="35">
        <f t="shared" si="20"/>
        <v>-6</v>
      </c>
      <c r="K154" s="35">
        <f t="shared" si="16"/>
        <v>-60</v>
      </c>
      <c r="L154" s="35"/>
      <c r="M154" s="37">
        <f t="shared" si="17"/>
        <v>0</v>
      </c>
      <c r="N154" s="37">
        <f t="shared" si="18"/>
        <v>0</v>
      </c>
    </row>
    <row r="155" spans="1:14" x14ac:dyDescent="0.25">
      <c r="A155" s="56">
        <f t="shared" si="19"/>
        <v>0</v>
      </c>
      <c r="G155" s="13"/>
      <c r="H155" s="35">
        <v>150</v>
      </c>
      <c r="I155" s="36" t="str">
        <f t="shared" si="15"/>
        <v/>
      </c>
      <c r="J155" s="35">
        <f t="shared" si="20"/>
        <v>-6</v>
      </c>
      <c r="K155" s="35">
        <f t="shared" si="16"/>
        <v>-60</v>
      </c>
      <c r="L155" s="35"/>
      <c r="M155" s="37">
        <f t="shared" si="17"/>
        <v>0</v>
      </c>
      <c r="N155" s="37">
        <f t="shared" si="18"/>
        <v>0</v>
      </c>
    </row>
    <row r="156" spans="1:14" x14ac:dyDescent="0.25">
      <c r="A156" s="56">
        <f t="shared" si="19"/>
        <v>0</v>
      </c>
      <c r="G156" s="13"/>
      <c r="H156" s="35">
        <v>151</v>
      </c>
      <c r="I156" s="36" t="str">
        <f t="shared" si="15"/>
        <v/>
      </c>
      <c r="J156" s="35">
        <f t="shared" si="20"/>
        <v>-6</v>
      </c>
      <c r="K156" s="35">
        <f t="shared" si="16"/>
        <v>-60</v>
      </c>
      <c r="L156" s="35"/>
      <c r="M156" s="37">
        <f t="shared" si="17"/>
        <v>0</v>
      </c>
      <c r="N156" s="37">
        <f t="shared" si="18"/>
        <v>0</v>
      </c>
    </row>
    <row r="157" spans="1:14" x14ac:dyDescent="0.25">
      <c r="A157" s="56">
        <f t="shared" si="19"/>
        <v>0</v>
      </c>
      <c r="G157" s="13"/>
      <c r="H157" s="35">
        <v>152</v>
      </c>
      <c r="I157" s="36" t="str">
        <f t="shared" si="15"/>
        <v/>
      </c>
      <c r="J157" s="35">
        <f t="shared" si="20"/>
        <v>-6</v>
      </c>
      <c r="K157" s="35">
        <f t="shared" si="16"/>
        <v>-60</v>
      </c>
      <c r="L157" s="35"/>
      <c r="M157" s="37">
        <f t="shared" si="17"/>
        <v>0</v>
      </c>
      <c r="N157" s="37">
        <f t="shared" si="18"/>
        <v>0</v>
      </c>
    </row>
    <row r="158" spans="1:14" x14ac:dyDescent="0.25">
      <c r="A158" s="56">
        <f t="shared" si="19"/>
        <v>0</v>
      </c>
      <c r="G158" s="13"/>
      <c r="H158" s="35">
        <v>153</v>
      </c>
      <c r="I158" s="36" t="str">
        <f t="shared" si="15"/>
        <v/>
      </c>
      <c r="J158" s="35">
        <f t="shared" si="20"/>
        <v>-6</v>
      </c>
      <c r="K158" s="35">
        <f t="shared" si="16"/>
        <v>-60</v>
      </c>
      <c r="L158" s="35"/>
      <c r="M158" s="37">
        <f t="shared" si="17"/>
        <v>0</v>
      </c>
      <c r="N158" s="37">
        <f t="shared" si="18"/>
        <v>0</v>
      </c>
    </row>
    <row r="159" spans="1:14" x14ac:dyDescent="0.25">
      <c r="A159" s="56">
        <f t="shared" si="19"/>
        <v>0</v>
      </c>
      <c r="G159" s="13"/>
      <c r="H159" s="35">
        <v>154</v>
      </c>
      <c r="I159" s="36" t="str">
        <f t="shared" si="15"/>
        <v/>
      </c>
      <c r="J159" s="35">
        <f t="shared" si="20"/>
        <v>-6</v>
      </c>
      <c r="K159" s="35">
        <f t="shared" si="16"/>
        <v>-60</v>
      </c>
      <c r="L159" s="35"/>
      <c r="M159" s="37">
        <f t="shared" si="17"/>
        <v>0</v>
      </c>
      <c r="N159" s="37">
        <f t="shared" si="18"/>
        <v>0</v>
      </c>
    </row>
    <row r="160" spans="1:14" x14ac:dyDescent="0.25">
      <c r="A160" s="56">
        <f t="shared" si="19"/>
        <v>0</v>
      </c>
      <c r="G160" s="13"/>
      <c r="H160" s="35">
        <v>155</v>
      </c>
      <c r="I160" s="36" t="str">
        <f t="shared" si="15"/>
        <v/>
      </c>
      <c r="J160" s="35">
        <f t="shared" si="20"/>
        <v>-6</v>
      </c>
      <c r="K160" s="35">
        <f t="shared" si="16"/>
        <v>-60</v>
      </c>
      <c r="L160" s="35"/>
      <c r="M160" s="37">
        <f t="shared" si="17"/>
        <v>0</v>
      </c>
      <c r="N160" s="37">
        <f t="shared" si="18"/>
        <v>0</v>
      </c>
    </row>
    <row r="161" spans="1:14" x14ac:dyDescent="0.25">
      <c r="A161" s="56">
        <f t="shared" si="19"/>
        <v>0</v>
      </c>
      <c r="G161" s="13"/>
      <c r="H161" s="35">
        <v>156</v>
      </c>
      <c r="I161" s="36" t="str">
        <f t="shared" si="15"/>
        <v/>
      </c>
      <c r="J161" s="35">
        <f t="shared" si="20"/>
        <v>-6</v>
      </c>
      <c r="K161" s="35">
        <f t="shared" si="16"/>
        <v>-60</v>
      </c>
      <c r="L161" s="35"/>
      <c r="M161" s="37">
        <f t="shared" si="17"/>
        <v>0</v>
      </c>
      <c r="N161" s="37">
        <f t="shared" si="18"/>
        <v>0</v>
      </c>
    </row>
    <row r="162" spans="1:14" x14ac:dyDescent="0.25">
      <c r="A162" s="56">
        <f t="shared" si="19"/>
        <v>0</v>
      </c>
      <c r="G162" s="13"/>
      <c r="H162" s="35">
        <v>157</v>
      </c>
      <c r="I162" s="36" t="str">
        <f t="shared" si="15"/>
        <v/>
      </c>
      <c r="J162" s="35">
        <f t="shared" si="20"/>
        <v>-6</v>
      </c>
      <c r="K162" s="35">
        <f t="shared" si="16"/>
        <v>-60</v>
      </c>
      <c r="L162" s="35"/>
      <c r="M162" s="37">
        <f t="shared" si="17"/>
        <v>0</v>
      </c>
      <c r="N162" s="37">
        <f t="shared" si="18"/>
        <v>0</v>
      </c>
    </row>
    <row r="163" spans="1:14" x14ac:dyDescent="0.25">
      <c r="A163" s="56">
        <f t="shared" si="19"/>
        <v>0</v>
      </c>
      <c r="G163" s="13"/>
      <c r="H163" s="35">
        <v>158</v>
      </c>
      <c r="I163" s="36" t="str">
        <f t="shared" si="15"/>
        <v/>
      </c>
      <c r="J163" s="35">
        <f t="shared" si="20"/>
        <v>-6</v>
      </c>
      <c r="K163" s="35">
        <f t="shared" si="16"/>
        <v>-60</v>
      </c>
      <c r="L163" s="35"/>
      <c r="M163" s="37">
        <f t="shared" si="17"/>
        <v>0</v>
      </c>
      <c r="N163" s="37">
        <f t="shared" si="18"/>
        <v>0</v>
      </c>
    </row>
    <row r="164" spans="1:14" x14ac:dyDescent="0.25">
      <c r="A164" s="56">
        <f t="shared" si="19"/>
        <v>0</v>
      </c>
      <c r="G164" s="13"/>
      <c r="H164" s="35">
        <v>159</v>
      </c>
      <c r="I164" s="36" t="str">
        <f t="shared" si="15"/>
        <v/>
      </c>
      <c r="J164" s="35">
        <f t="shared" si="20"/>
        <v>-6</v>
      </c>
      <c r="K164" s="35">
        <f t="shared" si="16"/>
        <v>-60</v>
      </c>
      <c r="L164" s="35"/>
      <c r="M164" s="37">
        <f t="shared" si="17"/>
        <v>0</v>
      </c>
      <c r="N164" s="37">
        <f t="shared" si="18"/>
        <v>0</v>
      </c>
    </row>
    <row r="165" spans="1:14" x14ac:dyDescent="0.25">
      <c r="A165" s="56">
        <f t="shared" si="19"/>
        <v>0</v>
      </c>
      <c r="G165" s="13"/>
      <c r="H165" s="35">
        <v>160</v>
      </c>
      <c r="I165" s="36" t="str">
        <f t="shared" si="15"/>
        <v/>
      </c>
      <c r="J165" s="35">
        <f t="shared" si="20"/>
        <v>-6</v>
      </c>
      <c r="K165" s="35">
        <f t="shared" si="16"/>
        <v>-60</v>
      </c>
      <c r="L165" s="35"/>
      <c r="M165" s="37">
        <f t="shared" si="17"/>
        <v>0</v>
      </c>
      <c r="N165" s="37">
        <f t="shared" si="18"/>
        <v>0</v>
      </c>
    </row>
    <row r="166" spans="1:14" x14ac:dyDescent="0.25">
      <c r="A166" s="56">
        <f t="shared" si="19"/>
        <v>0</v>
      </c>
      <c r="G166" s="13"/>
      <c r="H166" s="35">
        <v>161</v>
      </c>
      <c r="I166" s="36" t="str">
        <f t="shared" si="15"/>
        <v/>
      </c>
      <c r="J166" s="35">
        <f t="shared" si="20"/>
        <v>-6</v>
      </c>
      <c r="K166" s="35">
        <f t="shared" si="16"/>
        <v>-60</v>
      </c>
      <c r="L166" s="35"/>
      <c r="M166" s="37">
        <f t="shared" si="17"/>
        <v>0</v>
      </c>
      <c r="N166" s="37">
        <f t="shared" si="18"/>
        <v>0</v>
      </c>
    </row>
    <row r="167" spans="1:14" x14ac:dyDescent="0.25">
      <c r="A167" s="56">
        <f t="shared" si="19"/>
        <v>0</v>
      </c>
      <c r="G167" s="13"/>
      <c r="H167" s="35">
        <v>162</v>
      </c>
      <c r="I167" s="36" t="str">
        <f t="shared" si="15"/>
        <v/>
      </c>
      <c r="J167" s="35">
        <f t="shared" si="20"/>
        <v>-6</v>
      </c>
      <c r="K167" s="35">
        <f t="shared" si="16"/>
        <v>-60</v>
      </c>
      <c r="L167" s="35"/>
      <c r="M167" s="37">
        <f t="shared" si="17"/>
        <v>0</v>
      </c>
      <c r="N167" s="37">
        <f t="shared" si="18"/>
        <v>0</v>
      </c>
    </row>
    <row r="168" spans="1:14" x14ac:dyDescent="0.25">
      <c r="A168" s="56">
        <f t="shared" si="19"/>
        <v>0</v>
      </c>
      <c r="G168" s="13"/>
      <c r="H168" s="35">
        <v>163</v>
      </c>
      <c r="I168" s="36" t="str">
        <f t="shared" si="15"/>
        <v/>
      </c>
      <c r="J168" s="35">
        <f t="shared" si="20"/>
        <v>-6</v>
      </c>
      <c r="K168" s="35">
        <f t="shared" si="16"/>
        <v>-60</v>
      </c>
      <c r="L168" s="35"/>
      <c r="M168" s="37">
        <f t="shared" si="17"/>
        <v>0</v>
      </c>
      <c r="N168" s="37">
        <f t="shared" si="18"/>
        <v>0</v>
      </c>
    </row>
    <row r="169" spans="1:14" x14ac:dyDescent="0.25">
      <c r="A169" s="56">
        <f t="shared" si="19"/>
        <v>0</v>
      </c>
      <c r="G169" s="13"/>
      <c r="H169" s="35">
        <v>164</v>
      </c>
      <c r="I169" s="36" t="str">
        <f t="shared" si="15"/>
        <v/>
      </c>
      <c r="J169" s="35">
        <f t="shared" si="20"/>
        <v>-6</v>
      </c>
      <c r="K169" s="35">
        <f t="shared" si="16"/>
        <v>-60</v>
      </c>
      <c r="L169" s="35"/>
      <c r="M169" s="37">
        <f t="shared" si="17"/>
        <v>0</v>
      </c>
      <c r="N169" s="37">
        <f t="shared" si="18"/>
        <v>0</v>
      </c>
    </row>
    <row r="170" spans="1:14" x14ac:dyDescent="0.25">
      <c r="A170" s="56">
        <f t="shared" si="19"/>
        <v>0</v>
      </c>
      <c r="G170" s="13"/>
      <c r="H170" s="35">
        <v>165</v>
      </c>
      <c r="I170" s="36" t="str">
        <f t="shared" si="15"/>
        <v/>
      </c>
      <c r="J170" s="35">
        <f t="shared" si="20"/>
        <v>-6</v>
      </c>
      <c r="K170" s="35">
        <f t="shared" si="16"/>
        <v>-60</v>
      </c>
      <c r="L170" s="35"/>
      <c r="M170" s="37">
        <f t="shared" si="17"/>
        <v>0</v>
      </c>
      <c r="N170" s="37">
        <f t="shared" si="18"/>
        <v>0</v>
      </c>
    </row>
    <row r="171" spans="1:14" x14ac:dyDescent="0.25">
      <c r="A171" s="56">
        <f t="shared" si="19"/>
        <v>0</v>
      </c>
      <c r="G171" s="13"/>
      <c r="H171" s="35">
        <v>166</v>
      </c>
      <c r="I171" s="36" t="str">
        <f t="shared" si="15"/>
        <v/>
      </c>
      <c r="J171" s="35">
        <f t="shared" si="20"/>
        <v>-6</v>
      </c>
      <c r="K171" s="35">
        <f t="shared" si="16"/>
        <v>-60</v>
      </c>
      <c r="L171" s="35"/>
      <c r="M171" s="37">
        <f t="shared" si="17"/>
        <v>0</v>
      </c>
      <c r="N171" s="37">
        <f t="shared" si="18"/>
        <v>0</v>
      </c>
    </row>
    <row r="172" spans="1:14" x14ac:dyDescent="0.25">
      <c r="A172" s="56">
        <f t="shared" si="19"/>
        <v>0</v>
      </c>
      <c r="G172" s="13"/>
      <c r="H172" s="35">
        <v>167</v>
      </c>
      <c r="I172" s="36" t="str">
        <f t="shared" si="15"/>
        <v/>
      </c>
      <c r="J172" s="35">
        <f t="shared" si="20"/>
        <v>-6</v>
      </c>
      <c r="K172" s="35">
        <f t="shared" si="16"/>
        <v>-60</v>
      </c>
      <c r="L172" s="35"/>
      <c r="M172" s="37">
        <f t="shared" si="17"/>
        <v>0</v>
      </c>
      <c r="N172" s="37">
        <f t="shared" si="18"/>
        <v>0</v>
      </c>
    </row>
    <row r="173" spans="1:14" x14ac:dyDescent="0.25">
      <c r="A173" s="56">
        <f t="shared" si="19"/>
        <v>0</v>
      </c>
      <c r="G173" s="13"/>
      <c r="H173" s="35">
        <v>168</v>
      </c>
      <c r="I173" s="36" t="str">
        <f t="shared" si="15"/>
        <v/>
      </c>
      <c r="J173" s="35">
        <f t="shared" si="20"/>
        <v>-6</v>
      </c>
      <c r="K173" s="35">
        <f t="shared" si="16"/>
        <v>-60</v>
      </c>
      <c r="L173" s="35"/>
      <c r="M173" s="37">
        <f t="shared" si="17"/>
        <v>0</v>
      </c>
      <c r="N173" s="37">
        <f t="shared" si="18"/>
        <v>0</v>
      </c>
    </row>
    <row r="174" spans="1:14" x14ac:dyDescent="0.25">
      <c r="A174" s="56">
        <f t="shared" si="19"/>
        <v>0</v>
      </c>
      <c r="G174" s="13"/>
      <c r="H174" s="35">
        <v>169</v>
      </c>
      <c r="I174" s="36" t="str">
        <f t="shared" si="15"/>
        <v/>
      </c>
      <c r="J174" s="35">
        <f t="shared" si="20"/>
        <v>-6</v>
      </c>
      <c r="K174" s="35">
        <f t="shared" si="16"/>
        <v>-60</v>
      </c>
      <c r="L174" s="35"/>
      <c r="M174" s="37">
        <f t="shared" si="17"/>
        <v>0</v>
      </c>
      <c r="N174" s="37">
        <f t="shared" si="18"/>
        <v>0</v>
      </c>
    </row>
    <row r="175" spans="1:14" x14ac:dyDescent="0.25">
      <c r="A175" s="56">
        <f t="shared" si="19"/>
        <v>0</v>
      </c>
      <c r="G175" s="13"/>
      <c r="H175" s="35">
        <v>170</v>
      </c>
      <c r="I175" s="36" t="str">
        <f t="shared" si="15"/>
        <v/>
      </c>
      <c r="J175" s="35">
        <f t="shared" si="20"/>
        <v>-6</v>
      </c>
      <c r="K175" s="35">
        <f t="shared" si="16"/>
        <v>-60</v>
      </c>
      <c r="L175" s="35"/>
      <c r="M175" s="37">
        <f t="shared" si="17"/>
        <v>0</v>
      </c>
      <c r="N175" s="37">
        <f t="shared" si="18"/>
        <v>0</v>
      </c>
    </row>
    <row r="176" spans="1:14" x14ac:dyDescent="0.25">
      <c r="A176" s="56">
        <f t="shared" si="19"/>
        <v>0</v>
      </c>
      <c r="G176" s="13"/>
      <c r="H176" s="35">
        <v>171</v>
      </c>
      <c r="I176" s="36" t="str">
        <f t="shared" si="15"/>
        <v/>
      </c>
      <c r="J176" s="35">
        <f t="shared" si="20"/>
        <v>-6</v>
      </c>
      <c r="K176" s="35">
        <f t="shared" si="16"/>
        <v>-60</v>
      </c>
      <c r="L176" s="35"/>
      <c r="M176" s="37">
        <f t="shared" si="17"/>
        <v>0</v>
      </c>
      <c r="N176" s="37">
        <f t="shared" si="18"/>
        <v>0</v>
      </c>
    </row>
    <row r="177" spans="1:14" x14ac:dyDescent="0.25">
      <c r="A177" s="56">
        <f t="shared" si="19"/>
        <v>0</v>
      </c>
      <c r="G177" s="13"/>
      <c r="H177" s="35">
        <v>172</v>
      </c>
      <c r="I177" s="36" t="str">
        <f t="shared" si="15"/>
        <v/>
      </c>
      <c r="J177" s="35">
        <f t="shared" si="20"/>
        <v>-6</v>
      </c>
      <c r="K177" s="35">
        <f t="shared" si="16"/>
        <v>-60</v>
      </c>
      <c r="L177" s="35"/>
      <c r="M177" s="37">
        <f t="shared" si="17"/>
        <v>0</v>
      </c>
      <c r="N177" s="37">
        <f t="shared" si="18"/>
        <v>0</v>
      </c>
    </row>
    <row r="178" spans="1:14" x14ac:dyDescent="0.25">
      <c r="A178" s="56">
        <f t="shared" si="19"/>
        <v>0</v>
      </c>
      <c r="G178" s="13"/>
      <c r="H178" s="35">
        <v>173</v>
      </c>
      <c r="I178" s="36" t="str">
        <f t="shared" si="15"/>
        <v/>
      </c>
      <c r="J178" s="35">
        <f t="shared" si="20"/>
        <v>-6</v>
      </c>
      <c r="K178" s="35">
        <f t="shared" si="16"/>
        <v>-60</v>
      </c>
      <c r="L178" s="35"/>
      <c r="M178" s="37">
        <f t="shared" si="17"/>
        <v>0</v>
      </c>
      <c r="N178" s="37">
        <f t="shared" si="18"/>
        <v>0</v>
      </c>
    </row>
    <row r="179" spans="1:14" x14ac:dyDescent="0.25">
      <c r="A179" s="56">
        <f t="shared" si="19"/>
        <v>0</v>
      </c>
      <c r="G179" s="13"/>
      <c r="H179" s="35">
        <v>174</v>
      </c>
      <c r="I179" s="36" t="str">
        <f t="shared" si="15"/>
        <v/>
      </c>
      <c r="J179" s="35">
        <f t="shared" si="20"/>
        <v>-6</v>
      </c>
      <c r="K179" s="35">
        <f t="shared" si="16"/>
        <v>-60</v>
      </c>
      <c r="L179" s="35"/>
      <c r="M179" s="37">
        <f t="shared" si="17"/>
        <v>0</v>
      </c>
      <c r="N179" s="37">
        <f t="shared" si="18"/>
        <v>0</v>
      </c>
    </row>
    <row r="180" spans="1:14" x14ac:dyDescent="0.25">
      <c r="A180" s="56">
        <f t="shared" si="19"/>
        <v>0</v>
      </c>
      <c r="G180" s="13"/>
      <c r="H180" s="35">
        <v>175</v>
      </c>
      <c r="I180" s="36" t="str">
        <f t="shared" si="15"/>
        <v/>
      </c>
      <c r="J180" s="35">
        <f t="shared" si="20"/>
        <v>-6</v>
      </c>
      <c r="K180" s="35">
        <f t="shared" si="16"/>
        <v>-60</v>
      </c>
      <c r="L180" s="35"/>
      <c r="M180" s="37">
        <f t="shared" si="17"/>
        <v>0</v>
      </c>
      <c r="N180" s="37">
        <f t="shared" si="18"/>
        <v>0</v>
      </c>
    </row>
    <row r="181" spans="1:14" x14ac:dyDescent="0.25">
      <c r="A181" s="56">
        <f t="shared" si="19"/>
        <v>0</v>
      </c>
      <c r="G181" s="13"/>
      <c r="H181" s="35">
        <v>176</v>
      </c>
      <c r="I181" s="36" t="str">
        <f t="shared" si="15"/>
        <v/>
      </c>
      <c r="J181" s="35">
        <f t="shared" si="20"/>
        <v>-6</v>
      </c>
      <c r="K181" s="35">
        <f t="shared" si="16"/>
        <v>-60</v>
      </c>
      <c r="L181" s="35"/>
      <c r="M181" s="37">
        <f t="shared" si="17"/>
        <v>0</v>
      </c>
      <c r="N181" s="37">
        <f t="shared" si="18"/>
        <v>0</v>
      </c>
    </row>
    <row r="182" spans="1:14" x14ac:dyDescent="0.25">
      <c r="A182" s="56">
        <f t="shared" si="19"/>
        <v>0</v>
      </c>
      <c r="G182" s="13"/>
      <c r="H182" s="35">
        <v>177</v>
      </c>
      <c r="I182" s="36" t="str">
        <f t="shared" si="15"/>
        <v/>
      </c>
      <c r="J182" s="35">
        <f t="shared" si="20"/>
        <v>-6</v>
      </c>
      <c r="K182" s="35">
        <f t="shared" si="16"/>
        <v>-60</v>
      </c>
      <c r="L182" s="35"/>
      <c r="M182" s="37">
        <f t="shared" si="17"/>
        <v>0</v>
      </c>
      <c r="N182" s="37">
        <f t="shared" si="18"/>
        <v>0</v>
      </c>
    </row>
    <row r="183" spans="1:14" x14ac:dyDescent="0.25">
      <c r="A183" s="56">
        <f t="shared" si="19"/>
        <v>0</v>
      </c>
      <c r="G183" s="13"/>
      <c r="H183" s="35">
        <v>178</v>
      </c>
      <c r="I183" s="36" t="str">
        <f t="shared" si="15"/>
        <v/>
      </c>
      <c r="J183" s="35">
        <f t="shared" si="20"/>
        <v>-6</v>
      </c>
      <c r="K183" s="35">
        <f t="shared" si="16"/>
        <v>-60</v>
      </c>
      <c r="L183" s="35"/>
      <c r="M183" s="37">
        <f t="shared" si="17"/>
        <v>0</v>
      </c>
      <c r="N183" s="37">
        <f t="shared" si="18"/>
        <v>0</v>
      </c>
    </row>
    <row r="184" spans="1:14" x14ac:dyDescent="0.25">
      <c r="A184" s="56">
        <f t="shared" si="19"/>
        <v>0</v>
      </c>
      <c r="G184" s="13"/>
      <c r="H184" s="35">
        <v>179</v>
      </c>
      <c r="I184" s="36" t="str">
        <f t="shared" si="15"/>
        <v/>
      </c>
      <c r="J184" s="35">
        <f t="shared" si="20"/>
        <v>-6</v>
      </c>
      <c r="K184" s="35">
        <f t="shared" si="16"/>
        <v>-60</v>
      </c>
      <c r="L184" s="35"/>
      <c r="M184" s="37">
        <f t="shared" si="17"/>
        <v>0</v>
      </c>
      <c r="N184" s="37">
        <f t="shared" si="18"/>
        <v>0</v>
      </c>
    </row>
    <row r="185" spans="1:14" x14ac:dyDescent="0.25">
      <c r="A185" s="56">
        <f t="shared" si="19"/>
        <v>0</v>
      </c>
      <c r="G185" s="13"/>
      <c r="H185" s="35">
        <v>180</v>
      </c>
      <c r="I185" s="36" t="str">
        <f t="shared" si="15"/>
        <v/>
      </c>
      <c r="J185" s="35">
        <f t="shared" si="20"/>
        <v>-6</v>
      </c>
      <c r="K185" s="35">
        <f t="shared" si="16"/>
        <v>-60</v>
      </c>
      <c r="L185" s="35"/>
      <c r="M185" s="37">
        <f t="shared" si="17"/>
        <v>0</v>
      </c>
      <c r="N185" s="37">
        <f t="shared" si="18"/>
        <v>0</v>
      </c>
    </row>
    <row r="186" spans="1:14" x14ac:dyDescent="0.25">
      <c r="A186" s="56">
        <f t="shared" si="19"/>
        <v>0</v>
      </c>
      <c r="G186" s="13"/>
      <c r="H186" s="35">
        <v>181</v>
      </c>
      <c r="I186" s="36" t="str">
        <f t="shared" si="15"/>
        <v/>
      </c>
      <c r="J186" s="35">
        <f t="shared" si="20"/>
        <v>-6</v>
      </c>
      <c r="K186" s="35">
        <f t="shared" si="16"/>
        <v>-60</v>
      </c>
      <c r="L186" s="35"/>
      <c r="M186" s="37">
        <f t="shared" si="17"/>
        <v>0</v>
      </c>
      <c r="N186" s="37">
        <f t="shared" si="18"/>
        <v>0</v>
      </c>
    </row>
    <row r="187" spans="1:14" x14ac:dyDescent="0.25">
      <c r="A187" s="56">
        <f t="shared" si="19"/>
        <v>0</v>
      </c>
      <c r="G187" s="13"/>
      <c r="H187" s="35">
        <v>182</v>
      </c>
      <c r="I187" s="36" t="str">
        <f t="shared" si="15"/>
        <v/>
      </c>
      <c r="J187" s="35">
        <f t="shared" si="20"/>
        <v>-6</v>
      </c>
      <c r="K187" s="35">
        <f t="shared" si="16"/>
        <v>-60</v>
      </c>
      <c r="L187" s="35"/>
      <c r="M187" s="37">
        <f t="shared" si="17"/>
        <v>0</v>
      </c>
      <c r="N187" s="37">
        <f t="shared" si="18"/>
        <v>0</v>
      </c>
    </row>
    <row r="188" spans="1:14" x14ac:dyDescent="0.25">
      <c r="A188" s="56">
        <f t="shared" si="19"/>
        <v>0</v>
      </c>
      <c r="G188" s="13"/>
      <c r="H188" s="35">
        <v>183</v>
      </c>
      <c r="I188" s="36" t="str">
        <f t="shared" si="15"/>
        <v/>
      </c>
      <c r="J188" s="35">
        <f t="shared" si="20"/>
        <v>-6</v>
      </c>
      <c r="K188" s="35">
        <f t="shared" si="16"/>
        <v>-60</v>
      </c>
      <c r="L188" s="35"/>
      <c r="M188" s="37">
        <f t="shared" si="17"/>
        <v>0</v>
      </c>
      <c r="N188" s="37">
        <f t="shared" si="18"/>
        <v>0</v>
      </c>
    </row>
    <row r="189" spans="1:14" x14ac:dyDescent="0.25">
      <c r="A189" s="56">
        <f t="shared" si="19"/>
        <v>0</v>
      </c>
      <c r="G189" s="13"/>
      <c r="H189" s="35">
        <v>184</v>
      </c>
      <c r="I189" s="36" t="str">
        <f t="shared" si="15"/>
        <v/>
      </c>
      <c r="J189" s="35">
        <f t="shared" si="20"/>
        <v>-6</v>
      </c>
      <c r="K189" s="35">
        <f t="shared" si="16"/>
        <v>-60</v>
      </c>
      <c r="L189" s="35"/>
      <c r="M189" s="37">
        <f t="shared" si="17"/>
        <v>0</v>
      </c>
      <c r="N189" s="37">
        <f t="shared" si="18"/>
        <v>0</v>
      </c>
    </row>
    <row r="190" spans="1:14" x14ac:dyDescent="0.25">
      <c r="A190" s="56">
        <f t="shared" si="19"/>
        <v>0</v>
      </c>
      <c r="G190" s="13"/>
      <c r="H190" s="35">
        <v>185</v>
      </c>
      <c r="I190" s="36" t="str">
        <f t="shared" si="15"/>
        <v/>
      </c>
      <c r="J190" s="35">
        <f t="shared" si="20"/>
        <v>-6</v>
      </c>
      <c r="K190" s="35">
        <f t="shared" si="16"/>
        <v>-60</v>
      </c>
      <c r="L190" s="35"/>
      <c r="M190" s="37">
        <f t="shared" si="17"/>
        <v>0</v>
      </c>
      <c r="N190" s="37">
        <f t="shared" si="18"/>
        <v>0</v>
      </c>
    </row>
    <row r="191" spans="1:14" x14ac:dyDescent="0.25">
      <c r="A191" s="56">
        <f t="shared" si="19"/>
        <v>0</v>
      </c>
      <c r="G191" s="13"/>
      <c r="H191" s="35">
        <v>186</v>
      </c>
      <c r="I191" s="36" t="str">
        <f t="shared" si="15"/>
        <v/>
      </c>
      <c r="J191" s="35">
        <f t="shared" si="20"/>
        <v>-6</v>
      </c>
      <c r="K191" s="35">
        <f t="shared" si="16"/>
        <v>-60</v>
      </c>
      <c r="L191" s="35"/>
      <c r="M191" s="37">
        <f t="shared" si="17"/>
        <v>0</v>
      </c>
      <c r="N191" s="37">
        <f t="shared" si="18"/>
        <v>0</v>
      </c>
    </row>
    <row r="192" spans="1:14" x14ac:dyDescent="0.25">
      <c r="A192" s="56">
        <f t="shared" si="19"/>
        <v>0</v>
      </c>
      <c r="G192" s="13"/>
      <c r="H192" s="35">
        <v>187</v>
      </c>
      <c r="I192" s="36" t="str">
        <f t="shared" si="15"/>
        <v/>
      </c>
      <c r="J192" s="35">
        <f t="shared" si="20"/>
        <v>-6</v>
      </c>
      <c r="K192" s="35">
        <f t="shared" si="16"/>
        <v>-60</v>
      </c>
      <c r="L192" s="35"/>
      <c r="M192" s="37">
        <f t="shared" si="17"/>
        <v>0</v>
      </c>
      <c r="N192" s="37">
        <f t="shared" si="18"/>
        <v>0</v>
      </c>
    </row>
    <row r="193" spans="1:14" x14ac:dyDescent="0.25">
      <c r="A193" s="56">
        <f t="shared" si="19"/>
        <v>0</v>
      </c>
      <c r="G193" s="13"/>
      <c r="H193" s="35">
        <v>188</v>
      </c>
      <c r="I193" s="36" t="str">
        <f t="shared" si="15"/>
        <v/>
      </c>
      <c r="J193" s="35">
        <f t="shared" si="20"/>
        <v>-6</v>
      </c>
      <c r="K193" s="35">
        <f t="shared" si="16"/>
        <v>-60</v>
      </c>
      <c r="L193" s="35"/>
      <c r="M193" s="37">
        <f t="shared" si="17"/>
        <v>0</v>
      </c>
      <c r="N193" s="37">
        <f t="shared" si="18"/>
        <v>0</v>
      </c>
    </row>
    <row r="194" spans="1:14" x14ac:dyDescent="0.25">
      <c r="A194" s="56">
        <f t="shared" si="19"/>
        <v>0</v>
      </c>
      <c r="G194" s="13"/>
      <c r="H194" s="35">
        <v>189</v>
      </c>
      <c r="I194" s="36" t="str">
        <f t="shared" si="15"/>
        <v/>
      </c>
      <c r="J194" s="35">
        <f t="shared" si="20"/>
        <v>-6</v>
      </c>
      <c r="K194" s="35">
        <f t="shared" si="16"/>
        <v>-60</v>
      </c>
      <c r="L194" s="35"/>
      <c r="M194" s="37">
        <f t="shared" si="17"/>
        <v>0</v>
      </c>
      <c r="N194" s="37">
        <f t="shared" si="18"/>
        <v>0</v>
      </c>
    </row>
    <row r="195" spans="1:14" x14ac:dyDescent="0.25">
      <c r="A195" s="56">
        <f t="shared" si="19"/>
        <v>0</v>
      </c>
      <c r="G195" s="13"/>
      <c r="H195" s="35">
        <v>190</v>
      </c>
      <c r="I195" s="36" t="str">
        <f t="shared" si="15"/>
        <v/>
      </c>
      <c r="J195" s="35">
        <f t="shared" si="20"/>
        <v>-6</v>
      </c>
      <c r="K195" s="35">
        <f t="shared" si="16"/>
        <v>-60</v>
      </c>
      <c r="L195" s="35"/>
      <c r="M195" s="37">
        <f t="shared" si="17"/>
        <v>0</v>
      </c>
      <c r="N195" s="37">
        <f t="shared" si="18"/>
        <v>0</v>
      </c>
    </row>
    <row r="196" spans="1:14" x14ac:dyDescent="0.25">
      <c r="A196" s="56">
        <f t="shared" si="19"/>
        <v>0</v>
      </c>
      <c r="G196" s="13"/>
      <c r="H196" s="35">
        <v>191</v>
      </c>
      <c r="I196" s="36" t="str">
        <f t="shared" si="15"/>
        <v/>
      </c>
      <c r="J196" s="35">
        <f t="shared" si="20"/>
        <v>-6</v>
      </c>
      <c r="K196" s="35">
        <f t="shared" si="16"/>
        <v>-60</v>
      </c>
      <c r="L196" s="35"/>
      <c r="M196" s="37">
        <f t="shared" si="17"/>
        <v>0</v>
      </c>
      <c r="N196" s="37">
        <f t="shared" si="18"/>
        <v>0</v>
      </c>
    </row>
    <row r="197" spans="1:14" x14ac:dyDescent="0.25">
      <c r="A197" s="56">
        <f t="shared" si="19"/>
        <v>0</v>
      </c>
      <c r="G197" s="13"/>
      <c r="H197" s="35">
        <v>192</v>
      </c>
      <c r="I197" s="36" t="str">
        <f t="shared" si="15"/>
        <v/>
      </c>
      <c r="J197" s="35">
        <f t="shared" si="20"/>
        <v>-6</v>
      </c>
      <c r="K197" s="35">
        <f t="shared" si="16"/>
        <v>-60</v>
      </c>
      <c r="L197" s="35"/>
      <c r="M197" s="37">
        <f t="shared" si="17"/>
        <v>0</v>
      </c>
      <c r="N197" s="37">
        <f t="shared" si="18"/>
        <v>0</v>
      </c>
    </row>
    <row r="198" spans="1:14" x14ac:dyDescent="0.25">
      <c r="A198" s="56">
        <f t="shared" si="19"/>
        <v>0</v>
      </c>
      <c r="G198" s="13"/>
      <c r="H198" s="35">
        <v>193</v>
      </c>
      <c r="I198" s="36" t="str">
        <f t="shared" ref="I198:I261" si="21">IF(H198&lt;$H$2+1,($I$2-($I$2-1)*(LOG(H198)/LOG($H$2))),"")</f>
        <v/>
      </c>
      <c r="J198" s="35">
        <f t="shared" si="20"/>
        <v>-6</v>
      </c>
      <c r="K198" s="35">
        <f t="shared" ref="K198:K261" si="22">J198*$J$2</f>
        <v>-60</v>
      </c>
      <c r="L198" s="35"/>
      <c r="M198" s="37">
        <f t="shared" ref="M198:M261" si="23">IF(I198&lt;&gt;"",K198+I198+L198,0)</f>
        <v>0</v>
      </c>
      <c r="N198" s="37">
        <f t="shared" ref="N198:N261" si="24">IF(I198&lt;&gt;"",M198*L$2,0)</f>
        <v>0</v>
      </c>
    </row>
    <row r="199" spans="1:14" x14ac:dyDescent="0.25">
      <c r="A199" s="56">
        <f t="shared" ref="A199:A262" si="25">N199</f>
        <v>0</v>
      </c>
      <c r="G199" s="13"/>
      <c r="H199" s="35">
        <v>194</v>
      </c>
      <c r="I199" s="36" t="str">
        <f t="shared" si="21"/>
        <v/>
      </c>
      <c r="J199" s="35">
        <f t="shared" ref="J199:J262" si="26">INT(LOG($H$2,2))-ROUNDUP(LOG(H199,2),0)+IF(OR($H$2=1,$H$2=2,$H$2=4,$H$2=8,$H$2=16,$H$2=32,$H$2=64,$H$2=128,$H$2=256),0,1)</f>
        <v>-6</v>
      </c>
      <c r="K199" s="35">
        <f t="shared" si="22"/>
        <v>-60</v>
      </c>
      <c r="L199" s="35"/>
      <c r="M199" s="37">
        <f t="shared" si="23"/>
        <v>0</v>
      </c>
      <c r="N199" s="37">
        <f t="shared" si="24"/>
        <v>0</v>
      </c>
    </row>
    <row r="200" spans="1:14" x14ac:dyDescent="0.25">
      <c r="A200" s="56">
        <f t="shared" si="25"/>
        <v>0</v>
      </c>
      <c r="G200" s="13"/>
      <c r="H200" s="35">
        <v>195</v>
      </c>
      <c r="I200" s="36" t="str">
        <f t="shared" si="21"/>
        <v/>
      </c>
      <c r="J200" s="35">
        <f t="shared" si="26"/>
        <v>-6</v>
      </c>
      <c r="K200" s="35">
        <f t="shared" si="22"/>
        <v>-60</v>
      </c>
      <c r="L200" s="35"/>
      <c r="M200" s="37">
        <f t="shared" si="23"/>
        <v>0</v>
      </c>
      <c r="N200" s="37">
        <f t="shared" si="24"/>
        <v>0</v>
      </c>
    </row>
    <row r="201" spans="1:14" x14ac:dyDescent="0.25">
      <c r="A201" s="56">
        <f t="shared" si="25"/>
        <v>0</v>
      </c>
      <c r="G201" s="13"/>
      <c r="H201" s="35">
        <v>196</v>
      </c>
      <c r="I201" s="36" t="str">
        <f t="shared" si="21"/>
        <v/>
      </c>
      <c r="J201" s="35">
        <f t="shared" si="26"/>
        <v>-6</v>
      </c>
      <c r="K201" s="35">
        <f t="shared" si="22"/>
        <v>-60</v>
      </c>
      <c r="L201" s="35"/>
      <c r="M201" s="37">
        <f t="shared" si="23"/>
        <v>0</v>
      </c>
      <c r="N201" s="37">
        <f t="shared" si="24"/>
        <v>0</v>
      </c>
    </row>
    <row r="202" spans="1:14" x14ac:dyDescent="0.25">
      <c r="A202" s="56">
        <f t="shared" si="25"/>
        <v>0</v>
      </c>
      <c r="G202" s="13"/>
      <c r="H202" s="35">
        <v>197</v>
      </c>
      <c r="I202" s="36" t="str">
        <f t="shared" si="21"/>
        <v/>
      </c>
      <c r="J202" s="35">
        <f t="shared" si="26"/>
        <v>-6</v>
      </c>
      <c r="K202" s="35">
        <f t="shared" si="22"/>
        <v>-60</v>
      </c>
      <c r="L202" s="35"/>
      <c r="M202" s="37">
        <f t="shared" si="23"/>
        <v>0</v>
      </c>
      <c r="N202" s="37">
        <f t="shared" si="24"/>
        <v>0</v>
      </c>
    </row>
    <row r="203" spans="1:14" x14ac:dyDescent="0.25">
      <c r="A203" s="56">
        <f t="shared" si="25"/>
        <v>0</v>
      </c>
      <c r="G203" s="13"/>
      <c r="H203" s="35">
        <v>198</v>
      </c>
      <c r="I203" s="36" t="str">
        <f t="shared" si="21"/>
        <v/>
      </c>
      <c r="J203" s="35">
        <f t="shared" si="26"/>
        <v>-6</v>
      </c>
      <c r="K203" s="35">
        <f t="shared" si="22"/>
        <v>-60</v>
      </c>
      <c r="L203" s="35"/>
      <c r="M203" s="37">
        <f t="shared" si="23"/>
        <v>0</v>
      </c>
      <c r="N203" s="37">
        <f t="shared" si="24"/>
        <v>0</v>
      </c>
    </row>
    <row r="204" spans="1:14" x14ac:dyDescent="0.25">
      <c r="A204" s="56">
        <f t="shared" si="25"/>
        <v>0</v>
      </c>
      <c r="G204" s="13"/>
      <c r="H204" s="35">
        <v>199</v>
      </c>
      <c r="I204" s="36" t="str">
        <f t="shared" si="21"/>
        <v/>
      </c>
      <c r="J204" s="35">
        <f t="shared" si="26"/>
        <v>-6</v>
      </c>
      <c r="K204" s="35">
        <f t="shared" si="22"/>
        <v>-60</v>
      </c>
      <c r="L204" s="35"/>
      <c r="M204" s="37">
        <f t="shared" si="23"/>
        <v>0</v>
      </c>
      <c r="N204" s="37">
        <f t="shared" si="24"/>
        <v>0</v>
      </c>
    </row>
    <row r="205" spans="1:14" x14ac:dyDescent="0.25">
      <c r="A205" s="56">
        <f t="shared" si="25"/>
        <v>0</v>
      </c>
      <c r="G205" s="13"/>
      <c r="H205" s="35">
        <v>200</v>
      </c>
      <c r="I205" s="36" t="str">
        <f t="shared" si="21"/>
        <v/>
      </c>
      <c r="J205" s="35">
        <f t="shared" si="26"/>
        <v>-6</v>
      </c>
      <c r="K205" s="35">
        <f t="shared" si="22"/>
        <v>-60</v>
      </c>
      <c r="L205" s="35"/>
      <c r="M205" s="37">
        <f t="shared" si="23"/>
        <v>0</v>
      </c>
      <c r="N205" s="37">
        <f t="shared" si="24"/>
        <v>0</v>
      </c>
    </row>
    <row r="206" spans="1:14" x14ac:dyDescent="0.25">
      <c r="A206" s="56">
        <f t="shared" si="25"/>
        <v>0</v>
      </c>
      <c r="G206" s="13"/>
      <c r="H206" s="35">
        <v>201</v>
      </c>
      <c r="I206" s="36" t="str">
        <f t="shared" si="21"/>
        <v/>
      </c>
      <c r="J206" s="35">
        <f t="shared" si="26"/>
        <v>-6</v>
      </c>
      <c r="K206" s="35">
        <f t="shared" si="22"/>
        <v>-60</v>
      </c>
      <c r="L206" s="35"/>
      <c r="M206" s="37">
        <f t="shared" si="23"/>
        <v>0</v>
      </c>
      <c r="N206" s="37">
        <f t="shared" si="24"/>
        <v>0</v>
      </c>
    </row>
    <row r="207" spans="1:14" x14ac:dyDescent="0.25">
      <c r="A207" s="56">
        <f t="shared" si="25"/>
        <v>0</v>
      </c>
      <c r="G207" s="13"/>
      <c r="H207" s="35">
        <v>202</v>
      </c>
      <c r="I207" s="36" t="str">
        <f t="shared" si="21"/>
        <v/>
      </c>
      <c r="J207" s="35">
        <f t="shared" si="26"/>
        <v>-6</v>
      </c>
      <c r="K207" s="35">
        <f t="shared" si="22"/>
        <v>-60</v>
      </c>
      <c r="L207" s="35"/>
      <c r="M207" s="37">
        <f t="shared" si="23"/>
        <v>0</v>
      </c>
      <c r="N207" s="37">
        <f t="shared" si="24"/>
        <v>0</v>
      </c>
    </row>
    <row r="208" spans="1:14" x14ac:dyDescent="0.25">
      <c r="A208" s="56">
        <f t="shared" si="25"/>
        <v>0</v>
      </c>
      <c r="G208" s="13"/>
      <c r="H208" s="35">
        <v>203</v>
      </c>
      <c r="I208" s="36" t="str">
        <f t="shared" si="21"/>
        <v/>
      </c>
      <c r="J208" s="35">
        <f t="shared" si="26"/>
        <v>-6</v>
      </c>
      <c r="K208" s="35">
        <f t="shared" si="22"/>
        <v>-60</v>
      </c>
      <c r="L208" s="35"/>
      <c r="M208" s="37">
        <f t="shared" si="23"/>
        <v>0</v>
      </c>
      <c r="N208" s="37">
        <f t="shared" si="24"/>
        <v>0</v>
      </c>
    </row>
    <row r="209" spans="1:14" x14ac:dyDescent="0.25">
      <c r="A209" s="56">
        <f t="shared" si="25"/>
        <v>0</v>
      </c>
      <c r="G209" s="13"/>
      <c r="H209" s="35">
        <v>204</v>
      </c>
      <c r="I209" s="36" t="str">
        <f t="shared" si="21"/>
        <v/>
      </c>
      <c r="J209" s="35">
        <f t="shared" si="26"/>
        <v>-6</v>
      </c>
      <c r="K209" s="35">
        <f t="shared" si="22"/>
        <v>-60</v>
      </c>
      <c r="L209" s="35"/>
      <c r="M209" s="37">
        <f t="shared" si="23"/>
        <v>0</v>
      </c>
      <c r="N209" s="37">
        <f t="shared" si="24"/>
        <v>0</v>
      </c>
    </row>
    <row r="210" spans="1:14" x14ac:dyDescent="0.25">
      <c r="A210" s="56">
        <f t="shared" si="25"/>
        <v>0</v>
      </c>
      <c r="G210" s="13"/>
      <c r="H210" s="35">
        <v>205</v>
      </c>
      <c r="I210" s="36" t="str">
        <f t="shared" si="21"/>
        <v/>
      </c>
      <c r="J210" s="35">
        <f t="shared" si="26"/>
        <v>-6</v>
      </c>
      <c r="K210" s="35">
        <f t="shared" si="22"/>
        <v>-60</v>
      </c>
      <c r="L210" s="35"/>
      <c r="M210" s="37">
        <f t="shared" si="23"/>
        <v>0</v>
      </c>
      <c r="N210" s="37">
        <f t="shared" si="24"/>
        <v>0</v>
      </c>
    </row>
    <row r="211" spans="1:14" x14ac:dyDescent="0.25">
      <c r="A211" s="56">
        <f t="shared" si="25"/>
        <v>0</v>
      </c>
      <c r="G211" s="13"/>
      <c r="H211" s="35">
        <v>206</v>
      </c>
      <c r="I211" s="36" t="str">
        <f t="shared" si="21"/>
        <v/>
      </c>
      <c r="J211" s="35">
        <f t="shared" si="26"/>
        <v>-6</v>
      </c>
      <c r="K211" s="35">
        <f t="shared" si="22"/>
        <v>-60</v>
      </c>
      <c r="L211" s="35"/>
      <c r="M211" s="37">
        <f t="shared" si="23"/>
        <v>0</v>
      </c>
      <c r="N211" s="37">
        <f t="shared" si="24"/>
        <v>0</v>
      </c>
    </row>
    <row r="212" spans="1:14" x14ac:dyDescent="0.25">
      <c r="A212" s="56">
        <f t="shared" si="25"/>
        <v>0</v>
      </c>
      <c r="G212" s="13"/>
      <c r="H212" s="35">
        <v>207</v>
      </c>
      <c r="I212" s="36" t="str">
        <f t="shared" si="21"/>
        <v/>
      </c>
      <c r="J212" s="35">
        <f t="shared" si="26"/>
        <v>-6</v>
      </c>
      <c r="K212" s="35">
        <f t="shared" si="22"/>
        <v>-60</v>
      </c>
      <c r="L212" s="35"/>
      <c r="M212" s="37">
        <f t="shared" si="23"/>
        <v>0</v>
      </c>
      <c r="N212" s="37">
        <f t="shared" si="24"/>
        <v>0</v>
      </c>
    </row>
    <row r="213" spans="1:14" x14ac:dyDescent="0.25">
      <c r="A213" s="56">
        <f t="shared" si="25"/>
        <v>0</v>
      </c>
      <c r="G213" s="13"/>
      <c r="H213" s="35">
        <v>208</v>
      </c>
      <c r="I213" s="36" t="str">
        <f t="shared" si="21"/>
        <v/>
      </c>
      <c r="J213" s="35">
        <f t="shared" si="26"/>
        <v>-6</v>
      </c>
      <c r="K213" s="35">
        <f t="shared" si="22"/>
        <v>-60</v>
      </c>
      <c r="L213" s="35"/>
      <c r="M213" s="37">
        <f t="shared" si="23"/>
        <v>0</v>
      </c>
      <c r="N213" s="37">
        <f t="shared" si="24"/>
        <v>0</v>
      </c>
    </row>
    <row r="214" spans="1:14" x14ac:dyDescent="0.25">
      <c r="A214" s="56">
        <f t="shared" si="25"/>
        <v>0</v>
      </c>
      <c r="G214" s="13"/>
      <c r="H214" s="35">
        <v>209</v>
      </c>
      <c r="I214" s="36" t="str">
        <f t="shared" si="21"/>
        <v/>
      </c>
      <c r="J214" s="35">
        <f t="shared" si="26"/>
        <v>-6</v>
      </c>
      <c r="K214" s="35">
        <f t="shared" si="22"/>
        <v>-60</v>
      </c>
      <c r="L214" s="35"/>
      <c r="M214" s="37">
        <f t="shared" si="23"/>
        <v>0</v>
      </c>
      <c r="N214" s="37">
        <f t="shared" si="24"/>
        <v>0</v>
      </c>
    </row>
    <row r="215" spans="1:14" x14ac:dyDescent="0.25">
      <c r="A215" s="56">
        <f t="shared" si="25"/>
        <v>0</v>
      </c>
      <c r="G215" s="13"/>
      <c r="H215" s="35">
        <v>210</v>
      </c>
      <c r="I215" s="36" t="str">
        <f t="shared" si="21"/>
        <v/>
      </c>
      <c r="J215" s="35">
        <f t="shared" si="26"/>
        <v>-6</v>
      </c>
      <c r="K215" s="35">
        <f t="shared" si="22"/>
        <v>-60</v>
      </c>
      <c r="L215" s="35"/>
      <c r="M215" s="37">
        <f t="shared" si="23"/>
        <v>0</v>
      </c>
      <c r="N215" s="37">
        <f t="shared" si="24"/>
        <v>0</v>
      </c>
    </row>
    <row r="216" spans="1:14" x14ac:dyDescent="0.25">
      <c r="A216" s="56">
        <f t="shared" si="25"/>
        <v>0</v>
      </c>
      <c r="G216" s="13"/>
      <c r="H216" s="35">
        <v>211</v>
      </c>
      <c r="I216" s="36" t="str">
        <f t="shared" si="21"/>
        <v/>
      </c>
      <c r="J216" s="35">
        <f t="shared" si="26"/>
        <v>-6</v>
      </c>
      <c r="K216" s="35">
        <f t="shared" si="22"/>
        <v>-60</v>
      </c>
      <c r="L216" s="35"/>
      <c r="M216" s="37">
        <f t="shared" si="23"/>
        <v>0</v>
      </c>
      <c r="N216" s="37">
        <f t="shared" si="24"/>
        <v>0</v>
      </c>
    </row>
    <row r="217" spans="1:14" x14ac:dyDescent="0.25">
      <c r="A217" s="56">
        <f t="shared" si="25"/>
        <v>0</v>
      </c>
      <c r="G217" s="13"/>
      <c r="H217" s="35">
        <v>212</v>
      </c>
      <c r="I217" s="36" t="str">
        <f t="shared" si="21"/>
        <v/>
      </c>
      <c r="J217" s="35">
        <f t="shared" si="26"/>
        <v>-6</v>
      </c>
      <c r="K217" s="35">
        <f t="shared" si="22"/>
        <v>-60</v>
      </c>
      <c r="L217" s="35"/>
      <c r="M217" s="37">
        <f t="shared" si="23"/>
        <v>0</v>
      </c>
      <c r="N217" s="37">
        <f t="shared" si="24"/>
        <v>0</v>
      </c>
    </row>
    <row r="218" spans="1:14" x14ac:dyDescent="0.25">
      <c r="A218" s="56">
        <f t="shared" si="25"/>
        <v>0</v>
      </c>
      <c r="G218" s="13"/>
      <c r="H218" s="35">
        <v>213</v>
      </c>
      <c r="I218" s="36" t="str">
        <f t="shared" si="21"/>
        <v/>
      </c>
      <c r="J218" s="35">
        <f t="shared" si="26"/>
        <v>-6</v>
      </c>
      <c r="K218" s="35">
        <f t="shared" si="22"/>
        <v>-60</v>
      </c>
      <c r="L218" s="35"/>
      <c r="M218" s="37">
        <f t="shared" si="23"/>
        <v>0</v>
      </c>
      <c r="N218" s="37">
        <f t="shared" si="24"/>
        <v>0</v>
      </c>
    </row>
    <row r="219" spans="1:14" x14ac:dyDescent="0.25">
      <c r="A219" s="56">
        <f t="shared" si="25"/>
        <v>0</v>
      </c>
      <c r="G219" s="13"/>
      <c r="H219" s="35">
        <v>214</v>
      </c>
      <c r="I219" s="36" t="str">
        <f t="shared" si="21"/>
        <v/>
      </c>
      <c r="J219" s="35">
        <f t="shared" si="26"/>
        <v>-6</v>
      </c>
      <c r="K219" s="35">
        <f t="shared" si="22"/>
        <v>-60</v>
      </c>
      <c r="L219" s="35"/>
      <c r="M219" s="37">
        <f t="shared" si="23"/>
        <v>0</v>
      </c>
      <c r="N219" s="37">
        <f t="shared" si="24"/>
        <v>0</v>
      </c>
    </row>
    <row r="220" spans="1:14" x14ac:dyDescent="0.25">
      <c r="A220" s="56">
        <f t="shared" si="25"/>
        <v>0</v>
      </c>
      <c r="G220" s="13"/>
      <c r="H220" s="35">
        <v>215</v>
      </c>
      <c r="I220" s="36" t="str">
        <f t="shared" si="21"/>
        <v/>
      </c>
      <c r="J220" s="35">
        <f t="shared" si="26"/>
        <v>-6</v>
      </c>
      <c r="K220" s="35">
        <f t="shared" si="22"/>
        <v>-60</v>
      </c>
      <c r="L220" s="35"/>
      <c r="M220" s="37">
        <f t="shared" si="23"/>
        <v>0</v>
      </c>
      <c r="N220" s="37">
        <f t="shared" si="24"/>
        <v>0</v>
      </c>
    </row>
    <row r="221" spans="1:14" x14ac:dyDescent="0.25">
      <c r="A221" s="56">
        <f t="shared" si="25"/>
        <v>0</v>
      </c>
      <c r="G221" s="13"/>
      <c r="H221" s="35">
        <v>216</v>
      </c>
      <c r="I221" s="36" t="str">
        <f t="shared" si="21"/>
        <v/>
      </c>
      <c r="J221" s="35">
        <f t="shared" si="26"/>
        <v>-6</v>
      </c>
      <c r="K221" s="35">
        <f t="shared" si="22"/>
        <v>-60</v>
      </c>
      <c r="L221" s="35"/>
      <c r="M221" s="37">
        <f t="shared" si="23"/>
        <v>0</v>
      </c>
      <c r="N221" s="37">
        <f t="shared" si="24"/>
        <v>0</v>
      </c>
    </row>
    <row r="222" spans="1:14" x14ac:dyDescent="0.25">
      <c r="A222" s="56">
        <f t="shared" si="25"/>
        <v>0</v>
      </c>
      <c r="G222" s="13"/>
      <c r="H222" s="35">
        <v>217</v>
      </c>
      <c r="I222" s="36" t="str">
        <f t="shared" si="21"/>
        <v/>
      </c>
      <c r="J222" s="35">
        <f t="shared" si="26"/>
        <v>-6</v>
      </c>
      <c r="K222" s="35">
        <f t="shared" si="22"/>
        <v>-60</v>
      </c>
      <c r="L222" s="35"/>
      <c r="M222" s="37">
        <f t="shared" si="23"/>
        <v>0</v>
      </c>
      <c r="N222" s="37">
        <f t="shared" si="24"/>
        <v>0</v>
      </c>
    </row>
    <row r="223" spans="1:14" x14ac:dyDescent="0.25">
      <c r="A223" s="56">
        <f t="shared" si="25"/>
        <v>0</v>
      </c>
      <c r="G223" s="13"/>
      <c r="H223" s="35">
        <v>218</v>
      </c>
      <c r="I223" s="36" t="str">
        <f t="shared" si="21"/>
        <v/>
      </c>
      <c r="J223" s="35">
        <f t="shared" si="26"/>
        <v>-6</v>
      </c>
      <c r="K223" s="35">
        <f t="shared" si="22"/>
        <v>-60</v>
      </c>
      <c r="L223" s="35"/>
      <c r="M223" s="37">
        <f t="shared" si="23"/>
        <v>0</v>
      </c>
      <c r="N223" s="37">
        <f t="shared" si="24"/>
        <v>0</v>
      </c>
    </row>
    <row r="224" spans="1:14" x14ac:dyDescent="0.25">
      <c r="A224" s="56">
        <f t="shared" si="25"/>
        <v>0</v>
      </c>
      <c r="G224" s="13"/>
      <c r="H224" s="35">
        <v>219</v>
      </c>
      <c r="I224" s="36" t="str">
        <f t="shared" si="21"/>
        <v/>
      </c>
      <c r="J224" s="35">
        <f t="shared" si="26"/>
        <v>-6</v>
      </c>
      <c r="K224" s="35">
        <f t="shared" si="22"/>
        <v>-60</v>
      </c>
      <c r="L224" s="35"/>
      <c r="M224" s="37">
        <f t="shared" si="23"/>
        <v>0</v>
      </c>
      <c r="N224" s="37">
        <f t="shared" si="24"/>
        <v>0</v>
      </c>
    </row>
    <row r="225" spans="1:14" x14ac:dyDescent="0.25">
      <c r="A225" s="56">
        <f t="shared" si="25"/>
        <v>0</v>
      </c>
      <c r="G225" s="13"/>
      <c r="H225" s="35">
        <v>220</v>
      </c>
      <c r="I225" s="36" t="str">
        <f t="shared" si="21"/>
        <v/>
      </c>
      <c r="J225" s="35">
        <f t="shared" si="26"/>
        <v>-6</v>
      </c>
      <c r="K225" s="35">
        <f t="shared" si="22"/>
        <v>-60</v>
      </c>
      <c r="L225" s="35"/>
      <c r="M225" s="37">
        <f t="shared" si="23"/>
        <v>0</v>
      </c>
      <c r="N225" s="37">
        <f t="shared" si="24"/>
        <v>0</v>
      </c>
    </row>
    <row r="226" spans="1:14" x14ac:dyDescent="0.25">
      <c r="A226" s="56">
        <f t="shared" si="25"/>
        <v>0</v>
      </c>
      <c r="G226" s="13"/>
      <c r="H226" s="35">
        <v>221</v>
      </c>
      <c r="I226" s="36" t="str">
        <f t="shared" si="21"/>
        <v/>
      </c>
      <c r="J226" s="35">
        <f t="shared" si="26"/>
        <v>-6</v>
      </c>
      <c r="K226" s="35">
        <f t="shared" si="22"/>
        <v>-60</v>
      </c>
      <c r="L226" s="35"/>
      <c r="M226" s="37">
        <f t="shared" si="23"/>
        <v>0</v>
      </c>
      <c r="N226" s="37">
        <f t="shared" si="24"/>
        <v>0</v>
      </c>
    </row>
    <row r="227" spans="1:14" x14ac:dyDescent="0.25">
      <c r="A227" s="56">
        <f t="shared" si="25"/>
        <v>0</v>
      </c>
      <c r="G227" s="13"/>
      <c r="H227" s="35">
        <v>222</v>
      </c>
      <c r="I227" s="36" t="str">
        <f t="shared" si="21"/>
        <v/>
      </c>
      <c r="J227" s="35">
        <f t="shared" si="26"/>
        <v>-6</v>
      </c>
      <c r="K227" s="35">
        <f t="shared" si="22"/>
        <v>-60</v>
      </c>
      <c r="L227" s="35"/>
      <c r="M227" s="37">
        <f t="shared" si="23"/>
        <v>0</v>
      </c>
      <c r="N227" s="37">
        <f t="shared" si="24"/>
        <v>0</v>
      </c>
    </row>
    <row r="228" spans="1:14" x14ac:dyDescent="0.25">
      <c r="A228" s="56">
        <f t="shared" si="25"/>
        <v>0</v>
      </c>
      <c r="G228" s="13"/>
      <c r="H228" s="35">
        <v>223</v>
      </c>
      <c r="I228" s="36" t="str">
        <f t="shared" si="21"/>
        <v/>
      </c>
      <c r="J228" s="35">
        <f t="shared" si="26"/>
        <v>-6</v>
      </c>
      <c r="K228" s="35">
        <f t="shared" si="22"/>
        <v>-60</v>
      </c>
      <c r="L228" s="35"/>
      <c r="M228" s="37">
        <f t="shared" si="23"/>
        <v>0</v>
      </c>
      <c r="N228" s="37">
        <f t="shared" si="24"/>
        <v>0</v>
      </c>
    </row>
    <row r="229" spans="1:14" x14ac:dyDescent="0.25">
      <c r="A229" s="56">
        <f t="shared" si="25"/>
        <v>0</v>
      </c>
      <c r="G229" s="13"/>
      <c r="H229" s="35">
        <v>224</v>
      </c>
      <c r="I229" s="36" t="str">
        <f t="shared" si="21"/>
        <v/>
      </c>
      <c r="J229" s="35">
        <f t="shared" si="26"/>
        <v>-6</v>
      </c>
      <c r="K229" s="35">
        <f t="shared" si="22"/>
        <v>-60</v>
      </c>
      <c r="L229" s="35"/>
      <c r="M229" s="37">
        <f t="shared" si="23"/>
        <v>0</v>
      </c>
      <c r="N229" s="37">
        <f t="shared" si="24"/>
        <v>0</v>
      </c>
    </row>
    <row r="230" spans="1:14" x14ac:dyDescent="0.25">
      <c r="A230" s="56">
        <f t="shared" si="25"/>
        <v>0</v>
      </c>
      <c r="G230" s="13"/>
      <c r="H230" s="35">
        <v>225</v>
      </c>
      <c r="I230" s="36" t="str">
        <f t="shared" si="21"/>
        <v/>
      </c>
      <c r="J230" s="35">
        <f t="shared" si="26"/>
        <v>-6</v>
      </c>
      <c r="K230" s="35">
        <f t="shared" si="22"/>
        <v>-60</v>
      </c>
      <c r="L230" s="35"/>
      <c r="M230" s="37">
        <f t="shared" si="23"/>
        <v>0</v>
      </c>
      <c r="N230" s="37">
        <f t="shared" si="24"/>
        <v>0</v>
      </c>
    </row>
    <row r="231" spans="1:14" x14ac:dyDescent="0.25">
      <c r="A231" s="56">
        <f t="shared" si="25"/>
        <v>0</v>
      </c>
      <c r="G231" s="13"/>
      <c r="H231" s="35">
        <v>226</v>
      </c>
      <c r="I231" s="36" t="str">
        <f t="shared" si="21"/>
        <v/>
      </c>
      <c r="J231" s="35">
        <f t="shared" si="26"/>
        <v>-6</v>
      </c>
      <c r="K231" s="35">
        <f t="shared" si="22"/>
        <v>-60</v>
      </c>
      <c r="L231" s="35"/>
      <c r="M231" s="37">
        <f t="shared" si="23"/>
        <v>0</v>
      </c>
      <c r="N231" s="37">
        <f t="shared" si="24"/>
        <v>0</v>
      </c>
    </row>
    <row r="232" spans="1:14" x14ac:dyDescent="0.25">
      <c r="A232" s="56">
        <f t="shared" si="25"/>
        <v>0</v>
      </c>
      <c r="G232" s="13"/>
      <c r="H232" s="35">
        <v>227</v>
      </c>
      <c r="I232" s="36" t="str">
        <f t="shared" si="21"/>
        <v/>
      </c>
      <c r="J232" s="35">
        <f t="shared" si="26"/>
        <v>-6</v>
      </c>
      <c r="K232" s="35">
        <f t="shared" si="22"/>
        <v>-60</v>
      </c>
      <c r="L232" s="35"/>
      <c r="M232" s="37">
        <f t="shared" si="23"/>
        <v>0</v>
      </c>
      <c r="N232" s="37">
        <f t="shared" si="24"/>
        <v>0</v>
      </c>
    </row>
    <row r="233" spans="1:14" x14ac:dyDescent="0.25">
      <c r="A233" s="56">
        <f t="shared" si="25"/>
        <v>0</v>
      </c>
      <c r="G233" s="13"/>
      <c r="H233" s="35">
        <v>228</v>
      </c>
      <c r="I233" s="36" t="str">
        <f t="shared" si="21"/>
        <v/>
      </c>
      <c r="J233" s="35">
        <f t="shared" si="26"/>
        <v>-6</v>
      </c>
      <c r="K233" s="35">
        <f t="shared" si="22"/>
        <v>-60</v>
      </c>
      <c r="L233" s="35"/>
      <c r="M233" s="37">
        <f t="shared" si="23"/>
        <v>0</v>
      </c>
      <c r="N233" s="37">
        <f t="shared" si="24"/>
        <v>0</v>
      </c>
    </row>
    <row r="234" spans="1:14" x14ac:dyDescent="0.25">
      <c r="A234" s="56">
        <f t="shared" si="25"/>
        <v>0</v>
      </c>
      <c r="G234" s="13"/>
      <c r="H234" s="35">
        <v>229</v>
      </c>
      <c r="I234" s="36" t="str">
        <f t="shared" si="21"/>
        <v/>
      </c>
      <c r="J234" s="35">
        <f t="shared" si="26"/>
        <v>-6</v>
      </c>
      <c r="K234" s="35">
        <f t="shared" si="22"/>
        <v>-60</v>
      </c>
      <c r="L234" s="35"/>
      <c r="M234" s="37">
        <f t="shared" si="23"/>
        <v>0</v>
      </c>
      <c r="N234" s="37">
        <f t="shared" si="24"/>
        <v>0</v>
      </c>
    </row>
    <row r="235" spans="1:14" x14ac:dyDescent="0.25">
      <c r="A235" s="56">
        <f t="shared" si="25"/>
        <v>0</v>
      </c>
      <c r="G235" s="13"/>
      <c r="H235" s="35">
        <v>230</v>
      </c>
      <c r="I235" s="36" t="str">
        <f t="shared" si="21"/>
        <v/>
      </c>
      <c r="J235" s="35">
        <f t="shared" si="26"/>
        <v>-6</v>
      </c>
      <c r="K235" s="35">
        <f t="shared" si="22"/>
        <v>-60</v>
      </c>
      <c r="L235" s="35"/>
      <c r="M235" s="37">
        <f t="shared" si="23"/>
        <v>0</v>
      </c>
      <c r="N235" s="37">
        <f t="shared" si="24"/>
        <v>0</v>
      </c>
    </row>
    <row r="236" spans="1:14" x14ac:dyDescent="0.25">
      <c r="A236" s="56">
        <f t="shared" si="25"/>
        <v>0</v>
      </c>
      <c r="G236" s="13"/>
      <c r="H236" s="35">
        <v>231</v>
      </c>
      <c r="I236" s="36" t="str">
        <f t="shared" si="21"/>
        <v/>
      </c>
      <c r="J236" s="35">
        <f t="shared" si="26"/>
        <v>-6</v>
      </c>
      <c r="K236" s="35">
        <f t="shared" si="22"/>
        <v>-60</v>
      </c>
      <c r="L236" s="35"/>
      <c r="M236" s="37">
        <f t="shared" si="23"/>
        <v>0</v>
      </c>
      <c r="N236" s="37">
        <f t="shared" si="24"/>
        <v>0</v>
      </c>
    </row>
    <row r="237" spans="1:14" x14ac:dyDescent="0.25">
      <c r="A237" s="56">
        <f t="shared" si="25"/>
        <v>0</v>
      </c>
      <c r="G237" s="13"/>
      <c r="H237" s="35">
        <v>232</v>
      </c>
      <c r="I237" s="36" t="str">
        <f t="shared" si="21"/>
        <v/>
      </c>
      <c r="J237" s="35">
        <f t="shared" si="26"/>
        <v>-6</v>
      </c>
      <c r="K237" s="35">
        <f t="shared" si="22"/>
        <v>-60</v>
      </c>
      <c r="L237" s="35"/>
      <c r="M237" s="37">
        <f t="shared" si="23"/>
        <v>0</v>
      </c>
      <c r="N237" s="37">
        <f t="shared" si="24"/>
        <v>0</v>
      </c>
    </row>
    <row r="238" spans="1:14" x14ac:dyDescent="0.25">
      <c r="A238" s="56">
        <f t="shared" si="25"/>
        <v>0</v>
      </c>
      <c r="G238" s="13"/>
      <c r="H238" s="35">
        <v>233</v>
      </c>
      <c r="I238" s="36" t="str">
        <f t="shared" si="21"/>
        <v/>
      </c>
      <c r="J238" s="35">
        <f t="shared" si="26"/>
        <v>-6</v>
      </c>
      <c r="K238" s="35">
        <f t="shared" si="22"/>
        <v>-60</v>
      </c>
      <c r="L238" s="35"/>
      <c r="M238" s="37">
        <f t="shared" si="23"/>
        <v>0</v>
      </c>
      <c r="N238" s="37">
        <f t="shared" si="24"/>
        <v>0</v>
      </c>
    </row>
    <row r="239" spans="1:14" x14ac:dyDescent="0.25">
      <c r="A239" s="56">
        <f t="shared" si="25"/>
        <v>0</v>
      </c>
      <c r="G239" s="13"/>
      <c r="H239" s="35">
        <v>234</v>
      </c>
      <c r="I239" s="36" t="str">
        <f t="shared" si="21"/>
        <v/>
      </c>
      <c r="J239" s="35">
        <f t="shared" si="26"/>
        <v>-6</v>
      </c>
      <c r="K239" s="35">
        <f t="shared" si="22"/>
        <v>-60</v>
      </c>
      <c r="L239" s="35"/>
      <c r="M239" s="37">
        <f t="shared" si="23"/>
        <v>0</v>
      </c>
      <c r="N239" s="37">
        <f t="shared" si="24"/>
        <v>0</v>
      </c>
    </row>
    <row r="240" spans="1:14" x14ac:dyDescent="0.25">
      <c r="A240" s="56">
        <f t="shared" si="25"/>
        <v>0</v>
      </c>
      <c r="G240" s="13"/>
      <c r="H240" s="35">
        <v>235</v>
      </c>
      <c r="I240" s="36" t="str">
        <f t="shared" si="21"/>
        <v/>
      </c>
      <c r="J240" s="35">
        <f t="shared" si="26"/>
        <v>-6</v>
      </c>
      <c r="K240" s="35">
        <f t="shared" si="22"/>
        <v>-60</v>
      </c>
      <c r="L240" s="35"/>
      <c r="M240" s="37">
        <f t="shared" si="23"/>
        <v>0</v>
      </c>
      <c r="N240" s="37">
        <f t="shared" si="24"/>
        <v>0</v>
      </c>
    </row>
    <row r="241" spans="1:14" x14ac:dyDescent="0.25">
      <c r="A241" s="56">
        <f t="shared" si="25"/>
        <v>0</v>
      </c>
      <c r="G241" s="13"/>
      <c r="H241" s="35">
        <v>236</v>
      </c>
      <c r="I241" s="36" t="str">
        <f t="shared" si="21"/>
        <v/>
      </c>
      <c r="J241" s="35">
        <f t="shared" si="26"/>
        <v>-6</v>
      </c>
      <c r="K241" s="35">
        <f t="shared" si="22"/>
        <v>-60</v>
      </c>
      <c r="L241" s="35"/>
      <c r="M241" s="37">
        <f t="shared" si="23"/>
        <v>0</v>
      </c>
      <c r="N241" s="37">
        <f t="shared" si="24"/>
        <v>0</v>
      </c>
    </row>
    <row r="242" spans="1:14" x14ac:dyDescent="0.25">
      <c r="A242" s="56">
        <f t="shared" si="25"/>
        <v>0</v>
      </c>
      <c r="G242" s="13"/>
      <c r="H242" s="35">
        <v>237</v>
      </c>
      <c r="I242" s="36" t="str">
        <f t="shared" si="21"/>
        <v/>
      </c>
      <c r="J242" s="35">
        <f t="shared" si="26"/>
        <v>-6</v>
      </c>
      <c r="K242" s="35">
        <f t="shared" si="22"/>
        <v>-60</v>
      </c>
      <c r="L242" s="35"/>
      <c r="M242" s="37">
        <f t="shared" si="23"/>
        <v>0</v>
      </c>
      <c r="N242" s="37">
        <f t="shared" si="24"/>
        <v>0</v>
      </c>
    </row>
    <row r="243" spans="1:14" x14ac:dyDescent="0.25">
      <c r="A243" s="56">
        <f t="shared" si="25"/>
        <v>0</v>
      </c>
      <c r="G243" s="13"/>
      <c r="H243" s="35">
        <v>238</v>
      </c>
      <c r="I243" s="36" t="str">
        <f t="shared" si="21"/>
        <v/>
      </c>
      <c r="J243" s="35">
        <f t="shared" si="26"/>
        <v>-6</v>
      </c>
      <c r="K243" s="35">
        <f t="shared" si="22"/>
        <v>-60</v>
      </c>
      <c r="L243" s="35"/>
      <c r="M243" s="37">
        <f t="shared" si="23"/>
        <v>0</v>
      </c>
      <c r="N243" s="37">
        <f t="shared" si="24"/>
        <v>0</v>
      </c>
    </row>
    <row r="244" spans="1:14" x14ac:dyDescent="0.25">
      <c r="A244" s="56">
        <f t="shared" si="25"/>
        <v>0</v>
      </c>
      <c r="G244" s="13"/>
      <c r="H244" s="35">
        <v>239</v>
      </c>
      <c r="I244" s="36" t="str">
        <f t="shared" si="21"/>
        <v/>
      </c>
      <c r="J244" s="35">
        <f t="shared" si="26"/>
        <v>-6</v>
      </c>
      <c r="K244" s="35">
        <f t="shared" si="22"/>
        <v>-60</v>
      </c>
      <c r="L244" s="35"/>
      <c r="M244" s="37">
        <f t="shared" si="23"/>
        <v>0</v>
      </c>
      <c r="N244" s="37">
        <f t="shared" si="24"/>
        <v>0</v>
      </c>
    </row>
    <row r="245" spans="1:14" x14ac:dyDescent="0.25">
      <c r="A245" s="56">
        <f t="shared" si="25"/>
        <v>0</v>
      </c>
      <c r="G245" s="13"/>
      <c r="H245" s="35">
        <v>240</v>
      </c>
      <c r="I245" s="36" t="str">
        <f t="shared" si="21"/>
        <v/>
      </c>
      <c r="J245" s="35">
        <f t="shared" si="26"/>
        <v>-6</v>
      </c>
      <c r="K245" s="35">
        <f t="shared" si="22"/>
        <v>-60</v>
      </c>
      <c r="L245" s="35"/>
      <c r="M245" s="37">
        <f t="shared" si="23"/>
        <v>0</v>
      </c>
      <c r="N245" s="37">
        <f t="shared" si="24"/>
        <v>0</v>
      </c>
    </row>
    <row r="246" spans="1:14" x14ac:dyDescent="0.25">
      <c r="A246" s="56">
        <f t="shared" si="25"/>
        <v>0</v>
      </c>
      <c r="G246" s="13"/>
      <c r="H246" s="35">
        <v>241</v>
      </c>
      <c r="I246" s="36" t="str">
        <f t="shared" si="21"/>
        <v/>
      </c>
      <c r="J246" s="35">
        <f t="shared" si="26"/>
        <v>-6</v>
      </c>
      <c r="K246" s="35">
        <f t="shared" si="22"/>
        <v>-60</v>
      </c>
      <c r="L246" s="35"/>
      <c r="M246" s="37">
        <f t="shared" si="23"/>
        <v>0</v>
      </c>
      <c r="N246" s="37">
        <f t="shared" si="24"/>
        <v>0</v>
      </c>
    </row>
    <row r="247" spans="1:14" x14ac:dyDescent="0.25">
      <c r="A247" s="56">
        <f t="shared" si="25"/>
        <v>0</v>
      </c>
      <c r="G247" s="13"/>
      <c r="H247" s="35">
        <v>242</v>
      </c>
      <c r="I247" s="36" t="str">
        <f t="shared" si="21"/>
        <v/>
      </c>
      <c r="J247" s="35">
        <f t="shared" si="26"/>
        <v>-6</v>
      </c>
      <c r="K247" s="35">
        <f t="shared" si="22"/>
        <v>-60</v>
      </c>
      <c r="L247" s="35"/>
      <c r="M247" s="37">
        <f t="shared" si="23"/>
        <v>0</v>
      </c>
      <c r="N247" s="37">
        <f t="shared" si="24"/>
        <v>0</v>
      </c>
    </row>
    <row r="248" spans="1:14" x14ac:dyDescent="0.25">
      <c r="A248" s="56">
        <f t="shared" si="25"/>
        <v>0</v>
      </c>
      <c r="G248" s="13"/>
      <c r="H248" s="35">
        <v>243</v>
      </c>
      <c r="I248" s="36" t="str">
        <f t="shared" si="21"/>
        <v/>
      </c>
      <c r="J248" s="35">
        <f t="shared" si="26"/>
        <v>-6</v>
      </c>
      <c r="K248" s="35">
        <f t="shared" si="22"/>
        <v>-60</v>
      </c>
      <c r="L248" s="35"/>
      <c r="M248" s="37">
        <f t="shared" si="23"/>
        <v>0</v>
      </c>
      <c r="N248" s="37">
        <f t="shared" si="24"/>
        <v>0</v>
      </c>
    </row>
    <row r="249" spans="1:14" x14ac:dyDescent="0.25">
      <c r="A249" s="56">
        <f t="shared" si="25"/>
        <v>0</v>
      </c>
      <c r="G249" s="13"/>
      <c r="H249" s="35">
        <v>244</v>
      </c>
      <c r="I249" s="36" t="str">
        <f t="shared" si="21"/>
        <v/>
      </c>
      <c r="J249" s="35">
        <f t="shared" si="26"/>
        <v>-6</v>
      </c>
      <c r="K249" s="35">
        <f t="shared" si="22"/>
        <v>-60</v>
      </c>
      <c r="L249" s="35"/>
      <c r="M249" s="37">
        <f t="shared" si="23"/>
        <v>0</v>
      </c>
      <c r="N249" s="37">
        <f t="shared" si="24"/>
        <v>0</v>
      </c>
    </row>
    <row r="250" spans="1:14" x14ac:dyDescent="0.25">
      <c r="A250" s="56">
        <f t="shared" si="25"/>
        <v>0</v>
      </c>
      <c r="G250" s="13"/>
      <c r="H250" s="35">
        <v>245</v>
      </c>
      <c r="I250" s="36" t="str">
        <f t="shared" si="21"/>
        <v/>
      </c>
      <c r="J250" s="35">
        <f t="shared" si="26"/>
        <v>-6</v>
      </c>
      <c r="K250" s="35">
        <f t="shared" si="22"/>
        <v>-60</v>
      </c>
      <c r="L250" s="35"/>
      <c r="M250" s="37">
        <f t="shared" si="23"/>
        <v>0</v>
      </c>
      <c r="N250" s="37">
        <f t="shared" si="24"/>
        <v>0</v>
      </c>
    </row>
    <row r="251" spans="1:14" x14ac:dyDescent="0.25">
      <c r="A251" s="56">
        <f t="shared" si="25"/>
        <v>0</v>
      </c>
      <c r="G251" s="13"/>
      <c r="H251" s="35">
        <v>246</v>
      </c>
      <c r="I251" s="36" t="str">
        <f t="shared" si="21"/>
        <v/>
      </c>
      <c r="J251" s="35">
        <f t="shared" si="26"/>
        <v>-6</v>
      </c>
      <c r="K251" s="35">
        <f t="shared" si="22"/>
        <v>-60</v>
      </c>
      <c r="L251" s="35"/>
      <c r="M251" s="37">
        <f t="shared" si="23"/>
        <v>0</v>
      </c>
      <c r="N251" s="37">
        <f t="shared" si="24"/>
        <v>0</v>
      </c>
    </row>
    <row r="252" spans="1:14" x14ac:dyDescent="0.25">
      <c r="A252" s="56">
        <f t="shared" si="25"/>
        <v>0</v>
      </c>
      <c r="G252" s="13"/>
      <c r="H252" s="35">
        <v>247</v>
      </c>
      <c r="I252" s="36" t="str">
        <f t="shared" si="21"/>
        <v/>
      </c>
      <c r="J252" s="35">
        <f t="shared" si="26"/>
        <v>-6</v>
      </c>
      <c r="K252" s="35">
        <f t="shared" si="22"/>
        <v>-60</v>
      </c>
      <c r="L252" s="35"/>
      <c r="M252" s="37">
        <f t="shared" si="23"/>
        <v>0</v>
      </c>
      <c r="N252" s="37">
        <f t="shared" si="24"/>
        <v>0</v>
      </c>
    </row>
    <row r="253" spans="1:14" x14ac:dyDescent="0.25">
      <c r="A253" s="56">
        <f t="shared" si="25"/>
        <v>0</v>
      </c>
      <c r="G253" s="13"/>
      <c r="H253" s="35">
        <v>248</v>
      </c>
      <c r="I253" s="36" t="str">
        <f t="shared" si="21"/>
        <v/>
      </c>
      <c r="J253" s="35">
        <f t="shared" si="26"/>
        <v>-6</v>
      </c>
      <c r="K253" s="35">
        <f t="shared" si="22"/>
        <v>-60</v>
      </c>
      <c r="L253" s="35"/>
      <c r="M253" s="37">
        <f t="shared" si="23"/>
        <v>0</v>
      </c>
      <c r="N253" s="37">
        <f t="shared" si="24"/>
        <v>0</v>
      </c>
    </row>
    <row r="254" spans="1:14" x14ac:dyDescent="0.25">
      <c r="A254" s="56">
        <f t="shared" si="25"/>
        <v>0</v>
      </c>
      <c r="G254" s="13"/>
      <c r="H254" s="35">
        <v>249</v>
      </c>
      <c r="I254" s="36" t="str">
        <f t="shared" si="21"/>
        <v/>
      </c>
      <c r="J254" s="35">
        <f t="shared" si="26"/>
        <v>-6</v>
      </c>
      <c r="K254" s="35">
        <f t="shared" si="22"/>
        <v>-60</v>
      </c>
      <c r="L254" s="35"/>
      <c r="M254" s="37">
        <f t="shared" si="23"/>
        <v>0</v>
      </c>
      <c r="N254" s="37">
        <f t="shared" si="24"/>
        <v>0</v>
      </c>
    </row>
    <row r="255" spans="1:14" x14ac:dyDescent="0.25">
      <c r="A255" s="56">
        <f t="shared" si="25"/>
        <v>0</v>
      </c>
      <c r="G255" s="13"/>
      <c r="H255" s="35">
        <v>250</v>
      </c>
      <c r="I255" s="36" t="str">
        <f t="shared" si="21"/>
        <v/>
      </c>
      <c r="J255" s="35">
        <f t="shared" si="26"/>
        <v>-6</v>
      </c>
      <c r="K255" s="35">
        <f t="shared" si="22"/>
        <v>-60</v>
      </c>
      <c r="L255" s="35"/>
      <c r="M255" s="37">
        <f t="shared" si="23"/>
        <v>0</v>
      </c>
      <c r="N255" s="37">
        <f t="shared" si="24"/>
        <v>0</v>
      </c>
    </row>
    <row r="256" spans="1:14" x14ac:dyDescent="0.25">
      <c r="A256" s="56">
        <f t="shared" si="25"/>
        <v>0</v>
      </c>
      <c r="G256" s="13"/>
      <c r="H256" s="35">
        <v>251</v>
      </c>
      <c r="I256" s="36" t="str">
        <f t="shared" si="21"/>
        <v/>
      </c>
      <c r="J256" s="35">
        <f t="shared" si="26"/>
        <v>-6</v>
      </c>
      <c r="K256" s="35">
        <f t="shared" si="22"/>
        <v>-60</v>
      </c>
      <c r="L256" s="35"/>
      <c r="M256" s="37">
        <f t="shared" si="23"/>
        <v>0</v>
      </c>
      <c r="N256" s="37">
        <f t="shared" si="24"/>
        <v>0</v>
      </c>
    </row>
    <row r="257" spans="1:14" x14ac:dyDescent="0.25">
      <c r="A257" s="56">
        <f t="shared" si="25"/>
        <v>0</v>
      </c>
      <c r="G257" s="13"/>
      <c r="H257" s="35">
        <v>252</v>
      </c>
      <c r="I257" s="36" t="str">
        <f t="shared" si="21"/>
        <v/>
      </c>
      <c r="J257" s="35">
        <f t="shared" si="26"/>
        <v>-6</v>
      </c>
      <c r="K257" s="35">
        <f t="shared" si="22"/>
        <v>-60</v>
      </c>
      <c r="L257" s="35"/>
      <c r="M257" s="37">
        <f t="shared" si="23"/>
        <v>0</v>
      </c>
      <c r="N257" s="37">
        <f t="shared" si="24"/>
        <v>0</v>
      </c>
    </row>
    <row r="258" spans="1:14" x14ac:dyDescent="0.25">
      <c r="A258" s="56">
        <f t="shared" si="25"/>
        <v>0</v>
      </c>
      <c r="G258" s="13"/>
      <c r="H258" s="35">
        <v>253</v>
      </c>
      <c r="I258" s="36" t="str">
        <f t="shared" si="21"/>
        <v/>
      </c>
      <c r="J258" s="35">
        <f t="shared" si="26"/>
        <v>-6</v>
      </c>
      <c r="K258" s="35">
        <f t="shared" si="22"/>
        <v>-60</v>
      </c>
      <c r="L258" s="35"/>
      <c r="M258" s="37">
        <f t="shared" si="23"/>
        <v>0</v>
      </c>
      <c r="N258" s="37">
        <f t="shared" si="24"/>
        <v>0</v>
      </c>
    </row>
    <row r="259" spans="1:14" x14ac:dyDescent="0.25">
      <c r="A259" s="56">
        <f t="shared" si="25"/>
        <v>0</v>
      </c>
      <c r="G259" s="13"/>
      <c r="H259" s="35">
        <v>254</v>
      </c>
      <c r="I259" s="36" t="str">
        <f t="shared" si="21"/>
        <v/>
      </c>
      <c r="J259" s="35">
        <f t="shared" si="26"/>
        <v>-6</v>
      </c>
      <c r="K259" s="35">
        <f t="shared" si="22"/>
        <v>-60</v>
      </c>
      <c r="L259" s="35"/>
      <c r="M259" s="37">
        <f t="shared" si="23"/>
        <v>0</v>
      </c>
      <c r="N259" s="37">
        <f t="shared" si="24"/>
        <v>0</v>
      </c>
    </row>
    <row r="260" spans="1:14" x14ac:dyDescent="0.25">
      <c r="A260" s="56">
        <f t="shared" si="25"/>
        <v>0</v>
      </c>
      <c r="G260" s="13"/>
      <c r="H260" s="35">
        <v>255</v>
      </c>
      <c r="I260" s="36" t="str">
        <f t="shared" si="21"/>
        <v/>
      </c>
      <c r="J260" s="35">
        <f t="shared" si="26"/>
        <v>-6</v>
      </c>
      <c r="K260" s="35">
        <f t="shared" si="22"/>
        <v>-60</v>
      </c>
      <c r="L260" s="35"/>
      <c r="M260" s="37">
        <f t="shared" si="23"/>
        <v>0</v>
      </c>
      <c r="N260" s="37">
        <f t="shared" si="24"/>
        <v>0</v>
      </c>
    </row>
    <row r="261" spans="1:14" x14ac:dyDescent="0.25">
      <c r="A261" s="56">
        <f t="shared" si="25"/>
        <v>0</v>
      </c>
      <c r="G261" s="13"/>
      <c r="H261" s="35">
        <v>256</v>
      </c>
      <c r="I261" s="36" t="str">
        <f t="shared" si="21"/>
        <v/>
      </c>
      <c r="J261" s="35">
        <f t="shared" si="26"/>
        <v>-6</v>
      </c>
      <c r="K261" s="35">
        <f t="shared" si="22"/>
        <v>-60</v>
      </c>
      <c r="L261" s="35"/>
      <c r="M261" s="37">
        <f t="shared" si="23"/>
        <v>0</v>
      </c>
      <c r="N261" s="37">
        <f t="shared" si="24"/>
        <v>0</v>
      </c>
    </row>
    <row r="262" spans="1:14" x14ac:dyDescent="0.25">
      <c r="A262" s="56">
        <f t="shared" si="25"/>
        <v>0</v>
      </c>
      <c r="G262" s="13"/>
      <c r="H262" s="35">
        <v>257</v>
      </c>
      <c r="I262" s="36" t="str">
        <f t="shared" ref="I262:I305" si="27">IF(H262&lt;$H$2+1,($I$2-($I$2-1)*(LOG(H262)/LOG($H$2))),"")</f>
        <v/>
      </c>
      <c r="J262" s="35">
        <f t="shared" si="26"/>
        <v>-7</v>
      </c>
      <c r="K262" s="35">
        <f t="shared" ref="K262:K305" si="28">J262*$J$2</f>
        <v>-70</v>
      </c>
      <c r="L262" s="35"/>
      <c r="M262" s="37">
        <f t="shared" ref="M262:M305" si="29">IF(I262&lt;&gt;"",K262+I262+L262,0)</f>
        <v>0</v>
      </c>
      <c r="N262" s="37">
        <f t="shared" ref="N262:N305" si="30">IF(I262&lt;&gt;"",M262*L$2,0)</f>
        <v>0</v>
      </c>
    </row>
    <row r="263" spans="1:14" x14ac:dyDescent="0.25">
      <c r="A263" s="56">
        <f t="shared" ref="A263:A305" si="31">N263</f>
        <v>0</v>
      </c>
      <c r="G263" s="13"/>
      <c r="H263" s="35">
        <v>258</v>
      </c>
      <c r="I263" s="36" t="str">
        <f t="shared" si="27"/>
        <v/>
      </c>
      <c r="J263" s="35">
        <f t="shared" ref="J263:J305" si="32">INT(LOG($H$2,2))-ROUNDUP(LOG(H263,2),0)+IF(OR($H$2=1,$H$2=2,$H$2=4,$H$2=8,$H$2=16,$H$2=32,$H$2=64,$H$2=128,$H$2=256),0,1)</f>
        <v>-7</v>
      </c>
      <c r="K263" s="35">
        <f t="shared" si="28"/>
        <v>-70</v>
      </c>
      <c r="L263" s="35"/>
      <c r="M263" s="37">
        <f t="shared" si="29"/>
        <v>0</v>
      </c>
      <c r="N263" s="37">
        <f t="shared" si="30"/>
        <v>0</v>
      </c>
    </row>
    <row r="264" spans="1:14" x14ac:dyDescent="0.25">
      <c r="A264" s="56">
        <f t="shared" si="31"/>
        <v>0</v>
      </c>
      <c r="G264" s="13"/>
      <c r="H264" s="35">
        <v>259</v>
      </c>
      <c r="I264" s="36" t="str">
        <f t="shared" si="27"/>
        <v/>
      </c>
      <c r="J264" s="35">
        <f t="shared" si="32"/>
        <v>-7</v>
      </c>
      <c r="K264" s="35">
        <f t="shared" si="28"/>
        <v>-70</v>
      </c>
      <c r="L264" s="35"/>
      <c r="M264" s="37">
        <f t="shared" si="29"/>
        <v>0</v>
      </c>
      <c r="N264" s="37">
        <f t="shared" si="30"/>
        <v>0</v>
      </c>
    </row>
    <row r="265" spans="1:14" x14ac:dyDescent="0.25">
      <c r="A265" s="56">
        <f t="shared" si="31"/>
        <v>0</v>
      </c>
      <c r="G265" s="13"/>
      <c r="H265" s="35">
        <v>260</v>
      </c>
      <c r="I265" s="36" t="str">
        <f t="shared" si="27"/>
        <v/>
      </c>
      <c r="J265" s="35">
        <f t="shared" si="32"/>
        <v>-7</v>
      </c>
      <c r="K265" s="35">
        <f t="shared" si="28"/>
        <v>-70</v>
      </c>
      <c r="L265" s="35"/>
      <c r="M265" s="37">
        <f t="shared" si="29"/>
        <v>0</v>
      </c>
      <c r="N265" s="37">
        <f t="shared" si="30"/>
        <v>0</v>
      </c>
    </row>
    <row r="266" spans="1:14" x14ac:dyDescent="0.25">
      <c r="A266" s="56">
        <f t="shared" si="31"/>
        <v>0</v>
      </c>
      <c r="G266" s="13"/>
      <c r="H266" s="35">
        <v>261</v>
      </c>
      <c r="I266" s="36" t="str">
        <f t="shared" si="27"/>
        <v/>
      </c>
      <c r="J266" s="35">
        <f t="shared" si="32"/>
        <v>-7</v>
      </c>
      <c r="K266" s="35">
        <f t="shared" si="28"/>
        <v>-70</v>
      </c>
      <c r="L266" s="35"/>
      <c r="M266" s="37">
        <f t="shared" si="29"/>
        <v>0</v>
      </c>
      <c r="N266" s="37">
        <f t="shared" si="30"/>
        <v>0</v>
      </c>
    </row>
    <row r="267" spans="1:14" x14ac:dyDescent="0.25">
      <c r="A267" s="56">
        <f t="shared" si="31"/>
        <v>0</v>
      </c>
      <c r="G267" s="13"/>
      <c r="H267" s="35">
        <v>262</v>
      </c>
      <c r="I267" s="36" t="str">
        <f t="shared" si="27"/>
        <v/>
      </c>
      <c r="J267" s="35">
        <f t="shared" si="32"/>
        <v>-7</v>
      </c>
      <c r="K267" s="35">
        <f t="shared" si="28"/>
        <v>-70</v>
      </c>
      <c r="L267" s="35"/>
      <c r="M267" s="37">
        <f t="shared" si="29"/>
        <v>0</v>
      </c>
      <c r="N267" s="37">
        <f t="shared" si="30"/>
        <v>0</v>
      </c>
    </row>
    <row r="268" spans="1:14" x14ac:dyDescent="0.25">
      <c r="A268" s="56">
        <f t="shared" si="31"/>
        <v>0</v>
      </c>
      <c r="G268" s="13"/>
      <c r="H268" s="35">
        <v>263</v>
      </c>
      <c r="I268" s="36" t="str">
        <f t="shared" si="27"/>
        <v/>
      </c>
      <c r="J268" s="35">
        <f t="shared" si="32"/>
        <v>-7</v>
      </c>
      <c r="K268" s="35">
        <f t="shared" si="28"/>
        <v>-70</v>
      </c>
      <c r="L268" s="35"/>
      <c r="M268" s="37">
        <f t="shared" si="29"/>
        <v>0</v>
      </c>
      <c r="N268" s="37">
        <f t="shared" si="30"/>
        <v>0</v>
      </c>
    </row>
    <row r="269" spans="1:14" x14ac:dyDescent="0.25">
      <c r="A269" s="56">
        <f t="shared" si="31"/>
        <v>0</v>
      </c>
      <c r="G269" s="13"/>
      <c r="H269" s="35">
        <v>264</v>
      </c>
      <c r="I269" s="36" t="str">
        <f t="shared" si="27"/>
        <v/>
      </c>
      <c r="J269" s="35">
        <f t="shared" si="32"/>
        <v>-7</v>
      </c>
      <c r="K269" s="35">
        <f t="shared" si="28"/>
        <v>-70</v>
      </c>
      <c r="L269" s="35"/>
      <c r="M269" s="37">
        <f t="shared" si="29"/>
        <v>0</v>
      </c>
      <c r="N269" s="37">
        <f t="shared" si="30"/>
        <v>0</v>
      </c>
    </row>
    <row r="270" spans="1:14" x14ac:dyDescent="0.25">
      <c r="A270" s="56">
        <f t="shared" si="31"/>
        <v>0</v>
      </c>
      <c r="G270" s="13"/>
      <c r="H270" s="35">
        <v>265</v>
      </c>
      <c r="I270" s="36" t="str">
        <f t="shared" si="27"/>
        <v/>
      </c>
      <c r="J270" s="35">
        <f t="shared" si="32"/>
        <v>-7</v>
      </c>
      <c r="K270" s="35">
        <f t="shared" si="28"/>
        <v>-70</v>
      </c>
      <c r="L270" s="35"/>
      <c r="M270" s="37">
        <f t="shared" si="29"/>
        <v>0</v>
      </c>
      <c r="N270" s="37">
        <f t="shared" si="30"/>
        <v>0</v>
      </c>
    </row>
    <row r="271" spans="1:14" x14ac:dyDescent="0.25">
      <c r="A271" s="56">
        <f t="shared" si="31"/>
        <v>0</v>
      </c>
      <c r="G271" s="13"/>
      <c r="H271" s="35">
        <v>266</v>
      </c>
      <c r="I271" s="36" t="str">
        <f t="shared" si="27"/>
        <v/>
      </c>
      <c r="J271" s="35">
        <f t="shared" si="32"/>
        <v>-7</v>
      </c>
      <c r="K271" s="35">
        <f t="shared" si="28"/>
        <v>-70</v>
      </c>
      <c r="L271" s="35"/>
      <c r="M271" s="37">
        <f t="shared" si="29"/>
        <v>0</v>
      </c>
      <c r="N271" s="37">
        <f t="shared" si="30"/>
        <v>0</v>
      </c>
    </row>
    <row r="272" spans="1:14" x14ac:dyDescent="0.25">
      <c r="A272" s="56">
        <f t="shared" si="31"/>
        <v>0</v>
      </c>
      <c r="G272" s="13"/>
      <c r="H272" s="35">
        <v>267</v>
      </c>
      <c r="I272" s="36" t="str">
        <f t="shared" si="27"/>
        <v/>
      </c>
      <c r="J272" s="35">
        <f t="shared" si="32"/>
        <v>-7</v>
      </c>
      <c r="K272" s="35">
        <f t="shared" si="28"/>
        <v>-70</v>
      </c>
      <c r="L272" s="35"/>
      <c r="M272" s="37">
        <f t="shared" si="29"/>
        <v>0</v>
      </c>
      <c r="N272" s="37">
        <f t="shared" si="30"/>
        <v>0</v>
      </c>
    </row>
    <row r="273" spans="1:14" x14ac:dyDescent="0.25">
      <c r="A273" s="56">
        <f t="shared" si="31"/>
        <v>0</v>
      </c>
      <c r="G273" s="13"/>
      <c r="H273" s="35">
        <v>268</v>
      </c>
      <c r="I273" s="36" t="str">
        <f t="shared" si="27"/>
        <v/>
      </c>
      <c r="J273" s="35">
        <f t="shared" si="32"/>
        <v>-7</v>
      </c>
      <c r="K273" s="35">
        <f t="shared" si="28"/>
        <v>-70</v>
      </c>
      <c r="L273" s="35"/>
      <c r="M273" s="37">
        <f t="shared" si="29"/>
        <v>0</v>
      </c>
      <c r="N273" s="37">
        <f t="shared" si="30"/>
        <v>0</v>
      </c>
    </row>
    <row r="274" spans="1:14" x14ac:dyDescent="0.25">
      <c r="A274" s="56">
        <f t="shared" si="31"/>
        <v>0</v>
      </c>
      <c r="G274" s="13"/>
      <c r="H274" s="35">
        <v>269</v>
      </c>
      <c r="I274" s="36" t="str">
        <f t="shared" si="27"/>
        <v/>
      </c>
      <c r="J274" s="35">
        <f t="shared" si="32"/>
        <v>-7</v>
      </c>
      <c r="K274" s="35">
        <f t="shared" si="28"/>
        <v>-70</v>
      </c>
      <c r="L274" s="35"/>
      <c r="M274" s="37">
        <f t="shared" si="29"/>
        <v>0</v>
      </c>
      <c r="N274" s="37">
        <f t="shared" si="30"/>
        <v>0</v>
      </c>
    </row>
    <row r="275" spans="1:14" x14ac:dyDescent="0.25">
      <c r="A275" s="56">
        <f t="shared" si="31"/>
        <v>0</v>
      </c>
      <c r="G275" s="13"/>
      <c r="H275" s="35">
        <v>270</v>
      </c>
      <c r="I275" s="36" t="str">
        <f t="shared" si="27"/>
        <v/>
      </c>
      <c r="J275" s="35">
        <f t="shared" si="32"/>
        <v>-7</v>
      </c>
      <c r="K275" s="35">
        <f t="shared" si="28"/>
        <v>-70</v>
      </c>
      <c r="L275" s="35"/>
      <c r="M275" s="37">
        <f t="shared" si="29"/>
        <v>0</v>
      </c>
      <c r="N275" s="37">
        <f t="shared" si="30"/>
        <v>0</v>
      </c>
    </row>
    <row r="276" spans="1:14" x14ac:dyDescent="0.25">
      <c r="A276" s="56">
        <f t="shared" si="31"/>
        <v>0</v>
      </c>
      <c r="G276" s="13"/>
      <c r="H276" s="35">
        <v>271</v>
      </c>
      <c r="I276" s="36" t="str">
        <f t="shared" si="27"/>
        <v/>
      </c>
      <c r="J276" s="35">
        <f t="shared" si="32"/>
        <v>-7</v>
      </c>
      <c r="K276" s="35">
        <f t="shared" si="28"/>
        <v>-70</v>
      </c>
      <c r="L276" s="35"/>
      <c r="M276" s="37">
        <f t="shared" si="29"/>
        <v>0</v>
      </c>
      <c r="N276" s="37">
        <f t="shared" si="30"/>
        <v>0</v>
      </c>
    </row>
    <row r="277" spans="1:14" x14ac:dyDescent="0.25">
      <c r="A277" s="56">
        <f t="shared" si="31"/>
        <v>0</v>
      </c>
      <c r="G277" s="13"/>
      <c r="H277" s="35">
        <v>272</v>
      </c>
      <c r="I277" s="36" t="str">
        <f t="shared" si="27"/>
        <v/>
      </c>
      <c r="J277" s="35">
        <f t="shared" si="32"/>
        <v>-7</v>
      </c>
      <c r="K277" s="35">
        <f t="shared" si="28"/>
        <v>-70</v>
      </c>
      <c r="L277" s="35"/>
      <c r="M277" s="37">
        <f t="shared" si="29"/>
        <v>0</v>
      </c>
      <c r="N277" s="37">
        <f t="shared" si="30"/>
        <v>0</v>
      </c>
    </row>
    <row r="278" spans="1:14" x14ac:dyDescent="0.25">
      <c r="A278" s="56">
        <f t="shared" si="31"/>
        <v>0</v>
      </c>
      <c r="G278" s="13"/>
      <c r="H278" s="35">
        <v>273</v>
      </c>
      <c r="I278" s="36" t="str">
        <f t="shared" si="27"/>
        <v/>
      </c>
      <c r="J278" s="35">
        <f t="shared" si="32"/>
        <v>-7</v>
      </c>
      <c r="K278" s="35">
        <f t="shared" si="28"/>
        <v>-70</v>
      </c>
      <c r="L278" s="35"/>
      <c r="M278" s="37">
        <f t="shared" si="29"/>
        <v>0</v>
      </c>
      <c r="N278" s="37">
        <f t="shared" si="30"/>
        <v>0</v>
      </c>
    </row>
    <row r="279" spans="1:14" x14ac:dyDescent="0.25">
      <c r="A279" s="56">
        <f t="shared" si="31"/>
        <v>0</v>
      </c>
      <c r="G279" s="13"/>
      <c r="H279" s="35">
        <v>274</v>
      </c>
      <c r="I279" s="36" t="str">
        <f t="shared" si="27"/>
        <v/>
      </c>
      <c r="J279" s="35">
        <f t="shared" si="32"/>
        <v>-7</v>
      </c>
      <c r="K279" s="35">
        <f t="shared" si="28"/>
        <v>-70</v>
      </c>
      <c r="L279" s="35"/>
      <c r="M279" s="37">
        <f t="shared" si="29"/>
        <v>0</v>
      </c>
      <c r="N279" s="37">
        <f t="shared" si="30"/>
        <v>0</v>
      </c>
    </row>
    <row r="280" spans="1:14" x14ac:dyDescent="0.25">
      <c r="A280" s="56">
        <f t="shared" si="31"/>
        <v>0</v>
      </c>
      <c r="G280" s="13"/>
      <c r="H280" s="35">
        <v>275</v>
      </c>
      <c r="I280" s="36" t="str">
        <f t="shared" si="27"/>
        <v/>
      </c>
      <c r="J280" s="35">
        <f t="shared" si="32"/>
        <v>-7</v>
      </c>
      <c r="K280" s="35">
        <f t="shared" si="28"/>
        <v>-70</v>
      </c>
      <c r="L280" s="35"/>
      <c r="M280" s="37">
        <f t="shared" si="29"/>
        <v>0</v>
      </c>
      <c r="N280" s="37">
        <f t="shared" si="30"/>
        <v>0</v>
      </c>
    </row>
    <row r="281" spans="1:14" x14ac:dyDescent="0.25">
      <c r="A281" s="56">
        <f t="shared" si="31"/>
        <v>0</v>
      </c>
      <c r="G281" s="13"/>
      <c r="H281" s="35">
        <v>276</v>
      </c>
      <c r="I281" s="36" t="str">
        <f t="shared" si="27"/>
        <v/>
      </c>
      <c r="J281" s="35">
        <f t="shared" si="32"/>
        <v>-7</v>
      </c>
      <c r="K281" s="35">
        <f t="shared" si="28"/>
        <v>-70</v>
      </c>
      <c r="L281" s="35"/>
      <c r="M281" s="37">
        <f t="shared" si="29"/>
        <v>0</v>
      </c>
      <c r="N281" s="37">
        <f t="shared" si="30"/>
        <v>0</v>
      </c>
    </row>
    <row r="282" spans="1:14" x14ac:dyDescent="0.25">
      <c r="A282" s="56">
        <f t="shared" si="31"/>
        <v>0</v>
      </c>
      <c r="G282" s="13"/>
      <c r="H282" s="35">
        <v>277</v>
      </c>
      <c r="I282" s="36" t="str">
        <f t="shared" si="27"/>
        <v/>
      </c>
      <c r="J282" s="35">
        <f t="shared" si="32"/>
        <v>-7</v>
      </c>
      <c r="K282" s="35">
        <f t="shared" si="28"/>
        <v>-70</v>
      </c>
      <c r="L282" s="35"/>
      <c r="M282" s="37">
        <f t="shared" si="29"/>
        <v>0</v>
      </c>
      <c r="N282" s="37">
        <f t="shared" si="30"/>
        <v>0</v>
      </c>
    </row>
    <row r="283" spans="1:14" x14ac:dyDescent="0.25">
      <c r="A283" s="56">
        <f t="shared" si="31"/>
        <v>0</v>
      </c>
      <c r="G283" s="13"/>
      <c r="H283" s="35">
        <v>278</v>
      </c>
      <c r="I283" s="36" t="str">
        <f t="shared" si="27"/>
        <v/>
      </c>
      <c r="J283" s="35">
        <f t="shared" si="32"/>
        <v>-7</v>
      </c>
      <c r="K283" s="35">
        <f t="shared" si="28"/>
        <v>-70</v>
      </c>
      <c r="L283" s="35"/>
      <c r="M283" s="37">
        <f t="shared" si="29"/>
        <v>0</v>
      </c>
      <c r="N283" s="37">
        <f t="shared" si="30"/>
        <v>0</v>
      </c>
    </row>
    <row r="284" spans="1:14" x14ac:dyDescent="0.25">
      <c r="A284" s="56">
        <f t="shared" si="31"/>
        <v>0</v>
      </c>
      <c r="G284" s="13"/>
      <c r="H284" s="35">
        <v>279</v>
      </c>
      <c r="I284" s="36" t="str">
        <f t="shared" si="27"/>
        <v/>
      </c>
      <c r="J284" s="35">
        <f t="shared" si="32"/>
        <v>-7</v>
      </c>
      <c r="K284" s="35">
        <f t="shared" si="28"/>
        <v>-70</v>
      </c>
      <c r="L284" s="35"/>
      <c r="M284" s="37">
        <f t="shared" si="29"/>
        <v>0</v>
      </c>
      <c r="N284" s="37">
        <f t="shared" si="30"/>
        <v>0</v>
      </c>
    </row>
    <row r="285" spans="1:14" x14ac:dyDescent="0.25">
      <c r="A285" s="56">
        <f t="shared" si="31"/>
        <v>0</v>
      </c>
      <c r="G285" s="13"/>
      <c r="H285" s="35">
        <v>280</v>
      </c>
      <c r="I285" s="36" t="str">
        <f t="shared" si="27"/>
        <v/>
      </c>
      <c r="J285" s="35">
        <f t="shared" si="32"/>
        <v>-7</v>
      </c>
      <c r="K285" s="35">
        <f t="shared" si="28"/>
        <v>-70</v>
      </c>
      <c r="L285" s="35"/>
      <c r="M285" s="37">
        <f t="shared" si="29"/>
        <v>0</v>
      </c>
      <c r="N285" s="37">
        <f t="shared" si="30"/>
        <v>0</v>
      </c>
    </row>
    <row r="286" spans="1:14" x14ac:dyDescent="0.25">
      <c r="A286" s="56">
        <f t="shared" si="31"/>
        <v>0</v>
      </c>
      <c r="G286" s="13"/>
      <c r="H286" s="35">
        <v>281</v>
      </c>
      <c r="I286" s="36" t="str">
        <f t="shared" si="27"/>
        <v/>
      </c>
      <c r="J286" s="35">
        <f t="shared" si="32"/>
        <v>-7</v>
      </c>
      <c r="K286" s="35">
        <f t="shared" si="28"/>
        <v>-70</v>
      </c>
      <c r="L286" s="35"/>
      <c r="M286" s="37">
        <f t="shared" si="29"/>
        <v>0</v>
      </c>
      <c r="N286" s="37">
        <f t="shared" si="30"/>
        <v>0</v>
      </c>
    </row>
    <row r="287" spans="1:14" x14ac:dyDescent="0.25">
      <c r="A287" s="56">
        <f t="shared" si="31"/>
        <v>0</v>
      </c>
      <c r="G287" s="13"/>
      <c r="H287" s="35">
        <v>282</v>
      </c>
      <c r="I287" s="36" t="str">
        <f t="shared" si="27"/>
        <v/>
      </c>
      <c r="J287" s="35">
        <f t="shared" si="32"/>
        <v>-7</v>
      </c>
      <c r="K287" s="35">
        <f t="shared" si="28"/>
        <v>-70</v>
      </c>
      <c r="L287" s="35"/>
      <c r="M287" s="37">
        <f t="shared" si="29"/>
        <v>0</v>
      </c>
      <c r="N287" s="37">
        <f t="shared" si="30"/>
        <v>0</v>
      </c>
    </row>
    <row r="288" spans="1:14" x14ac:dyDescent="0.25">
      <c r="A288" s="56">
        <f t="shared" si="31"/>
        <v>0</v>
      </c>
      <c r="G288" s="13"/>
      <c r="H288" s="35">
        <v>283</v>
      </c>
      <c r="I288" s="36" t="str">
        <f t="shared" si="27"/>
        <v/>
      </c>
      <c r="J288" s="35">
        <f t="shared" si="32"/>
        <v>-7</v>
      </c>
      <c r="K288" s="35">
        <f t="shared" si="28"/>
        <v>-70</v>
      </c>
      <c r="L288" s="35"/>
      <c r="M288" s="37">
        <f t="shared" si="29"/>
        <v>0</v>
      </c>
      <c r="N288" s="37">
        <f t="shared" si="30"/>
        <v>0</v>
      </c>
    </row>
    <row r="289" spans="1:14" x14ac:dyDescent="0.25">
      <c r="A289" s="56">
        <f t="shared" si="31"/>
        <v>0</v>
      </c>
      <c r="G289" s="13"/>
      <c r="H289" s="35">
        <v>284</v>
      </c>
      <c r="I289" s="36" t="str">
        <f t="shared" si="27"/>
        <v/>
      </c>
      <c r="J289" s="35">
        <f t="shared" si="32"/>
        <v>-7</v>
      </c>
      <c r="K289" s="35">
        <f t="shared" si="28"/>
        <v>-70</v>
      </c>
      <c r="L289" s="35"/>
      <c r="M289" s="37">
        <f t="shared" si="29"/>
        <v>0</v>
      </c>
      <c r="N289" s="37">
        <f t="shared" si="30"/>
        <v>0</v>
      </c>
    </row>
    <row r="290" spans="1:14" x14ac:dyDescent="0.25">
      <c r="A290" s="56">
        <f t="shared" si="31"/>
        <v>0</v>
      </c>
      <c r="G290" s="13"/>
      <c r="H290" s="35">
        <v>285</v>
      </c>
      <c r="I290" s="36" t="str">
        <f t="shared" si="27"/>
        <v/>
      </c>
      <c r="J290" s="35">
        <f t="shared" si="32"/>
        <v>-7</v>
      </c>
      <c r="K290" s="35">
        <f t="shared" si="28"/>
        <v>-70</v>
      </c>
      <c r="L290" s="35"/>
      <c r="M290" s="37">
        <f t="shared" si="29"/>
        <v>0</v>
      </c>
      <c r="N290" s="37">
        <f t="shared" si="30"/>
        <v>0</v>
      </c>
    </row>
    <row r="291" spans="1:14" x14ac:dyDescent="0.25">
      <c r="A291" s="56">
        <f t="shared" si="31"/>
        <v>0</v>
      </c>
      <c r="G291" s="13"/>
      <c r="H291" s="35">
        <v>286</v>
      </c>
      <c r="I291" s="36" t="str">
        <f t="shared" si="27"/>
        <v/>
      </c>
      <c r="J291" s="35">
        <f t="shared" si="32"/>
        <v>-7</v>
      </c>
      <c r="K291" s="35">
        <f t="shared" si="28"/>
        <v>-70</v>
      </c>
      <c r="L291" s="35"/>
      <c r="M291" s="37">
        <f t="shared" si="29"/>
        <v>0</v>
      </c>
      <c r="N291" s="37">
        <f t="shared" si="30"/>
        <v>0</v>
      </c>
    </row>
    <row r="292" spans="1:14" x14ac:dyDescent="0.25">
      <c r="A292" s="56">
        <f t="shared" si="31"/>
        <v>0</v>
      </c>
      <c r="G292" s="13"/>
      <c r="H292" s="35">
        <v>287</v>
      </c>
      <c r="I292" s="36" t="str">
        <f t="shared" si="27"/>
        <v/>
      </c>
      <c r="J292" s="35">
        <f t="shared" si="32"/>
        <v>-7</v>
      </c>
      <c r="K292" s="35">
        <f t="shared" si="28"/>
        <v>-70</v>
      </c>
      <c r="L292" s="35"/>
      <c r="M292" s="37">
        <f t="shared" si="29"/>
        <v>0</v>
      </c>
      <c r="N292" s="37">
        <f t="shared" si="30"/>
        <v>0</v>
      </c>
    </row>
    <row r="293" spans="1:14" x14ac:dyDescent="0.25">
      <c r="A293" s="56">
        <f t="shared" si="31"/>
        <v>0</v>
      </c>
      <c r="G293" s="13"/>
      <c r="H293" s="35">
        <v>288</v>
      </c>
      <c r="I293" s="36" t="str">
        <f t="shared" si="27"/>
        <v/>
      </c>
      <c r="J293" s="35">
        <f t="shared" si="32"/>
        <v>-7</v>
      </c>
      <c r="K293" s="35">
        <f t="shared" si="28"/>
        <v>-70</v>
      </c>
      <c r="L293" s="35"/>
      <c r="M293" s="37">
        <f t="shared" si="29"/>
        <v>0</v>
      </c>
      <c r="N293" s="37">
        <f t="shared" si="30"/>
        <v>0</v>
      </c>
    </row>
    <row r="294" spans="1:14" x14ac:dyDescent="0.25">
      <c r="A294" s="56">
        <f t="shared" si="31"/>
        <v>0</v>
      </c>
      <c r="G294" s="13"/>
      <c r="H294" s="35">
        <v>289</v>
      </c>
      <c r="I294" s="36" t="str">
        <f t="shared" si="27"/>
        <v/>
      </c>
      <c r="J294" s="35">
        <f t="shared" si="32"/>
        <v>-7</v>
      </c>
      <c r="K294" s="35">
        <f t="shared" si="28"/>
        <v>-70</v>
      </c>
      <c r="L294" s="35"/>
      <c r="M294" s="37">
        <f t="shared" si="29"/>
        <v>0</v>
      </c>
      <c r="N294" s="37">
        <f t="shared" si="30"/>
        <v>0</v>
      </c>
    </row>
    <row r="295" spans="1:14" x14ac:dyDescent="0.25">
      <c r="A295" s="56">
        <f t="shared" si="31"/>
        <v>0</v>
      </c>
      <c r="G295" s="13"/>
      <c r="H295" s="35">
        <v>290</v>
      </c>
      <c r="I295" s="36" t="str">
        <f t="shared" si="27"/>
        <v/>
      </c>
      <c r="J295" s="35">
        <f t="shared" si="32"/>
        <v>-7</v>
      </c>
      <c r="K295" s="35">
        <f t="shared" si="28"/>
        <v>-70</v>
      </c>
      <c r="L295" s="35"/>
      <c r="M295" s="37">
        <f t="shared" si="29"/>
        <v>0</v>
      </c>
      <c r="N295" s="37">
        <f t="shared" si="30"/>
        <v>0</v>
      </c>
    </row>
    <row r="296" spans="1:14" x14ac:dyDescent="0.25">
      <c r="A296" s="56">
        <f t="shared" si="31"/>
        <v>0</v>
      </c>
      <c r="G296" s="13"/>
      <c r="H296" s="35">
        <v>291</v>
      </c>
      <c r="I296" s="36" t="str">
        <f t="shared" si="27"/>
        <v/>
      </c>
      <c r="J296" s="35">
        <f t="shared" si="32"/>
        <v>-7</v>
      </c>
      <c r="K296" s="35">
        <f t="shared" si="28"/>
        <v>-70</v>
      </c>
      <c r="L296" s="35"/>
      <c r="M296" s="37">
        <f t="shared" si="29"/>
        <v>0</v>
      </c>
      <c r="N296" s="37">
        <f t="shared" si="30"/>
        <v>0</v>
      </c>
    </row>
    <row r="297" spans="1:14" x14ac:dyDescent="0.25">
      <c r="A297" s="56">
        <f t="shared" si="31"/>
        <v>0</v>
      </c>
      <c r="G297" s="13"/>
      <c r="H297" s="35">
        <v>292</v>
      </c>
      <c r="I297" s="36" t="str">
        <f t="shared" si="27"/>
        <v/>
      </c>
      <c r="J297" s="35">
        <f t="shared" si="32"/>
        <v>-7</v>
      </c>
      <c r="K297" s="35">
        <f t="shared" si="28"/>
        <v>-70</v>
      </c>
      <c r="L297" s="35"/>
      <c r="M297" s="37">
        <f t="shared" si="29"/>
        <v>0</v>
      </c>
      <c r="N297" s="37">
        <f t="shared" si="30"/>
        <v>0</v>
      </c>
    </row>
    <row r="298" spans="1:14" x14ac:dyDescent="0.25">
      <c r="A298" s="56">
        <f t="shared" si="31"/>
        <v>0</v>
      </c>
      <c r="G298" s="13"/>
      <c r="H298" s="35">
        <v>293</v>
      </c>
      <c r="I298" s="36" t="str">
        <f t="shared" si="27"/>
        <v/>
      </c>
      <c r="J298" s="35">
        <f t="shared" si="32"/>
        <v>-7</v>
      </c>
      <c r="K298" s="35">
        <f t="shared" si="28"/>
        <v>-70</v>
      </c>
      <c r="L298" s="35"/>
      <c r="M298" s="37">
        <f t="shared" si="29"/>
        <v>0</v>
      </c>
      <c r="N298" s="37">
        <f t="shared" si="30"/>
        <v>0</v>
      </c>
    </row>
    <row r="299" spans="1:14" x14ac:dyDescent="0.25">
      <c r="A299" s="56">
        <f t="shared" si="31"/>
        <v>0</v>
      </c>
      <c r="G299" s="13"/>
      <c r="H299" s="35">
        <v>294</v>
      </c>
      <c r="I299" s="36" t="str">
        <f t="shared" si="27"/>
        <v/>
      </c>
      <c r="J299" s="35">
        <f t="shared" si="32"/>
        <v>-7</v>
      </c>
      <c r="K299" s="35">
        <f t="shared" si="28"/>
        <v>-70</v>
      </c>
      <c r="L299" s="35"/>
      <c r="M299" s="37">
        <f t="shared" si="29"/>
        <v>0</v>
      </c>
      <c r="N299" s="37">
        <f t="shared" si="30"/>
        <v>0</v>
      </c>
    </row>
    <row r="300" spans="1:14" x14ac:dyDescent="0.25">
      <c r="A300" s="56">
        <f t="shared" si="31"/>
        <v>0</v>
      </c>
      <c r="G300" s="13"/>
      <c r="H300" s="35">
        <v>295</v>
      </c>
      <c r="I300" s="36" t="str">
        <f t="shared" si="27"/>
        <v/>
      </c>
      <c r="J300" s="35">
        <f t="shared" si="32"/>
        <v>-7</v>
      </c>
      <c r="K300" s="35">
        <f t="shared" si="28"/>
        <v>-70</v>
      </c>
      <c r="L300" s="35"/>
      <c r="M300" s="37">
        <f t="shared" si="29"/>
        <v>0</v>
      </c>
      <c r="N300" s="37">
        <f t="shared" si="30"/>
        <v>0</v>
      </c>
    </row>
    <row r="301" spans="1:14" x14ac:dyDescent="0.25">
      <c r="A301" s="56">
        <f t="shared" si="31"/>
        <v>0</v>
      </c>
      <c r="G301" s="13"/>
      <c r="H301" s="35">
        <v>296</v>
      </c>
      <c r="I301" s="36" t="str">
        <f t="shared" si="27"/>
        <v/>
      </c>
      <c r="J301" s="35">
        <f t="shared" si="32"/>
        <v>-7</v>
      </c>
      <c r="K301" s="35">
        <f t="shared" si="28"/>
        <v>-70</v>
      </c>
      <c r="L301" s="35"/>
      <c r="M301" s="37">
        <f t="shared" si="29"/>
        <v>0</v>
      </c>
      <c r="N301" s="37">
        <f t="shared" si="30"/>
        <v>0</v>
      </c>
    </row>
    <row r="302" spans="1:14" x14ac:dyDescent="0.25">
      <c r="A302" s="56">
        <f t="shared" si="31"/>
        <v>0</v>
      </c>
      <c r="G302" s="13"/>
      <c r="H302" s="35">
        <v>297</v>
      </c>
      <c r="I302" s="36" t="str">
        <f t="shared" si="27"/>
        <v/>
      </c>
      <c r="J302" s="35">
        <f t="shared" si="32"/>
        <v>-7</v>
      </c>
      <c r="K302" s="35">
        <f t="shared" si="28"/>
        <v>-70</v>
      </c>
      <c r="L302" s="35"/>
      <c r="M302" s="37">
        <f t="shared" si="29"/>
        <v>0</v>
      </c>
      <c r="N302" s="37">
        <f t="shared" si="30"/>
        <v>0</v>
      </c>
    </row>
    <row r="303" spans="1:14" x14ac:dyDescent="0.25">
      <c r="A303" s="56">
        <f t="shared" si="31"/>
        <v>0</v>
      </c>
      <c r="G303" s="13"/>
      <c r="H303" s="35">
        <v>298</v>
      </c>
      <c r="I303" s="36" t="str">
        <f t="shared" si="27"/>
        <v/>
      </c>
      <c r="J303" s="35">
        <f t="shared" si="32"/>
        <v>-7</v>
      </c>
      <c r="K303" s="35">
        <f t="shared" si="28"/>
        <v>-70</v>
      </c>
      <c r="L303" s="35"/>
      <c r="M303" s="37">
        <f t="shared" si="29"/>
        <v>0</v>
      </c>
      <c r="N303" s="37">
        <f t="shared" si="30"/>
        <v>0</v>
      </c>
    </row>
    <row r="304" spans="1:14" x14ac:dyDescent="0.25">
      <c r="A304" s="56">
        <f t="shared" si="31"/>
        <v>0</v>
      </c>
      <c r="G304" s="13"/>
      <c r="H304" s="35">
        <v>299</v>
      </c>
      <c r="I304" s="36" t="str">
        <f t="shared" si="27"/>
        <v/>
      </c>
      <c r="J304" s="35">
        <f t="shared" si="32"/>
        <v>-7</v>
      </c>
      <c r="K304" s="35">
        <f t="shared" si="28"/>
        <v>-70</v>
      </c>
      <c r="L304" s="35"/>
      <c r="M304" s="37">
        <f t="shared" si="29"/>
        <v>0</v>
      </c>
      <c r="N304" s="37">
        <f t="shared" si="30"/>
        <v>0</v>
      </c>
    </row>
    <row r="305" spans="1:17" x14ac:dyDescent="0.25">
      <c r="A305" s="56">
        <f t="shared" si="31"/>
        <v>0</v>
      </c>
      <c r="G305" s="13"/>
      <c r="H305" s="35">
        <v>300</v>
      </c>
      <c r="I305" s="36" t="str">
        <f t="shared" si="27"/>
        <v/>
      </c>
      <c r="J305" s="35">
        <f t="shared" si="32"/>
        <v>-7</v>
      </c>
      <c r="K305" s="35">
        <f t="shared" si="28"/>
        <v>-70</v>
      </c>
      <c r="L305" s="35"/>
      <c r="M305" s="37">
        <f t="shared" si="29"/>
        <v>0</v>
      </c>
      <c r="N305" s="37">
        <f t="shared" si="30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D89B2BBA-F4A5-4E5C-B1F9-81BA30350FF4}">
      <formula1>#REF!</formula1>
    </dataValidation>
  </dataValidations>
  <hyperlinks>
    <hyperlink ref="C2:D2" r:id="rId1" display="WARSZAWA" xr:uid="{44CA3F96-3F7F-475B-95A3-85C3D1FB591D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AA25-8D9E-4D56-ABE8-DAF4A0A16ABF}">
  <dimension ref="A1:BG169"/>
  <sheetViews>
    <sheetView tabSelected="1" workbookViewId="0">
      <selection activeCell="B20" sqref="B20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13" width="5.125" customWidth="1"/>
    <col min="14" max="14" width="6.375" bestFit="1" customWidth="1"/>
    <col min="15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6" width="5.125" customWidth="1"/>
    <col min="37" max="37" width="6.375" bestFit="1" customWidth="1"/>
    <col min="38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4"/>
      <c r="B1" s="4"/>
      <c r="C1" s="4"/>
      <c r="D1" s="305" t="s">
        <v>99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X1" s="289" t="s">
        <v>100</v>
      </c>
      <c r="Y1" s="290"/>
      <c r="Z1" s="290"/>
      <c r="AA1" s="290"/>
      <c r="AB1" s="290"/>
      <c r="AC1" s="290"/>
      <c r="AD1" s="290"/>
      <c r="AE1" s="290"/>
      <c r="AF1" s="290"/>
      <c r="AG1" s="290"/>
      <c r="AH1" s="290"/>
      <c r="AI1" s="290"/>
      <c r="AJ1" s="290"/>
      <c r="AK1" s="290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1"/>
    </row>
    <row r="2" spans="1:59" ht="13.75" customHeight="1" x14ac:dyDescent="0.2">
      <c r="A2" s="4"/>
      <c r="B2" s="2" t="s">
        <v>0</v>
      </c>
      <c r="C2" s="4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X2" s="292"/>
      <c r="Y2" s="293"/>
      <c r="Z2" s="293"/>
      <c r="AA2" s="293"/>
      <c r="AB2" s="293"/>
      <c r="AC2" s="293"/>
      <c r="AD2" s="293"/>
      <c r="AE2" s="293"/>
      <c r="AF2" s="293"/>
      <c r="AG2" s="293"/>
      <c r="AH2" s="293"/>
      <c r="AI2" s="293"/>
      <c r="AJ2" s="293"/>
      <c r="AK2" s="293"/>
      <c r="AL2" s="293"/>
      <c r="AM2" s="293"/>
      <c r="AN2" s="293"/>
      <c r="AO2" s="293"/>
      <c r="AP2" s="293"/>
      <c r="AQ2" s="293"/>
      <c r="AR2" s="293"/>
      <c r="AS2" s="293"/>
      <c r="AT2" s="293"/>
      <c r="AU2" s="293"/>
      <c r="AV2" s="293"/>
      <c r="AW2" s="293"/>
      <c r="AX2" s="293"/>
      <c r="AY2" s="293"/>
      <c r="AZ2" s="293"/>
      <c r="BA2" s="294"/>
    </row>
    <row r="3" spans="1:59" ht="13.75" customHeight="1" thickBot="1" x14ac:dyDescent="0.3">
      <c r="A3" s="4"/>
      <c r="B3" s="4"/>
      <c r="C3" s="4"/>
      <c r="D3" s="71" t="s">
        <v>101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95"/>
      <c r="Y3" s="296"/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6"/>
      <c r="AL3" s="296"/>
      <c r="AM3" s="296"/>
      <c r="AN3" s="296"/>
      <c r="AO3" s="296"/>
      <c r="AP3" s="296"/>
      <c r="AQ3" s="296"/>
      <c r="AR3" s="296"/>
      <c r="AS3" s="296"/>
      <c r="AT3" s="296"/>
      <c r="AU3" s="296"/>
      <c r="AV3" s="296"/>
      <c r="AW3" s="296"/>
      <c r="AX3" s="296"/>
      <c r="AY3" s="296"/>
      <c r="AZ3" s="296"/>
      <c r="BA3" s="297"/>
    </row>
    <row r="4" spans="1:59" ht="24.8" customHeight="1" thickTop="1" x14ac:dyDescent="0.2">
      <c r="A4" s="298" t="s">
        <v>4</v>
      </c>
      <c r="B4" s="300" t="s">
        <v>5</v>
      </c>
      <c r="C4" s="300" t="s">
        <v>6</v>
      </c>
      <c r="D4" s="300" t="s">
        <v>7</v>
      </c>
      <c r="E4" s="303" t="s">
        <v>8</v>
      </c>
      <c r="F4" s="304"/>
      <c r="G4" s="303" t="s">
        <v>9</v>
      </c>
      <c r="H4" s="304"/>
      <c r="I4" s="303" t="s">
        <v>10</v>
      </c>
      <c r="J4" s="304"/>
      <c r="K4" s="303" t="s">
        <v>11</v>
      </c>
      <c r="L4" s="304"/>
      <c r="M4" s="303" t="s">
        <v>12</v>
      </c>
      <c r="N4" s="304"/>
      <c r="O4" s="267" t="s">
        <v>13</v>
      </c>
      <c r="P4" s="268"/>
      <c r="Q4" s="267" t="s">
        <v>14</v>
      </c>
      <c r="R4" s="268"/>
      <c r="S4" s="267" t="s">
        <v>15</v>
      </c>
      <c r="T4" s="268"/>
      <c r="U4" s="303" t="s">
        <v>16</v>
      </c>
      <c r="V4" s="304"/>
      <c r="X4" s="287" t="s">
        <v>102</v>
      </c>
      <c r="Y4" s="288"/>
      <c r="Z4" s="287" t="s">
        <v>103</v>
      </c>
      <c r="AA4" s="288"/>
      <c r="AB4" s="287" t="s">
        <v>104</v>
      </c>
      <c r="AC4" s="288"/>
      <c r="AD4" s="287" t="s">
        <v>105</v>
      </c>
      <c r="AE4" s="288"/>
      <c r="AF4" s="287" t="s">
        <v>106</v>
      </c>
      <c r="AG4" s="288"/>
      <c r="AH4" s="287" t="s">
        <v>107</v>
      </c>
      <c r="AI4" s="288"/>
      <c r="AJ4" s="287" t="s">
        <v>108</v>
      </c>
      <c r="AK4" s="288"/>
      <c r="AL4" s="287" t="s">
        <v>109</v>
      </c>
      <c r="AM4" s="288"/>
      <c r="AN4" s="287" t="s">
        <v>110</v>
      </c>
      <c r="AO4" s="288"/>
      <c r="AP4" s="287" t="s">
        <v>111</v>
      </c>
      <c r="AQ4" s="288"/>
      <c r="AR4" s="287" t="s">
        <v>112</v>
      </c>
      <c r="AS4" s="288"/>
      <c r="AT4" s="287" t="s">
        <v>113</v>
      </c>
      <c r="AU4" s="288"/>
      <c r="AV4" s="287" t="s">
        <v>114</v>
      </c>
      <c r="AW4" s="288"/>
      <c r="AX4" s="287" t="s">
        <v>115</v>
      </c>
      <c r="AY4" s="288"/>
    </row>
    <row r="5" spans="1:59" ht="18" customHeight="1" x14ac:dyDescent="0.2">
      <c r="A5" s="299"/>
      <c r="B5" s="301"/>
      <c r="C5" s="301"/>
      <c r="D5" s="302"/>
      <c r="E5" s="72" t="s">
        <v>17</v>
      </c>
      <c r="F5" s="72" t="s">
        <v>18</v>
      </c>
      <c r="G5" s="72" t="s">
        <v>17</v>
      </c>
      <c r="H5" s="72" t="s">
        <v>18</v>
      </c>
      <c r="I5" s="72" t="s">
        <v>17</v>
      </c>
      <c r="J5" s="72" t="s">
        <v>18</v>
      </c>
      <c r="K5" s="72" t="s">
        <v>17</v>
      </c>
      <c r="L5" s="72" t="s">
        <v>18</v>
      </c>
      <c r="M5" s="72" t="s">
        <v>17</v>
      </c>
      <c r="N5" s="73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72" t="s">
        <v>17</v>
      </c>
      <c r="V5" s="73" t="s">
        <v>18</v>
      </c>
      <c r="X5" s="74" t="s">
        <v>17</v>
      </c>
      <c r="Y5" s="74" t="s">
        <v>18</v>
      </c>
      <c r="Z5" s="74" t="s">
        <v>17</v>
      </c>
      <c r="AA5" s="74" t="s">
        <v>18</v>
      </c>
      <c r="AB5" s="74" t="s">
        <v>17</v>
      </c>
      <c r="AC5" s="74" t="s">
        <v>18</v>
      </c>
      <c r="AD5" s="74" t="s">
        <v>17</v>
      </c>
      <c r="AE5" s="74" t="s">
        <v>18</v>
      </c>
      <c r="AF5" s="74" t="s">
        <v>17</v>
      </c>
      <c r="AG5" s="74" t="s">
        <v>18</v>
      </c>
      <c r="AH5" s="74" t="s">
        <v>17</v>
      </c>
      <c r="AI5" s="75" t="s">
        <v>18</v>
      </c>
      <c r="AJ5" s="74" t="s">
        <v>17</v>
      </c>
      <c r="AK5" s="75" t="s">
        <v>18</v>
      </c>
      <c r="AL5" s="74" t="s">
        <v>17</v>
      </c>
      <c r="AM5" s="75" t="s">
        <v>18</v>
      </c>
      <c r="AN5" s="74" t="s">
        <v>17</v>
      </c>
      <c r="AO5" s="75" t="s">
        <v>18</v>
      </c>
      <c r="AP5" s="74" t="s">
        <v>17</v>
      </c>
      <c r="AQ5" s="75" t="s">
        <v>18</v>
      </c>
      <c r="AR5" s="74" t="s">
        <v>17</v>
      </c>
      <c r="AS5" s="75" t="s">
        <v>18</v>
      </c>
      <c r="AT5" s="74" t="s">
        <v>17</v>
      </c>
      <c r="AU5" s="75" t="s">
        <v>18</v>
      </c>
      <c r="AV5" s="74" t="s">
        <v>17</v>
      </c>
      <c r="AW5" s="75" t="s">
        <v>18</v>
      </c>
      <c r="AX5" s="74" t="s">
        <v>17</v>
      </c>
      <c r="AY5" s="75" t="s">
        <v>18</v>
      </c>
    </row>
    <row r="6" spans="1:59" ht="14.8" customHeight="1" x14ac:dyDescent="0.25">
      <c r="A6" s="8">
        <f>ROW()-5</f>
        <v>1</v>
      </c>
      <c r="B6" s="255" t="s">
        <v>20</v>
      </c>
      <c r="C6" s="256"/>
      <c r="D6" s="76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724.05861830879121</v>
      </c>
      <c r="E6" s="9" t="str">
        <f>_xlfn.XLOOKUP($B6,'GP1'!$C$6:$C$101,'GP1'!$B$6:$B$101,"")</f>
        <v/>
      </c>
      <c r="F6" s="77">
        <f>_xlfn.XLOOKUP(E6,'GP1'!$B$6:$B$55,'GP1'!$A$6:$A$55,0)</f>
        <v>0</v>
      </c>
      <c r="G6" s="9" t="str">
        <f>_xlfn.XLOOKUP($B6,'GP2'!$C$6:$C$101,'GP2'!$B$6:$B$101,"")</f>
        <v/>
      </c>
      <c r="H6" s="77">
        <f>_xlfn.XLOOKUP(G6,'GP2'!$B$6:$B$55,'GP2'!$A$6:$A$55,0)</f>
        <v>0</v>
      </c>
      <c r="I6" s="9" t="str">
        <f>_xlfn.XLOOKUP($B6,'GP3'!$C$6:$C$101,'GP3'!$B$6:$B$101,"")</f>
        <v>2k2</v>
      </c>
      <c r="J6" s="77">
        <f>_xlfn.XLOOKUP(I6,'GP3'!$B$6:$B$55,'GP3'!$A$6:$A$55,0)</f>
        <v>64</v>
      </c>
      <c r="K6" s="9">
        <f>_xlfn.XLOOKUP($B6,'GP4'!$C$6:$C$101,'GP4'!$B$6:$B$101,"")</f>
        <v>1</v>
      </c>
      <c r="L6" s="77">
        <f>_xlfn.XLOOKUP(K6,'GP4'!$B$6:$B$55,'GP4'!$A$6:$A$55,0)</f>
        <v>84.286609467713788</v>
      </c>
      <c r="M6" s="9">
        <f>_xlfn.XLOOKUP($B6,'GP5'!$C$6:$C$101,'GP5'!$B$6:$B$101,"")</f>
        <v>1</v>
      </c>
      <c r="N6" s="78">
        <f>_xlfn.XLOOKUP(M6,'GP5'!$B$6:$B$55,'GP5'!$A$6:$A$55,0)</f>
        <v>101.33928944905387</v>
      </c>
      <c r="O6" s="9">
        <f>_xlfn.XLOOKUP($B6,'GP6'!$C$6:$C$101,'GP6'!$B$6:$B$101,"")</f>
        <v>1</v>
      </c>
      <c r="P6" s="78">
        <f>_xlfn.XLOOKUP(O6,'GP6'!$B$6:$B$55,'GP6'!$A$6:$A$55,0)</f>
        <v>95.389783520090276</v>
      </c>
      <c r="Q6" s="9">
        <f>_xlfn.XLOOKUP($B6,'GP7'!$C$6:$C$101,'GP7'!$B$6:$B$101,"")</f>
        <v>1</v>
      </c>
      <c r="R6" s="78">
        <f>_xlfn.XLOOKUP(Q6,'GP7'!$B$6:$B$55,'GP7'!$A$6:$A$55,0)</f>
        <v>71.339289449053865</v>
      </c>
      <c r="S6" s="9" t="str">
        <f>_xlfn.XLOOKUP($B6,'GP8'!$C$6:$C$101,'GP8'!$B$6:$B$101,"")</f>
        <v/>
      </c>
      <c r="T6" s="78">
        <f>_xlfn.XLOOKUP(S6,'GP8'!$B$6:$B$55,'GP8'!$A$6:$A$55,0)</f>
        <v>0</v>
      </c>
      <c r="U6" s="9">
        <f>_xlfn.XLOOKUP(B6,MPW!C$6:C$101,MPW!B$6:B$101,"")</f>
        <v>1</v>
      </c>
      <c r="V6" s="78">
        <f>_xlfn.XLOOKUP(U6,MPW!B$6:B$55,MPW!A$6:A$55,0)</f>
        <v>101.14393136125655</v>
      </c>
      <c r="X6" s="9" t="str">
        <f>_xlfn.XLOOKUP($B6,'PEW1'!$C$6:$C$201,'PEW1'!$B$6:$B$201,"")</f>
        <v/>
      </c>
      <c r="Y6" s="79">
        <f>_xlfn.XLOOKUP(X6,'PEW1'!$B$6:$B$201,'PEW1'!$A$6:$A$201,0)</f>
        <v>0</v>
      </c>
      <c r="Z6" s="9" t="str">
        <f>_xlfn.XLOOKUP($B6,'PEW2'!$C$6:$C$201,'PEW2'!$B$6:$B$201,"")</f>
        <v/>
      </c>
      <c r="AA6" s="79">
        <f>_xlfn.XLOOKUP(Z6,'PEW2'!$B$6:$B$201,'PEW2'!$A$6:$A$201,0)</f>
        <v>0</v>
      </c>
      <c r="AB6" s="9" t="str">
        <f>_xlfn.XLOOKUP($B6,'PEW3'!$C$6:$C$201,'PEW3'!$B$6:$B$201,"")</f>
        <v/>
      </c>
      <c r="AC6" s="79">
        <f>_xlfn.XLOOKUP(AB6,'PEW3'!$B$6:$B$201,'PEW3'!$A$6:$A$201,0)</f>
        <v>0</v>
      </c>
      <c r="AD6" s="9" t="str">
        <f>_xlfn.XLOOKUP($B6,VFC!$C$6:$C$201,VFC!$B$6:$B$201,"")</f>
        <v/>
      </c>
      <c r="AE6" s="79">
        <f>_xlfn.XLOOKUP(AD6,VFC!$B$6:$B$201,VFC!$A$6:$A$201,0)</f>
        <v>0</v>
      </c>
      <c r="AF6" s="9" t="str">
        <f>_xlfn.XLOOKUP($B6,'PEW4'!$C$6:$C$201,'PEW4'!$B$6:$B$201,"")</f>
        <v/>
      </c>
      <c r="AG6" s="79">
        <f>_xlfn.XLOOKUP(AF6,'PEW4'!$B$6:$B$201,'PEW4'!$A$6:$A$201,0)</f>
        <v>0</v>
      </c>
      <c r="AH6" s="9">
        <f>_xlfn.XLOOKUP($B6,'PEW5'!$C$6:$C$201,'PEW5'!$B$6:$B$201,"")</f>
        <v>2</v>
      </c>
      <c r="AI6" s="79">
        <f>_xlfn.XLOOKUP(AH6,'PEW5'!$B$6:$B$201,'PEW5'!$A$6:$A$201,0)</f>
        <v>95.397702872136023</v>
      </c>
      <c r="AJ6" s="9">
        <f>_xlfn.XLOOKUP($B6,'PEW6'!$C$6:$C$201,'PEW6'!$B$6:$B$201,"")</f>
        <v>1</v>
      </c>
      <c r="AK6" s="79">
        <f>_xlfn.XLOOKUP(AJ6,'PEW6'!$B$6:$B$201,'PEW6'!$A$6:$A$201,0)</f>
        <v>111.16201218948682</v>
      </c>
      <c r="AL6" s="9" t="str">
        <f>_xlfn.XLOOKUP($B6,'PEW7'!$C$6:$C$201,'PEW7'!$B$6:$B$201,"")</f>
        <v/>
      </c>
      <c r="AM6" s="79">
        <f>_xlfn.XLOOKUP(AL6,'PEW7'!$B$6:$B$201,'PEW7'!$A$6:$A$201,0)</f>
        <v>0</v>
      </c>
      <c r="AN6" s="9" t="str">
        <f>_xlfn.XLOOKUP($B6,'PEW8'!$C$6:$C$201,'PEW8'!$B$6:$B$201,"")</f>
        <v/>
      </c>
      <c r="AO6" s="79">
        <f>_xlfn.XLOOKUP(AN6,'PEW8'!$B$6:$B$201,'PEW8'!$A$6:$A$201,0)</f>
        <v>0</v>
      </c>
      <c r="AP6" s="9" t="str">
        <f>_xlfn.XLOOKUP($B6,'PEW9'!$C$6:$C$201,'PEW9'!$B$6:$B$201,"")</f>
        <v/>
      </c>
      <c r="AQ6" s="79">
        <f>_xlfn.XLOOKUP(AP6,'PEW9'!$B$6:$B$201,'PEW9'!$A$6:$A$201,0)</f>
        <v>0</v>
      </c>
      <c r="AR6" s="9" t="str">
        <f>_xlfn.XLOOKUP($B6,'PEW10'!$C$6:$C$201,'PEW10'!$B$6:$B$201,"")</f>
        <v/>
      </c>
      <c r="AS6" s="79">
        <f>_xlfn.XLOOKUP(AR6,'PEW10'!$B$6:$B$201,'PEW10'!$A$6:$A$201,0)</f>
        <v>0</v>
      </c>
      <c r="AT6" s="9" t="str">
        <f>_xlfn.XLOOKUP($B6,'PEW11'!$C$6:$C$201,'PEW11'!$B$6:$B$201,"")</f>
        <v/>
      </c>
      <c r="AU6" s="79">
        <f>_xlfn.XLOOKUP(AT6,'PEW11'!$B$6:$B$201,'PEW11'!$A$6:$A$201,0)</f>
        <v>0</v>
      </c>
      <c r="AV6" s="9" t="str">
        <f>_xlfn.XLOOKUP($B6,'PEW12'!$C$6:$C$201,'PEW12'!$B$6:$B$201,"")</f>
        <v/>
      </c>
      <c r="AW6" s="79">
        <f>_xlfn.XLOOKUP(AV6,'PEW12'!$B$6:$B$201,'PEW12'!$A$6:$A$201,0)</f>
        <v>0</v>
      </c>
      <c r="AX6" s="9" t="str" cm="1">
        <f t="array" ref="AX6">_xlfn.XLOOKUP($B6,IMEW!C$6:C$201,IMEW!$B$6:B$201,"")</f>
        <v/>
      </c>
      <c r="AY6" s="80">
        <f>_xlfn.XLOOKUP(AX6,IMEW!$B$6:$B$201,IMEW!$A$6:$A$201,0)</f>
        <v>0</v>
      </c>
      <c r="BA6" s="81">
        <f t="shared" ref="BA6:BA29" si="0">Y6</f>
        <v>0</v>
      </c>
      <c r="BB6" s="81">
        <f t="shared" ref="BB6:BB29" si="1">AA6</f>
        <v>0</v>
      </c>
      <c r="BC6" s="81">
        <f t="shared" ref="BC6:BC29" si="2">AC6</f>
        <v>0</v>
      </c>
      <c r="BD6" s="81">
        <f t="shared" ref="BD6:BD29" si="3">AG6</f>
        <v>0</v>
      </c>
      <c r="BE6" s="81">
        <f t="shared" ref="BE6:BE29" si="4">AI6</f>
        <v>95.397702872136023</v>
      </c>
      <c r="BF6" s="81">
        <f t="shared" ref="BF6:BF29" si="5">AK6</f>
        <v>111.16201218948682</v>
      </c>
      <c r="BG6" s="81">
        <f t="shared" ref="BG6:BG29" si="6">AM6</f>
        <v>0</v>
      </c>
    </row>
    <row r="7" spans="1:59" ht="14.8" customHeight="1" x14ac:dyDescent="0.25">
      <c r="A7" s="8">
        <f>ROW()-5</f>
        <v>2</v>
      </c>
      <c r="B7" s="131" t="s">
        <v>19</v>
      </c>
      <c r="C7" s="257"/>
      <c r="D7" s="76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305.58028066912198</v>
      </c>
      <c r="E7" s="9">
        <f>_xlfn.XLOOKUP($B7,'GP1'!$C$6:$C$101,'GP1'!$B$6:$B$101,"")</f>
        <v>1</v>
      </c>
      <c r="F7" s="77">
        <f>_xlfn.XLOOKUP(E7,'GP1'!$B$6:$B$55,'GP1'!$A$6:$A$55,0)</f>
        <v>84.286609467713788</v>
      </c>
      <c r="G7" s="9">
        <f>_xlfn.XLOOKUP($B7,'GP2'!$C$6:$C$101,'GP2'!$B$6:$B$101,"")</f>
        <v>1</v>
      </c>
      <c r="H7" s="77">
        <f>_xlfn.XLOOKUP(G7,'GP2'!$B$6:$B$55,'GP2'!$A$6:$A$55,0)</f>
        <v>82.980246132766666</v>
      </c>
      <c r="I7" s="9">
        <f>_xlfn.XLOOKUP($B7,'GP3'!$C$6:$C$101,'GP3'!$B$6:$B$101,"")</f>
        <v>2</v>
      </c>
      <c r="J7" s="77">
        <f>_xlfn.XLOOKUP(I7,'GP3'!$B$6:$B$55,'GP3'!$A$6:$A$55,0)</f>
        <v>37.73793949684304</v>
      </c>
      <c r="K7" s="9" t="str">
        <f>_xlfn.XLOOKUP($B7,'GP4'!$C$6:$C$101,'GP4'!$B$6:$B$101,"")</f>
        <v/>
      </c>
      <c r="L7" s="77">
        <f>_xlfn.XLOOKUP(K7,'GP4'!$B$6:$B$55,'GP4'!$A$6:$A$55,0)</f>
        <v>0</v>
      </c>
      <c r="M7" s="9" t="str">
        <f>_xlfn.XLOOKUP($B7,'GP5'!$C$6:$C$101,'GP5'!$B$6:$B$101,"")</f>
        <v/>
      </c>
      <c r="N7" s="78">
        <f>_xlfn.XLOOKUP(M7,'GP5'!$B$6:$B$55,'GP5'!$A$6:$A$55,0)</f>
        <v>0</v>
      </c>
      <c r="O7" s="9">
        <f>_xlfn.XLOOKUP($B7,'GP6'!$C$6:$C$101,'GP6'!$B$6:$B$101,"")</f>
        <v>2</v>
      </c>
      <c r="P7" s="78">
        <f>_xlfn.XLOOKUP(O7,'GP6'!$B$6:$B$55,'GP6'!$A$6:$A$55,0)</f>
        <v>59.156704334463925</v>
      </c>
      <c r="Q7" s="9" t="str">
        <f>_xlfn.XLOOKUP($B7,'GP7'!$C$6:$C$101,'GP7'!$B$6:$B$101,"")</f>
        <v/>
      </c>
      <c r="R7" s="78">
        <f>_xlfn.XLOOKUP(Q7,'GP7'!$B$6:$B$55,'GP7'!$A$6:$A$55,0)</f>
        <v>0</v>
      </c>
      <c r="S7" s="9" t="str">
        <f>_xlfn.XLOOKUP($B7,'GP8'!$C$6:$C$101,'GP8'!$B$6:$B$101,"")</f>
        <v/>
      </c>
      <c r="T7" s="78">
        <f>_xlfn.XLOOKUP(S7,'GP8'!$B$6:$B$55,'GP8'!$A$6:$A$55,0)</f>
        <v>0</v>
      </c>
      <c r="U7" s="9" t="str">
        <f>_xlfn.XLOOKUP(B7,MPW!C$6:C$101,MPW!B$6:B$101,"")</f>
        <v/>
      </c>
      <c r="V7" s="78">
        <f>_xlfn.XLOOKUP(U7,MPW!B$6:B$55,MPW!A$6:A$55,0)</f>
        <v>0</v>
      </c>
      <c r="X7" s="9" t="str">
        <f>_xlfn.XLOOKUP($B7,'PEW1'!$C$6:$C$201,'PEW1'!$B$6:$B$201,"")</f>
        <v/>
      </c>
      <c r="Y7" s="79">
        <f>_xlfn.XLOOKUP(X7,'PEW1'!$B$6:$B$201,'PEW1'!$A$6:$A$201,0)</f>
        <v>0</v>
      </c>
      <c r="Z7" s="9" t="str">
        <f>_xlfn.XLOOKUP($B7,'PEW2'!$C$6:$C$201,'PEW2'!$B$6:$B$201,"")</f>
        <v/>
      </c>
      <c r="AA7" s="79">
        <f>_xlfn.XLOOKUP(Z7,'PEW2'!$B$6:$B$201,'PEW2'!$A$6:$A$201,0)</f>
        <v>0</v>
      </c>
      <c r="AB7" s="9" t="str">
        <f>_xlfn.XLOOKUP($B7,'PEW3'!$C$6:$C$201,'PEW3'!$B$6:$B$201,"")</f>
        <v/>
      </c>
      <c r="AC7" s="79">
        <f>_xlfn.XLOOKUP(AB7,'PEW3'!$B$6:$B$201,'PEW3'!$A$6:$A$201,0)</f>
        <v>0</v>
      </c>
      <c r="AD7" s="9" t="str">
        <f>_xlfn.XLOOKUP($B7,VFC!$C$6:$C$201,VFC!$B$6:$B$201,"")</f>
        <v/>
      </c>
      <c r="AE7" s="79">
        <f>_xlfn.XLOOKUP(AD7,VFC!$B$6:$B$201,VFC!$A$6:$A$201,0)</f>
        <v>0</v>
      </c>
      <c r="AF7" s="9" t="str">
        <f>_xlfn.XLOOKUP($B7,'PEW4'!$C$6:$C$201,'PEW4'!$B$6:$B$201,"")</f>
        <v/>
      </c>
      <c r="AG7" s="79">
        <f>_xlfn.XLOOKUP(AF7,'PEW4'!$B$6:$B$201,'PEW4'!$A$6:$A$201,0)</f>
        <v>0</v>
      </c>
      <c r="AH7" s="9" t="str">
        <f>_xlfn.XLOOKUP($B7,'PEW5'!$C$6:$C$201,'PEW5'!$B$6:$B$201,"")</f>
        <v/>
      </c>
      <c r="AI7" s="79">
        <f>_xlfn.XLOOKUP(AH7,'PEW5'!$B$6:$B$201,'PEW5'!$A$6:$A$201,0)</f>
        <v>0</v>
      </c>
      <c r="AJ7" s="9" t="str">
        <f>_xlfn.XLOOKUP($B7,'PEW6'!$C$6:$C$201,'PEW6'!$B$6:$B$201,"")</f>
        <v/>
      </c>
      <c r="AK7" s="79">
        <f>_xlfn.XLOOKUP(AJ7,'PEW6'!$B$6:$B$201,'PEW6'!$A$6:$A$201,0)</f>
        <v>0</v>
      </c>
      <c r="AL7" s="9" t="str">
        <f>_xlfn.XLOOKUP($B7,'PEW7'!$C$6:$C$201,'PEW7'!$B$6:$B$201,"")</f>
        <v/>
      </c>
      <c r="AM7" s="79">
        <f>_xlfn.XLOOKUP(AL7,'PEW7'!$B$6:$B$201,'PEW7'!$A$6:$A$201,0)</f>
        <v>0</v>
      </c>
      <c r="AN7" s="9" t="str">
        <f>_xlfn.XLOOKUP($B7,'PEW8'!$C$6:$C$201,'PEW8'!$B$6:$B$201,"")</f>
        <v/>
      </c>
      <c r="AO7" s="79">
        <f>_xlfn.XLOOKUP(AN7,'PEW8'!$B$6:$B$201,'PEW8'!$A$6:$A$201,0)</f>
        <v>0</v>
      </c>
      <c r="AP7" s="9" t="str">
        <f>_xlfn.XLOOKUP($B7,'PEW9'!$C$6:$C$201,'PEW9'!$B$6:$B$201,"")</f>
        <v/>
      </c>
      <c r="AQ7" s="79">
        <f>_xlfn.XLOOKUP(AP7,'PEW9'!$B$6:$B$201,'PEW9'!$A$6:$A$201,0)</f>
        <v>0</v>
      </c>
      <c r="AR7" s="9" t="str">
        <f>_xlfn.XLOOKUP($B7,'PEW10'!$C$6:$C$201,'PEW10'!$B$6:$B$201,"")</f>
        <v/>
      </c>
      <c r="AS7" s="79">
        <f>_xlfn.XLOOKUP(AR7,'PEW10'!$B$6:$B$201,'PEW10'!$A$6:$A$201,0)</f>
        <v>0</v>
      </c>
      <c r="AT7" s="9" t="str">
        <f>_xlfn.XLOOKUP($B7,'PEW11'!$C$6:$C$201,'PEW11'!$B$6:$B$201,"")</f>
        <v/>
      </c>
      <c r="AU7" s="79">
        <f>_xlfn.XLOOKUP(AT7,'PEW11'!$B$6:$B$201,'PEW11'!$A$6:$A$201,0)</f>
        <v>0</v>
      </c>
      <c r="AV7" s="9" t="str">
        <f>_xlfn.XLOOKUP($B7,'PEW12'!$C$6:$C$201,'PEW12'!$B$6:$B$201,"")</f>
        <v/>
      </c>
      <c r="AW7" s="79">
        <f>_xlfn.XLOOKUP(AV7,'PEW12'!$B$6:$B$201,'PEW12'!$A$6:$A$201,0)</f>
        <v>0</v>
      </c>
      <c r="AX7" s="9" cm="1">
        <f t="array" ref="AX7">_xlfn.XLOOKUP($B7,IMEW!C$6:C$201,IMEW!$B$6:B$201,"")</f>
        <v>16</v>
      </c>
      <c r="AY7" s="80">
        <f>_xlfn.XLOOKUP(AX7,IMEW!$B$6:$B$201,IMEW!$A$6:$A$201,0)</f>
        <v>41.418781237334535</v>
      </c>
      <c r="BA7" s="81">
        <f t="shared" si="0"/>
        <v>0</v>
      </c>
      <c r="BB7" s="81">
        <f t="shared" si="1"/>
        <v>0</v>
      </c>
      <c r="BC7" s="81">
        <f t="shared" si="2"/>
        <v>0</v>
      </c>
      <c r="BD7" s="81">
        <f t="shared" si="3"/>
        <v>0</v>
      </c>
      <c r="BE7" s="81">
        <f t="shared" si="4"/>
        <v>0</v>
      </c>
      <c r="BF7" s="81">
        <f t="shared" si="5"/>
        <v>0</v>
      </c>
      <c r="BG7" s="81">
        <f t="shared" si="6"/>
        <v>0</v>
      </c>
    </row>
    <row r="8" spans="1:59" ht="15.8" customHeight="1" x14ac:dyDescent="0.25">
      <c r="A8" s="8">
        <f>ROW()-5</f>
        <v>3</v>
      </c>
      <c r="B8" s="131" t="s">
        <v>21</v>
      </c>
      <c r="C8" s="11"/>
      <c r="D8" s="76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162.37755004436394</v>
      </c>
      <c r="E8" s="9" t="str">
        <f>_xlfn.XLOOKUP($B8,'GP1'!$C$6:$C$101,'GP1'!$B$6:$B$101,"")</f>
        <v/>
      </c>
      <c r="F8" s="77">
        <f>_xlfn.XLOOKUP(E8,'GP1'!$B$6:$B$55,'GP1'!$A$6:$A$55,0)</f>
        <v>0</v>
      </c>
      <c r="G8" s="9" t="str">
        <f>_xlfn.XLOOKUP($B8,'GP2'!$C$6:$C$101,'GP2'!$B$6:$B$101,"")</f>
        <v/>
      </c>
      <c r="H8" s="77">
        <f>_xlfn.XLOOKUP(G8,'GP2'!$B$6:$B$55,'GP2'!$A$6:$A$55,0)</f>
        <v>0</v>
      </c>
      <c r="I8" s="9">
        <f>_xlfn.XLOOKUP($B8,'GP3'!$C$6:$C$101,'GP3'!$B$6:$B$101,"")</f>
        <v>3</v>
      </c>
      <c r="J8" s="77">
        <f>_xlfn.XLOOKUP(I8,'GP3'!$B$6:$B$55,'GP3'!$A$6:$A$55,0)</f>
        <v>5.3267487109222245</v>
      </c>
      <c r="K8" s="9" t="str">
        <f>_xlfn.XLOOKUP($B8,'GP4'!$C$6:$C$101,'GP4'!$B$6:$B$101,"")</f>
        <v/>
      </c>
      <c r="L8" s="77">
        <f>_xlfn.XLOOKUP(K8,'GP4'!$B$6:$B$55,'GP4'!$A$6:$A$55,0)</f>
        <v>0</v>
      </c>
      <c r="M8" s="9" t="str">
        <f>_xlfn.XLOOKUP($B8,'GP5'!$C$6:$C$101,'GP5'!$B$6:$B$101,"")</f>
        <v/>
      </c>
      <c r="N8" s="78">
        <f>_xlfn.XLOOKUP(M8,'GP5'!$B$6:$B$55,'GP5'!$A$6:$A$55,0)</f>
        <v>0</v>
      </c>
      <c r="O8" s="9">
        <f>_xlfn.XLOOKUP($B8,'GP6'!$C$6:$C$101,'GP6'!$B$6:$B$101,"")</f>
        <v>3</v>
      </c>
      <c r="P8" s="78">
        <f>_xlfn.XLOOKUP(O8,'GP6'!$B$6:$B$55,'GP6'!$A$6:$A$55,0)</f>
        <v>31.682224310216817</v>
      </c>
      <c r="Q8" s="9" t="str">
        <f>_xlfn.XLOOKUP($B8,'GP7'!$C$6:$C$101,'GP7'!$B$6:$B$101,"")</f>
        <v/>
      </c>
      <c r="R8" s="78">
        <f>_xlfn.XLOOKUP(Q8,'GP7'!$B$6:$B$55,'GP7'!$A$6:$A$55,0)</f>
        <v>0</v>
      </c>
      <c r="S8" s="9">
        <f>_xlfn.XLOOKUP($B8,'GP8'!$C$6:$C$101,'GP8'!$B$6:$B$101,"")</f>
        <v>1</v>
      </c>
      <c r="T8" s="78">
        <f>_xlfn.XLOOKUP(S8,'GP8'!$B$6:$B$55,'GP8'!$A$6:$A$55,0)</f>
        <v>71.339289449053865</v>
      </c>
      <c r="U8" s="9">
        <f>_xlfn.XLOOKUP(B8,MPW!C$6:C$101,MPW!B$6:B$101,"")</f>
        <v>2</v>
      </c>
      <c r="V8" s="78">
        <f>_xlfn.XLOOKUP(U8,MPW!B$6:B$55,MPW!A$6:A$55,0)</f>
        <v>54.029287574171029</v>
      </c>
      <c r="X8" s="9" t="str">
        <f>_xlfn.XLOOKUP($B8,'PEW1'!$C$6:$C$201,'PEW1'!$B$6:$B$201,"")</f>
        <v/>
      </c>
      <c r="Y8" s="79">
        <f>_xlfn.XLOOKUP(X8,'PEW1'!$B$6:$B$201,'PEW1'!$A$6:$A$201,0)</f>
        <v>0</v>
      </c>
      <c r="Z8" s="9" t="str">
        <f>_xlfn.XLOOKUP($B8,'PEW2'!$C$6:$C$201,'PEW2'!$B$6:$B$201,"")</f>
        <v/>
      </c>
      <c r="AA8" s="79">
        <f>_xlfn.XLOOKUP(Z8,'PEW2'!$B$6:$B$201,'PEW2'!$A$6:$A$201,0)</f>
        <v>0</v>
      </c>
      <c r="AB8" s="9" t="str">
        <f>_xlfn.XLOOKUP($B8,'PEW3'!$C$6:$C$201,'PEW3'!$B$6:$B$201,"")</f>
        <v/>
      </c>
      <c r="AC8" s="79">
        <f>_xlfn.XLOOKUP(AB8,'PEW3'!$B$6:$B$201,'PEW3'!$A$6:$A$201,0)</f>
        <v>0</v>
      </c>
      <c r="AD8" s="9" t="str">
        <f>_xlfn.XLOOKUP($B8,VFC!$C$6:$C$201,VFC!$B$6:$B$201,"")</f>
        <v/>
      </c>
      <c r="AE8" s="79">
        <f>_xlfn.XLOOKUP(AD8,VFC!$B$6:$B$201,VFC!$A$6:$A$201,0)</f>
        <v>0</v>
      </c>
      <c r="AF8" s="9" t="str">
        <f>_xlfn.XLOOKUP($B8,'PEW4'!$C$6:$C$201,'PEW4'!$B$6:$B$201,"")</f>
        <v/>
      </c>
      <c r="AG8" s="79">
        <f>_xlfn.XLOOKUP(AF8,'PEW4'!$B$6:$B$201,'PEW4'!$A$6:$A$201,0)</f>
        <v>0</v>
      </c>
      <c r="AH8" s="9" t="str">
        <f>_xlfn.XLOOKUP($B8,'PEW5'!$C$6:$C$201,'PEW5'!$B$6:$B$201,"")</f>
        <v/>
      </c>
      <c r="AI8" s="79">
        <f>_xlfn.XLOOKUP(AH8,'PEW5'!$B$6:$B$201,'PEW5'!$A$6:$A$201,0)</f>
        <v>0</v>
      </c>
      <c r="AJ8" s="9" t="str">
        <f>_xlfn.XLOOKUP($B8,'PEW6'!$C$6:$C$201,'PEW6'!$B$6:$B$201,"")</f>
        <v/>
      </c>
      <c r="AK8" s="79">
        <f>_xlfn.XLOOKUP(AJ8,'PEW6'!$B$6:$B$201,'PEW6'!$A$6:$A$201,0)</f>
        <v>0</v>
      </c>
      <c r="AL8" s="9" t="str">
        <f>_xlfn.XLOOKUP($B8,'PEW7'!$C$6:$C$201,'PEW7'!$B$6:$B$201,"")</f>
        <v/>
      </c>
      <c r="AM8" s="79">
        <f>_xlfn.XLOOKUP(AL8,'PEW7'!$B$6:$B$201,'PEW7'!$A$6:$A$201,0)</f>
        <v>0</v>
      </c>
      <c r="AN8" s="9" t="str">
        <f>_xlfn.XLOOKUP($B8,'PEW8'!$C$6:$C$201,'PEW8'!$B$6:$B$201,"")</f>
        <v/>
      </c>
      <c r="AO8" s="79">
        <f>_xlfn.XLOOKUP(AN8,'PEW8'!$B$6:$B$201,'PEW8'!$A$6:$A$201,0)</f>
        <v>0</v>
      </c>
      <c r="AP8" s="9" t="str">
        <f>_xlfn.XLOOKUP($B8,'PEW9'!$C$6:$C$201,'PEW9'!$B$6:$B$201,"")</f>
        <v/>
      </c>
      <c r="AQ8" s="79">
        <f>_xlfn.XLOOKUP(AP8,'PEW9'!$B$6:$B$201,'PEW9'!$A$6:$A$201,0)</f>
        <v>0</v>
      </c>
      <c r="AR8" s="9" t="str">
        <f>_xlfn.XLOOKUP($B8,'PEW10'!$C$6:$C$201,'PEW10'!$B$6:$B$201,"")</f>
        <v/>
      </c>
      <c r="AS8" s="79">
        <f>_xlfn.XLOOKUP(AR8,'PEW10'!$B$6:$B$201,'PEW10'!$A$6:$A$201,0)</f>
        <v>0</v>
      </c>
      <c r="AT8" s="9" t="str">
        <f>_xlfn.XLOOKUP($B8,'PEW11'!$C$6:$C$201,'PEW11'!$B$6:$B$201,"")</f>
        <v/>
      </c>
      <c r="AU8" s="79">
        <f>_xlfn.XLOOKUP(AT8,'PEW11'!$B$6:$B$201,'PEW11'!$A$6:$A$201,0)</f>
        <v>0</v>
      </c>
      <c r="AV8" s="9" t="str">
        <f>_xlfn.XLOOKUP($B8,'PEW12'!$C$6:$C$201,'PEW12'!$B$6:$B$201,"")</f>
        <v/>
      </c>
      <c r="AW8" s="79">
        <f>_xlfn.XLOOKUP(AV8,'PEW12'!$B$6:$B$201,'PEW12'!$A$6:$A$201,0)</f>
        <v>0</v>
      </c>
      <c r="AX8" s="9" t="str" cm="1">
        <f t="array" ref="AX8">_xlfn.XLOOKUP($B8,IMEW!C$6:C$201,IMEW!$B$6:B$201,"")</f>
        <v/>
      </c>
      <c r="AY8" s="80">
        <f>_xlfn.XLOOKUP(AX8,IMEW!$B$6:$B$201,IMEW!$A$6:$A$201,0)</f>
        <v>0</v>
      </c>
      <c r="BA8" s="81">
        <f t="shared" si="0"/>
        <v>0</v>
      </c>
      <c r="BB8" s="81">
        <f t="shared" si="1"/>
        <v>0</v>
      </c>
      <c r="BC8" s="81">
        <f t="shared" si="2"/>
        <v>0</v>
      </c>
      <c r="BD8" s="81">
        <f t="shared" si="3"/>
        <v>0</v>
      </c>
      <c r="BE8" s="81">
        <f t="shared" si="4"/>
        <v>0</v>
      </c>
      <c r="BF8" s="81">
        <f t="shared" si="5"/>
        <v>0</v>
      </c>
      <c r="BG8" s="81">
        <f t="shared" si="6"/>
        <v>0</v>
      </c>
    </row>
    <row r="9" spans="1:59" ht="14.8" customHeight="1" x14ac:dyDescent="0.25">
      <c r="A9" s="8">
        <f>ROW()-5</f>
        <v>4</v>
      </c>
      <c r="B9" s="131" t="s">
        <v>26</v>
      </c>
      <c r="C9" s="11"/>
      <c r="D9" s="76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109.38991221028695</v>
      </c>
      <c r="E9" s="9" t="str">
        <f>_xlfn.XLOOKUP($B9,'GP1'!$C$6:$C$101,'GP1'!$B$6:$B$101,"")</f>
        <v/>
      </c>
      <c r="F9" s="77">
        <f>_xlfn.XLOOKUP(E9,'GP1'!$B$6:$B$55,'GP1'!$A$6:$A$55,0)</f>
        <v>0</v>
      </c>
      <c r="G9" s="9" t="str">
        <f>_xlfn.XLOOKUP($B9,'GP2'!$C$6:$C$101,'GP2'!$B$6:$B$101,"")</f>
        <v/>
      </c>
      <c r="H9" s="77">
        <f>_xlfn.XLOOKUP(G9,'GP2'!$B$6:$B$55,'GP2'!$A$6:$A$55,0)</f>
        <v>0</v>
      </c>
      <c r="I9" s="9" t="str">
        <f>_xlfn.XLOOKUP($B9,'GP3'!$C$6:$C$101,'GP3'!$B$6:$B$101,"")</f>
        <v/>
      </c>
      <c r="J9" s="77">
        <f>_xlfn.XLOOKUP(I9,'GP3'!$B$6:$B$55,'GP3'!$A$6:$A$55,0)</f>
        <v>0</v>
      </c>
      <c r="K9" s="9" t="str">
        <f>_xlfn.XLOOKUP($B9,'GP4'!$C$6:$C$101,'GP4'!$B$6:$B$101,"")</f>
        <v/>
      </c>
      <c r="L9" s="77">
        <f>_xlfn.XLOOKUP(K9,'GP4'!$B$6:$B$55,'GP4'!$A$6:$A$55,0)</f>
        <v>0</v>
      </c>
      <c r="M9" s="9" t="str">
        <f>_xlfn.XLOOKUP($B9,'GP5'!$C$6:$C$101,'GP5'!$B$6:$B$101,"")</f>
        <v/>
      </c>
      <c r="N9" s="78">
        <f>_xlfn.XLOOKUP(M9,'GP5'!$B$6:$B$55,'GP5'!$A$6:$A$55,0)</f>
        <v>0</v>
      </c>
      <c r="O9" s="9" t="str">
        <f>_xlfn.XLOOKUP($B9,'GP6'!$C$6:$C$101,'GP6'!$B$6:$B$101,"")</f>
        <v/>
      </c>
      <c r="P9" s="78">
        <f>_xlfn.XLOOKUP(O9,'GP6'!$B$6:$B$55,'GP6'!$A$6:$A$55,0)</f>
        <v>0</v>
      </c>
      <c r="Q9" s="9" t="str">
        <f>_xlfn.XLOOKUP($B9,'GP7'!$C$6:$C$101,'GP7'!$B$6:$B$101,"")</f>
        <v/>
      </c>
      <c r="R9" s="78">
        <f>_xlfn.XLOOKUP(Q9,'GP7'!$B$6:$B$55,'GP7'!$A$6:$A$55,0)</f>
        <v>0</v>
      </c>
      <c r="S9" s="9" t="str">
        <f>_xlfn.XLOOKUP($B9,'GP8'!$C$6:$C$101,'GP8'!$B$6:$B$101,"")</f>
        <v/>
      </c>
      <c r="T9" s="78">
        <f>_xlfn.XLOOKUP(S9,'GP8'!$B$6:$B$55,'GP8'!$A$6:$A$55,0)</f>
        <v>0</v>
      </c>
      <c r="U9" s="9" t="str">
        <f>_xlfn.XLOOKUP(B9,MPW!C$6:C$101,MPW!B$6:B$101,"")</f>
        <v/>
      </c>
      <c r="V9" s="78">
        <f>_xlfn.XLOOKUP(U9,MPW!B$6:B$55,MPW!A$6:A$55,0)</f>
        <v>0</v>
      </c>
      <c r="X9" s="9" t="str">
        <f>_xlfn.XLOOKUP($B9,'PEW1'!$C$6:$C$201,'PEW1'!$B$6:$B$201,"")</f>
        <v/>
      </c>
      <c r="Y9" s="79">
        <f>_xlfn.XLOOKUP(X9,'PEW1'!$B$6:$B$201,'PEW1'!$A$6:$A$201,0)</f>
        <v>0</v>
      </c>
      <c r="Z9" s="9" t="str">
        <f>_xlfn.XLOOKUP($B9,'PEW2'!$C$6:$C$201,'PEW2'!$B$6:$B$201,"")</f>
        <v/>
      </c>
      <c r="AA9" s="79">
        <f>_xlfn.XLOOKUP(Z9,'PEW2'!$B$6:$B$201,'PEW2'!$A$6:$A$201,0)</f>
        <v>0</v>
      </c>
      <c r="AB9" s="9" t="str">
        <f>_xlfn.XLOOKUP($B9,'PEW3'!$C$6:$C$201,'PEW3'!$B$6:$B$201,"")</f>
        <v/>
      </c>
      <c r="AC9" s="79">
        <f>_xlfn.XLOOKUP(AB9,'PEW3'!$B$6:$B$201,'PEW3'!$A$6:$A$201,0)</f>
        <v>0</v>
      </c>
      <c r="AD9" s="9" t="str">
        <f>_xlfn.XLOOKUP($B9,VFC!$C$6:$C$201,VFC!$B$6:$B$201,"")</f>
        <v/>
      </c>
      <c r="AE9" s="79">
        <f>_xlfn.XLOOKUP(AD9,VFC!$B$6:$B$201,VFC!$A$6:$A$201,0)</f>
        <v>0</v>
      </c>
      <c r="AF9" s="9" t="str">
        <f>_xlfn.XLOOKUP($B9,'PEW4'!$C$6:$C$201,'PEW4'!$B$6:$B$201,"")</f>
        <v/>
      </c>
      <c r="AG9" s="79">
        <f>_xlfn.XLOOKUP(AF9,'PEW4'!$B$6:$B$201,'PEW4'!$A$6:$A$201,0)</f>
        <v>0</v>
      </c>
      <c r="AH9" s="9" t="str">
        <f>_xlfn.XLOOKUP($B9,'PEW5'!$C$6:$C$201,'PEW5'!$B$6:$B$201,"")</f>
        <v/>
      </c>
      <c r="AI9" s="79">
        <f>_xlfn.XLOOKUP(AH9,'PEW5'!$B$6:$B$201,'PEW5'!$A$6:$A$201,0)</f>
        <v>0</v>
      </c>
      <c r="AJ9" s="9" t="str">
        <f>_xlfn.XLOOKUP($B9,'PEW6'!$C$6:$C$201,'PEW6'!$B$6:$B$201,"")</f>
        <v/>
      </c>
      <c r="AK9" s="79">
        <f>_xlfn.XLOOKUP(AJ9,'PEW6'!$B$6:$B$201,'PEW6'!$A$6:$A$201,0)</f>
        <v>0</v>
      </c>
      <c r="AL9" s="9" t="str">
        <f>_xlfn.XLOOKUP($B9,'PEW7'!$C$6:$C$201,'PEW7'!$B$6:$B$201,"")</f>
        <v/>
      </c>
      <c r="AM9" s="79">
        <f>_xlfn.XLOOKUP(AL9,'PEW7'!$B$6:$B$201,'PEW7'!$A$6:$A$201,0)</f>
        <v>0</v>
      </c>
      <c r="AN9" s="9" t="str">
        <f>_xlfn.XLOOKUP($B9,'PEW8'!$C$6:$C$201,'PEW8'!$B$6:$B$201,"")</f>
        <v/>
      </c>
      <c r="AO9" s="79">
        <f>_xlfn.XLOOKUP(AN9,'PEW8'!$B$6:$B$201,'PEW8'!$A$6:$A$201,0)</f>
        <v>0</v>
      </c>
      <c r="AP9" s="9">
        <f>_xlfn.XLOOKUP($B9,'PEW9'!$C$6:$C$201,'PEW9'!$B$6:$B$201,"")</f>
        <v>1</v>
      </c>
      <c r="AQ9" s="79">
        <f>_xlfn.XLOOKUP(AP9,'PEW9'!$B$6:$B$201,'PEW9'!$A$6:$A$201,0)</f>
        <v>109.38991221028695</v>
      </c>
      <c r="AR9" s="9" t="str">
        <f>_xlfn.XLOOKUP($B9,'PEW10'!$C$6:$C$201,'PEW10'!$B$6:$B$201,"")</f>
        <v/>
      </c>
      <c r="AS9" s="79">
        <f>_xlfn.XLOOKUP(AR9,'PEW10'!$B$6:$B$201,'PEW10'!$A$6:$A$201,0)</f>
        <v>0</v>
      </c>
      <c r="AT9" s="9" t="str">
        <f>_xlfn.XLOOKUP($B9,'PEW11'!$C$6:$C$201,'PEW11'!$B$6:$B$201,"")</f>
        <v/>
      </c>
      <c r="AU9" s="79">
        <f>_xlfn.XLOOKUP(AT9,'PEW11'!$B$6:$B$201,'PEW11'!$A$6:$A$201,0)</f>
        <v>0</v>
      </c>
      <c r="AV9" s="9" t="str">
        <f>_xlfn.XLOOKUP($B9,'PEW12'!$C$6:$C$201,'PEW12'!$B$6:$B$201,"")</f>
        <v/>
      </c>
      <c r="AW9" s="79">
        <f>_xlfn.XLOOKUP(AV9,'PEW12'!$B$6:$B$201,'PEW12'!$A$6:$A$201,0)</f>
        <v>0</v>
      </c>
      <c r="AX9" s="9" t="str" cm="1">
        <f t="array" ref="AX9">_xlfn.XLOOKUP($B9,IMEW!C$6:C$201,IMEW!$B$6:B$201,"")</f>
        <v/>
      </c>
      <c r="AY9" s="80">
        <f>_xlfn.XLOOKUP(AX9,IMEW!$B$6:$B$201,IMEW!$A$6:$A$201,0)</f>
        <v>0</v>
      </c>
      <c r="BA9" s="81">
        <f t="shared" si="0"/>
        <v>0</v>
      </c>
      <c r="BB9" s="81">
        <f t="shared" si="1"/>
        <v>0</v>
      </c>
      <c r="BC9" s="81">
        <f t="shared" si="2"/>
        <v>0</v>
      </c>
      <c r="BD9" s="81">
        <f t="shared" si="3"/>
        <v>0</v>
      </c>
      <c r="BE9" s="81">
        <f t="shared" si="4"/>
        <v>0</v>
      </c>
      <c r="BF9" s="81">
        <f t="shared" si="5"/>
        <v>0</v>
      </c>
      <c r="BG9" s="81">
        <f t="shared" si="6"/>
        <v>0</v>
      </c>
    </row>
    <row r="10" spans="1:59" ht="14.8" customHeight="1" x14ac:dyDescent="0.25">
      <c r="A10" s="8">
        <f>ROW()-5</f>
        <v>5</v>
      </c>
      <c r="B10" s="207" t="s">
        <v>24</v>
      </c>
      <c r="C10" s="11"/>
      <c r="D10" s="76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83.960118061665767</v>
      </c>
      <c r="E10" s="9" t="str">
        <f>_xlfn.XLOOKUP($B10,'GP1'!$C$6:$C$101,'GP1'!$B$6:$B$101,"")</f>
        <v/>
      </c>
      <c r="F10" s="77">
        <f>_xlfn.XLOOKUP(E10,'GP1'!$B$6:$B$55,'GP1'!$A$6:$A$55,0)</f>
        <v>0</v>
      </c>
      <c r="G10" s="9" t="str">
        <f>_xlfn.XLOOKUP($B10,'GP2'!$C$6:$C$101,'GP2'!$B$6:$B$101,"")</f>
        <v>9k2</v>
      </c>
      <c r="H10" s="77">
        <f>_xlfn.XLOOKUP(G10,'GP2'!$B$6:$B$55,'GP2'!$A$6:$A$55,0)</f>
        <v>3</v>
      </c>
      <c r="I10" s="9" t="str">
        <f>_xlfn.XLOOKUP($B10,'GP3'!$C$6:$C$101,'GP3'!$B$6:$B$101,"")</f>
        <v>7k2</v>
      </c>
      <c r="J10" s="77">
        <f>_xlfn.XLOOKUP(I10,'GP3'!$B$6:$B$55,'GP3'!$A$6:$A$55,0)</f>
        <v>1</v>
      </c>
      <c r="K10" s="9">
        <f>_xlfn.XLOOKUP($B10,'GP4'!$C$6:$C$101,'GP4'!$B$6:$B$101,"")</f>
        <v>3</v>
      </c>
      <c r="L10" s="77">
        <f>_xlfn.XLOOKUP(K10,'GP4'!$B$6:$B$55,'GP4'!$A$6:$A$55,0)</f>
        <v>15.930621888236271</v>
      </c>
      <c r="M10" s="9">
        <f>_xlfn.XLOOKUP($B10,'GP5'!$C$6:$C$101,'GP5'!$B$6:$B$101,"")</f>
        <v>2</v>
      </c>
      <c r="N10" s="78">
        <f>_xlfn.XLOOKUP(M10,'GP5'!$B$6:$B$55,'GP5'!$A$6:$A$55,0)</f>
        <v>18.559526299369239</v>
      </c>
      <c r="O10" s="9">
        <f>_xlfn.XLOOKUP($B10,'GP6'!$C$6:$C$101,'GP6'!$B$6:$B$101,"")</f>
        <v>4</v>
      </c>
      <c r="P10" s="78">
        <f>_xlfn.XLOOKUP(O10,'GP6'!$B$6:$B$55,'GP6'!$A$6:$A$55,0)</f>
        <v>17.793697308807488</v>
      </c>
      <c r="Q10" s="9">
        <f>_xlfn.XLOOKUP($B10,'GP7'!$C$6:$C$101,'GP7'!$B$6:$B$101,"")</f>
        <v>2</v>
      </c>
      <c r="R10" s="78">
        <f>_xlfn.XLOOKUP(Q10,'GP7'!$B$6:$B$55,'GP7'!$A$6:$A$55,0)</f>
        <v>8.5595262993692387</v>
      </c>
      <c r="S10" s="9" t="str">
        <f>_xlfn.XLOOKUP($B10,'GP8'!$C$6:$C$101,'GP8'!$B$6:$B$101,"")</f>
        <v/>
      </c>
      <c r="T10" s="78">
        <f>_xlfn.XLOOKUP(S10,'GP8'!$B$6:$B$55,'GP8'!$A$6:$A$55,0)</f>
        <v>0</v>
      </c>
      <c r="U10" s="9">
        <f>_xlfn.XLOOKUP(B10,MPW!C$6:C$101,MPW!B$6:B$101,"")</f>
        <v>3</v>
      </c>
      <c r="V10" s="78">
        <f>_xlfn.XLOOKUP(U10,MPW!B$6:B$55,MPW!A$6:A$55,0)</f>
        <v>19.116746265883524</v>
      </c>
      <c r="X10" s="9" t="str">
        <f>_xlfn.XLOOKUP($B10,'PEW1'!$C$6:$C$201,'PEW1'!$B$6:$B$201,"")</f>
        <v/>
      </c>
      <c r="Y10" s="79">
        <f>_xlfn.XLOOKUP(X10,'PEW1'!$B$6:$B$201,'PEW1'!$A$6:$A$201,0)</f>
        <v>0</v>
      </c>
      <c r="Z10" s="9" t="str">
        <f>_xlfn.XLOOKUP($B10,'PEW2'!$C$6:$C$201,'PEW2'!$B$6:$B$201,"")</f>
        <v/>
      </c>
      <c r="AA10" s="79">
        <f>_xlfn.XLOOKUP(Z10,'PEW2'!$B$6:$B$201,'PEW2'!$A$6:$A$201,0)</f>
        <v>0</v>
      </c>
      <c r="AB10" s="9" t="str">
        <f>_xlfn.XLOOKUP($B10,'PEW3'!$C$6:$C$201,'PEW3'!$B$6:$B$201,"")</f>
        <v/>
      </c>
      <c r="AC10" s="79">
        <f>_xlfn.XLOOKUP(AB10,'PEW3'!$B$6:$B$201,'PEW3'!$A$6:$A$201,0)</f>
        <v>0</v>
      </c>
      <c r="AD10" s="9" t="str">
        <f>_xlfn.XLOOKUP($B10,VFC!$C$6:$C$201,VFC!$B$6:$B$201,"")</f>
        <v/>
      </c>
      <c r="AE10" s="79">
        <f>_xlfn.XLOOKUP(AD10,VFC!$B$6:$B$201,VFC!$A$6:$A$201,0)</f>
        <v>0</v>
      </c>
      <c r="AF10" s="9" t="str">
        <f>_xlfn.XLOOKUP($B10,'PEW4'!$C$6:$C$201,'PEW4'!$B$6:$B$201,"")</f>
        <v/>
      </c>
      <c r="AG10" s="79">
        <f>_xlfn.XLOOKUP(AF10,'PEW4'!$B$6:$B$201,'PEW4'!$A$6:$A$201,0)</f>
        <v>0</v>
      </c>
      <c r="AH10" s="9" t="str">
        <f>_xlfn.XLOOKUP($B10,'PEW5'!$C$6:$C$201,'PEW5'!$B$6:$B$201,"")</f>
        <v/>
      </c>
      <c r="AI10" s="79">
        <f>_xlfn.XLOOKUP(AH10,'PEW5'!$B$6:$B$201,'PEW5'!$A$6:$A$201,0)</f>
        <v>0</v>
      </c>
      <c r="AJ10" s="9" t="str">
        <f>_xlfn.XLOOKUP($B10,'PEW6'!$C$6:$C$201,'PEW6'!$B$6:$B$201,"")</f>
        <v/>
      </c>
      <c r="AK10" s="79">
        <f>_xlfn.XLOOKUP(AJ10,'PEW6'!$B$6:$B$201,'PEW6'!$A$6:$A$201,0)</f>
        <v>0</v>
      </c>
      <c r="AL10" s="9" t="str">
        <f>_xlfn.XLOOKUP($B10,'PEW7'!$C$6:$C$201,'PEW7'!$B$6:$B$201,"")</f>
        <v/>
      </c>
      <c r="AM10" s="79">
        <f>_xlfn.XLOOKUP(AL10,'PEW7'!$B$6:$B$201,'PEW7'!$A$6:$A$201,0)</f>
        <v>0</v>
      </c>
      <c r="AN10" s="9" t="str">
        <f>_xlfn.XLOOKUP($B10,'PEW8'!$C$6:$C$201,'PEW8'!$B$6:$B$201,"")</f>
        <v/>
      </c>
      <c r="AO10" s="79">
        <f>_xlfn.XLOOKUP(AN10,'PEW8'!$B$6:$B$201,'PEW8'!$A$6:$A$201,0)</f>
        <v>0</v>
      </c>
      <c r="AP10" s="9" t="str">
        <f>_xlfn.XLOOKUP($B10,'PEW9'!$C$6:$C$201,'PEW9'!$B$6:$B$201,"")</f>
        <v/>
      </c>
      <c r="AQ10" s="79">
        <f>_xlfn.XLOOKUP(AP10,'PEW9'!$B$6:$B$201,'PEW9'!$A$6:$A$201,0)</f>
        <v>0</v>
      </c>
      <c r="AR10" s="9" t="str">
        <f>_xlfn.XLOOKUP($B10,'PEW10'!$C$6:$C$201,'PEW10'!$B$6:$B$201,"")</f>
        <v/>
      </c>
      <c r="AS10" s="79">
        <f>_xlfn.XLOOKUP(AR10,'PEW10'!$B$6:$B$201,'PEW10'!$A$6:$A$201,0)</f>
        <v>0</v>
      </c>
      <c r="AT10" s="9" t="str">
        <f>_xlfn.XLOOKUP($B10,'PEW11'!$C$6:$C$201,'PEW11'!$B$6:$B$201,"")</f>
        <v/>
      </c>
      <c r="AU10" s="79">
        <f>_xlfn.XLOOKUP(AT10,'PEW11'!$B$6:$B$201,'PEW11'!$A$6:$A$201,0)</f>
        <v>0</v>
      </c>
      <c r="AV10" s="9" t="str">
        <f>_xlfn.XLOOKUP($B10,'PEW12'!$C$6:$C$201,'PEW12'!$B$6:$B$201,"")</f>
        <v/>
      </c>
      <c r="AW10" s="79">
        <f>_xlfn.XLOOKUP(AV10,'PEW12'!$B$6:$B$201,'PEW12'!$A$6:$A$201,0)</f>
        <v>0</v>
      </c>
      <c r="AX10" s="9" t="str" cm="1">
        <f t="array" ref="AX10">_xlfn.XLOOKUP($B10,IMEW!C$6:C$201,IMEW!$B$6:B$201,"")</f>
        <v/>
      </c>
      <c r="AY10" s="80">
        <f>_xlfn.XLOOKUP(AX10,IMEW!$B$6:$B$201,IMEW!$A$6:$A$201,0)</f>
        <v>0</v>
      </c>
      <c r="BA10" s="81">
        <f t="shared" si="0"/>
        <v>0</v>
      </c>
      <c r="BB10" s="81">
        <f t="shared" si="1"/>
        <v>0</v>
      </c>
      <c r="BC10" s="81">
        <f t="shared" si="2"/>
        <v>0</v>
      </c>
      <c r="BD10" s="81">
        <f t="shared" si="3"/>
        <v>0</v>
      </c>
      <c r="BE10" s="81">
        <f t="shared" si="4"/>
        <v>0</v>
      </c>
      <c r="BF10" s="81">
        <f t="shared" si="5"/>
        <v>0</v>
      </c>
      <c r="BG10" s="81">
        <f t="shared" si="6"/>
        <v>0</v>
      </c>
    </row>
    <row r="11" spans="1:59" ht="14.8" customHeight="1" x14ac:dyDescent="0.25">
      <c r="A11" s="8">
        <f>ROW()-5</f>
        <v>6</v>
      </c>
      <c r="B11" s="131" t="s">
        <v>22</v>
      </c>
      <c r="C11" s="11"/>
      <c r="D11" s="76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82.980246132766666</v>
      </c>
      <c r="E11" s="9" t="str">
        <f>_xlfn.XLOOKUP($B11,'GP1'!$C$6:$C$101,'GP1'!$B$6:$B$101,"")</f>
        <v/>
      </c>
      <c r="F11" s="77">
        <f>_xlfn.XLOOKUP(E11,'GP1'!$B$6:$B$55,'GP1'!$A$6:$A$55,0)</f>
        <v>0</v>
      </c>
      <c r="G11" s="9" t="str">
        <f>_xlfn.XLOOKUP($B11,'GP2'!$C$6:$C$101,'GP2'!$B$6:$B$101,"")</f>
        <v/>
      </c>
      <c r="H11" s="77">
        <f>_xlfn.XLOOKUP(G11,'GP2'!$B$6:$B$55,'GP2'!$A$6:$A$55,0)</f>
        <v>0</v>
      </c>
      <c r="I11" s="9">
        <f>_xlfn.XLOOKUP($B11,'GP3'!$C$6:$C$101,'GP3'!$B$6:$B$101,"")</f>
        <v>1</v>
      </c>
      <c r="J11" s="77">
        <f>_xlfn.XLOOKUP(I11,'GP3'!$B$6:$B$55,'GP3'!$A$6:$A$55,0)</f>
        <v>82.980246132766666</v>
      </c>
      <c r="K11" s="9" t="str">
        <f>_xlfn.XLOOKUP($B11,'GP4'!$C$6:$C$101,'GP4'!$B$6:$B$101,"")</f>
        <v/>
      </c>
      <c r="L11" s="77">
        <f>_xlfn.XLOOKUP(K11,'GP4'!$B$6:$B$55,'GP4'!$A$6:$A$55,0)</f>
        <v>0</v>
      </c>
      <c r="M11" s="9" t="str">
        <f>_xlfn.XLOOKUP($B11,'GP5'!$C$6:$C$101,'GP5'!$B$6:$B$101,"")</f>
        <v/>
      </c>
      <c r="N11" s="78">
        <f>_xlfn.XLOOKUP(M11,'GP5'!$B$6:$B$55,'GP5'!$A$6:$A$55,0)</f>
        <v>0</v>
      </c>
      <c r="O11" s="9" t="str">
        <f>_xlfn.XLOOKUP($B11,'GP6'!$C$6:$C$101,'GP6'!$B$6:$B$101,"")</f>
        <v/>
      </c>
      <c r="P11" s="78">
        <f>_xlfn.XLOOKUP(O11,'GP6'!$B$6:$B$55,'GP6'!$A$6:$A$55,0)</f>
        <v>0</v>
      </c>
      <c r="Q11" s="9" t="str">
        <f>_xlfn.XLOOKUP($B11,'GP7'!$C$6:$C$101,'GP7'!$B$6:$B$101,"")</f>
        <v/>
      </c>
      <c r="R11" s="78">
        <f>_xlfn.XLOOKUP(Q11,'GP7'!$B$6:$B$55,'GP7'!$A$6:$A$55,0)</f>
        <v>0</v>
      </c>
      <c r="S11" s="9" t="str">
        <f>_xlfn.XLOOKUP($B11,'GP8'!$C$6:$C$101,'GP8'!$B$6:$B$101,"")</f>
        <v/>
      </c>
      <c r="T11" s="78">
        <f>_xlfn.XLOOKUP(S11,'GP8'!$B$6:$B$55,'GP8'!$A$6:$A$55,0)</f>
        <v>0</v>
      </c>
      <c r="U11" s="9" t="str">
        <f>_xlfn.XLOOKUP(B11,MPW!C$6:C$101,MPW!B$6:B$101,"")</f>
        <v/>
      </c>
      <c r="V11" s="78">
        <f>_xlfn.XLOOKUP(U11,MPW!B$6:B$55,MPW!A$6:A$55,0)</f>
        <v>0</v>
      </c>
      <c r="X11" s="9" t="str">
        <f>_xlfn.XLOOKUP($B11,'PEW1'!$C$6:$C$201,'PEW1'!$B$6:$B$201,"")</f>
        <v/>
      </c>
      <c r="Y11" s="79">
        <f>_xlfn.XLOOKUP(X11,'PEW1'!$B$6:$B$201,'PEW1'!$A$6:$A$201,0)</f>
        <v>0</v>
      </c>
      <c r="Z11" s="9" t="str">
        <f>_xlfn.XLOOKUP($B11,'PEW2'!$C$6:$C$201,'PEW2'!$B$6:$B$201,"")</f>
        <v/>
      </c>
      <c r="AA11" s="79">
        <f>_xlfn.XLOOKUP(Z11,'PEW2'!$B$6:$B$201,'PEW2'!$A$6:$A$201,0)</f>
        <v>0</v>
      </c>
      <c r="AB11" s="9" t="str">
        <f>_xlfn.XLOOKUP($B11,'PEW3'!$C$6:$C$201,'PEW3'!$B$6:$B$201,"")</f>
        <v/>
      </c>
      <c r="AC11" s="79">
        <f>_xlfn.XLOOKUP(AB11,'PEW3'!$B$6:$B$201,'PEW3'!$A$6:$A$201,0)</f>
        <v>0</v>
      </c>
      <c r="AD11" s="9" t="str">
        <f>_xlfn.XLOOKUP($B11,VFC!$C$6:$C$201,VFC!$B$6:$B$201,"")</f>
        <v/>
      </c>
      <c r="AE11" s="79">
        <f>_xlfn.XLOOKUP(AD11,VFC!$B$6:$B$201,VFC!$A$6:$A$201,0)</f>
        <v>0</v>
      </c>
      <c r="AF11" s="9" t="str">
        <f>_xlfn.XLOOKUP($B11,'PEW4'!$C$6:$C$201,'PEW4'!$B$6:$B$201,"")</f>
        <v/>
      </c>
      <c r="AG11" s="79">
        <f>_xlfn.XLOOKUP(AF11,'PEW4'!$B$6:$B$201,'PEW4'!$A$6:$A$201,0)</f>
        <v>0</v>
      </c>
      <c r="AH11" s="9" t="str">
        <f>_xlfn.XLOOKUP($B11,'PEW5'!$C$6:$C$201,'PEW5'!$B$6:$B$201,"")</f>
        <v/>
      </c>
      <c r="AI11" s="79">
        <f>_xlfn.XLOOKUP(AH11,'PEW5'!$B$6:$B$201,'PEW5'!$A$6:$A$201,0)</f>
        <v>0</v>
      </c>
      <c r="AJ11" s="9" t="str">
        <f>_xlfn.XLOOKUP($B11,'PEW6'!$C$6:$C$201,'PEW6'!$B$6:$B$201,"")</f>
        <v/>
      </c>
      <c r="AK11" s="79">
        <f>_xlfn.XLOOKUP(AJ11,'PEW6'!$B$6:$B$201,'PEW6'!$A$6:$A$201,0)</f>
        <v>0</v>
      </c>
      <c r="AL11" s="9" t="str">
        <f>_xlfn.XLOOKUP($B11,'PEW7'!$C$6:$C$201,'PEW7'!$B$6:$B$201,"")</f>
        <v/>
      </c>
      <c r="AM11" s="79">
        <f>_xlfn.XLOOKUP(AL11,'PEW7'!$B$6:$B$201,'PEW7'!$A$6:$A$201,0)</f>
        <v>0</v>
      </c>
      <c r="AN11" s="9" t="str">
        <f>_xlfn.XLOOKUP($B11,'PEW8'!$C$6:$C$201,'PEW8'!$B$6:$B$201,"")</f>
        <v/>
      </c>
      <c r="AO11" s="79">
        <f>_xlfn.XLOOKUP(AN11,'PEW8'!$B$6:$B$201,'PEW8'!$A$6:$A$201,0)</f>
        <v>0</v>
      </c>
      <c r="AP11" s="9" t="str">
        <f>_xlfn.XLOOKUP($B11,'PEW9'!$C$6:$C$201,'PEW9'!$B$6:$B$201,"")</f>
        <v/>
      </c>
      <c r="AQ11" s="79">
        <f>_xlfn.XLOOKUP(AP11,'PEW9'!$B$6:$B$201,'PEW9'!$A$6:$A$201,0)</f>
        <v>0</v>
      </c>
      <c r="AR11" s="9" t="str">
        <f>_xlfn.XLOOKUP($B11,'PEW10'!$C$6:$C$201,'PEW10'!$B$6:$B$201,"")</f>
        <v/>
      </c>
      <c r="AS11" s="79">
        <f>_xlfn.XLOOKUP(AR11,'PEW10'!$B$6:$B$201,'PEW10'!$A$6:$A$201,0)</f>
        <v>0</v>
      </c>
      <c r="AT11" s="9" t="str">
        <f>_xlfn.XLOOKUP($B11,'PEW11'!$C$6:$C$201,'PEW11'!$B$6:$B$201,"")</f>
        <v/>
      </c>
      <c r="AU11" s="79">
        <f>_xlfn.XLOOKUP(AT11,'PEW11'!$B$6:$B$201,'PEW11'!$A$6:$A$201,0)</f>
        <v>0</v>
      </c>
      <c r="AV11" s="9" t="str">
        <f>_xlfn.XLOOKUP($B11,'PEW12'!$C$6:$C$201,'PEW12'!$B$6:$B$201,"")</f>
        <v/>
      </c>
      <c r="AW11" s="79">
        <f>_xlfn.XLOOKUP(AV11,'PEW12'!$B$6:$B$201,'PEW12'!$A$6:$A$201,0)</f>
        <v>0</v>
      </c>
      <c r="AX11" s="9" t="str" cm="1">
        <f t="array" ref="AX11">_xlfn.XLOOKUP($B11,IMEW!C$6:C$201,IMEW!$B$6:B$201,"")</f>
        <v/>
      </c>
      <c r="AY11" s="80">
        <f>_xlfn.XLOOKUP(AX11,IMEW!$B$6:$B$201,IMEW!$A$6:$A$201,0)</f>
        <v>0</v>
      </c>
      <c r="BA11" s="81">
        <f t="shared" si="0"/>
        <v>0</v>
      </c>
      <c r="BB11" s="81">
        <f t="shared" si="1"/>
        <v>0</v>
      </c>
      <c r="BC11" s="81">
        <f t="shared" si="2"/>
        <v>0</v>
      </c>
      <c r="BD11" s="81">
        <f t="shared" si="3"/>
        <v>0</v>
      </c>
      <c r="BE11" s="81">
        <f t="shared" si="4"/>
        <v>0</v>
      </c>
      <c r="BF11" s="81">
        <f t="shared" si="5"/>
        <v>0</v>
      </c>
      <c r="BG11" s="81">
        <f t="shared" si="6"/>
        <v>0</v>
      </c>
    </row>
    <row r="12" spans="1:59" ht="14.8" customHeight="1" x14ac:dyDescent="0.25">
      <c r="A12" s="8">
        <f>ROW()-5</f>
        <v>7</v>
      </c>
      <c r="B12" s="131" t="s">
        <v>25</v>
      </c>
      <c r="C12" s="11"/>
      <c r="D12" s="76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50.351155022731419</v>
      </c>
      <c r="E12" s="9">
        <f>_xlfn.XLOOKUP($B12,'GP1'!$C$6:$C$101,'GP1'!$B$6:$B$101,"")</f>
        <v>2</v>
      </c>
      <c r="F12" s="77">
        <f>_xlfn.XLOOKUP(E12,'GP1'!$B$6:$B$55,'GP1'!$A$6:$A$55,0)</f>
        <v>45.024406311809194</v>
      </c>
      <c r="G12" s="9">
        <f>_xlfn.XLOOKUP($B12,'GP2'!$C$6:$C$101,'GP2'!$B$6:$B$101,"")</f>
        <v>3</v>
      </c>
      <c r="H12" s="77">
        <f>_xlfn.XLOOKUP(G12,'GP2'!$B$6:$B$55,'GP2'!$A$6:$A$55,0)</f>
        <v>5.3267487109222245</v>
      </c>
      <c r="I12" s="9" t="str">
        <f>_xlfn.XLOOKUP($B12,'GP3'!$C$6:$C$101,'GP3'!$B$6:$B$101,"")</f>
        <v/>
      </c>
      <c r="J12" s="77">
        <f>_xlfn.XLOOKUP(I12,'GP3'!$B$6:$B$55,'GP3'!$A$6:$A$55,0)</f>
        <v>0</v>
      </c>
      <c r="K12" s="9" t="str">
        <f>_xlfn.XLOOKUP($B12,'GP4'!$C$6:$C$101,'GP4'!$B$6:$B$101,"")</f>
        <v/>
      </c>
      <c r="L12" s="77">
        <f>_xlfn.XLOOKUP(K12,'GP4'!$B$6:$B$55,'GP4'!$A$6:$A$55,0)</f>
        <v>0</v>
      </c>
      <c r="M12" s="9" t="str">
        <f>_xlfn.XLOOKUP($B12,'GP5'!$C$6:$C$101,'GP5'!$B$6:$B$101,"")</f>
        <v/>
      </c>
      <c r="N12" s="78">
        <f>_xlfn.XLOOKUP(M12,'GP5'!$B$6:$B$55,'GP5'!$A$6:$A$55,0)</f>
        <v>0</v>
      </c>
      <c r="O12" s="9" t="str">
        <f>_xlfn.XLOOKUP($B12,'GP6'!$C$6:$C$101,'GP6'!$B$6:$B$101,"")</f>
        <v/>
      </c>
      <c r="P12" s="78">
        <f>_xlfn.XLOOKUP(O12,'GP6'!$B$6:$B$55,'GP6'!$A$6:$A$55,0)</f>
        <v>0</v>
      </c>
      <c r="Q12" s="9" t="str">
        <f>_xlfn.XLOOKUP($B12,'GP7'!$C$6:$C$101,'GP7'!$B$6:$B$101,"")</f>
        <v/>
      </c>
      <c r="R12" s="78">
        <f>_xlfn.XLOOKUP(Q12,'GP7'!$B$6:$B$55,'GP7'!$A$6:$A$55,0)</f>
        <v>0</v>
      </c>
      <c r="S12" s="9" t="str">
        <f>_xlfn.XLOOKUP($B12,'GP8'!$C$6:$C$101,'GP8'!$B$6:$B$101,"")</f>
        <v/>
      </c>
      <c r="T12" s="78">
        <f>_xlfn.XLOOKUP(S12,'GP8'!$B$6:$B$55,'GP8'!$A$6:$A$55,0)</f>
        <v>0</v>
      </c>
      <c r="U12" s="9" t="str">
        <f>_xlfn.XLOOKUP(B12,MPW!C$6:C$101,MPW!B$6:B$101,"")</f>
        <v/>
      </c>
      <c r="V12" s="78">
        <f>_xlfn.XLOOKUP(U12,MPW!B$6:B$55,MPW!A$6:A$55,0)</f>
        <v>0</v>
      </c>
      <c r="X12" s="9" t="str">
        <f>_xlfn.XLOOKUP($B12,'PEW1'!$C$6:$C$201,'PEW1'!$B$6:$B$201,"")</f>
        <v/>
      </c>
      <c r="Y12" s="79">
        <f>_xlfn.XLOOKUP(X12,'PEW1'!$B$6:$B$201,'PEW1'!$A$6:$A$201,0)</f>
        <v>0</v>
      </c>
      <c r="Z12" s="9" t="str">
        <f>_xlfn.XLOOKUP($B12,'PEW2'!$C$6:$C$201,'PEW2'!$B$6:$B$201,"")</f>
        <v/>
      </c>
      <c r="AA12" s="79">
        <f>_xlfn.XLOOKUP(Z12,'PEW2'!$B$6:$B$201,'PEW2'!$A$6:$A$201,0)</f>
        <v>0</v>
      </c>
      <c r="AB12" s="9" t="str">
        <f>_xlfn.XLOOKUP($B12,'PEW3'!$C$6:$C$201,'PEW3'!$B$6:$B$201,"")</f>
        <v/>
      </c>
      <c r="AC12" s="79">
        <f>_xlfn.XLOOKUP(AB12,'PEW3'!$B$6:$B$201,'PEW3'!$A$6:$A$201,0)</f>
        <v>0</v>
      </c>
      <c r="AD12" s="9" t="str">
        <f>_xlfn.XLOOKUP($B12,VFC!$C$6:$C$201,VFC!$B$6:$B$201,"")</f>
        <v/>
      </c>
      <c r="AE12" s="79">
        <f>_xlfn.XLOOKUP(AD12,VFC!$B$6:$B$201,VFC!$A$6:$A$201,0)</f>
        <v>0</v>
      </c>
      <c r="AF12" s="9" t="str">
        <f>_xlfn.XLOOKUP($B12,'PEW4'!$C$6:$C$201,'PEW4'!$B$6:$B$201,"")</f>
        <v/>
      </c>
      <c r="AG12" s="79">
        <f>_xlfn.XLOOKUP(AF12,'PEW4'!$B$6:$B$201,'PEW4'!$A$6:$A$201,0)</f>
        <v>0</v>
      </c>
      <c r="AH12" s="9" t="str">
        <f>_xlfn.XLOOKUP($B12,'PEW5'!$C$6:$C$201,'PEW5'!$B$6:$B$201,"")</f>
        <v/>
      </c>
      <c r="AI12" s="79">
        <f>_xlfn.XLOOKUP(AH12,'PEW5'!$B$6:$B$201,'PEW5'!$A$6:$A$201,0)</f>
        <v>0</v>
      </c>
      <c r="AJ12" s="9" t="str">
        <f>_xlfn.XLOOKUP($B12,'PEW6'!$C$6:$C$201,'PEW6'!$B$6:$B$201,"")</f>
        <v/>
      </c>
      <c r="AK12" s="79">
        <f>_xlfn.XLOOKUP(AJ12,'PEW6'!$B$6:$B$201,'PEW6'!$A$6:$A$201,0)</f>
        <v>0</v>
      </c>
      <c r="AL12" s="9" t="str">
        <f>_xlfn.XLOOKUP($B12,'PEW7'!$C$6:$C$201,'PEW7'!$B$6:$B$201,"")</f>
        <v/>
      </c>
      <c r="AM12" s="79">
        <f>_xlfn.XLOOKUP(AL12,'PEW7'!$B$6:$B$201,'PEW7'!$A$6:$A$201,0)</f>
        <v>0</v>
      </c>
      <c r="AN12" s="9" t="str">
        <f>_xlfn.XLOOKUP($B12,'PEW8'!$C$6:$C$201,'PEW8'!$B$6:$B$201,"")</f>
        <v/>
      </c>
      <c r="AO12" s="79">
        <f>_xlfn.XLOOKUP(AN12,'PEW8'!$B$6:$B$201,'PEW8'!$A$6:$A$201,0)</f>
        <v>0</v>
      </c>
      <c r="AP12" s="9" t="str">
        <f>_xlfn.XLOOKUP($B12,'PEW9'!$C$6:$C$201,'PEW9'!$B$6:$B$201,"")</f>
        <v/>
      </c>
      <c r="AQ12" s="79">
        <f>_xlfn.XLOOKUP(AP12,'PEW9'!$B$6:$B$201,'PEW9'!$A$6:$A$201,0)</f>
        <v>0</v>
      </c>
      <c r="AR12" s="9" t="str">
        <f>_xlfn.XLOOKUP($B12,'PEW10'!$C$6:$C$201,'PEW10'!$B$6:$B$201,"")</f>
        <v/>
      </c>
      <c r="AS12" s="79">
        <f>_xlfn.XLOOKUP(AR12,'PEW10'!$B$6:$B$201,'PEW10'!$A$6:$A$201,0)</f>
        <v>0</v>
      </c>
      <c r="AT12" s="9" t="str">
        <f>_xlfn.XLOOKUP($B12,'PEW11'!$C$6:$C$201,'PEW11'!$B$6:$B$201,"")</f>
        <v/>
      </c>
      <c r="AU12" s="79">
        <f>_xlfn.XLOOKUP(AT12,'PEW11'!$B$6:$B$201,'PEW11'!$A$6:$A$201,0)</f>
        <v>0</v>
      </c>
      <c r="AV12" s="9" t="str">
        <f>_xlfn.XLOOKUP($B12,'PEW12'!$C$6:$C$201,'PEW12'!$B$6:$B$201,"")</f>
        <v/>
      </c>
      <c r="AW12" s="79">
        <f>_xlfn.XLOOKUP(AV12,'PEW12'!$B$6:$B$201,'PEW12'!$A$6:$A$201,0)</f>
        <v>0</v>
      </c>
      <c r="AX12" s="9" t="str" cm="1">
        <f t="array" ref="AX12">_xlfn.XLOOKUP($B12,IMEW!C$6:C$201,IMEW!$B$6:B$201,"")</f>
        <v/>
      </c>
      <c r="AY12" s="80">
        <f>_xlfn.XLOOKUP(AX12,IMEW!$B$6:$B$201,IMEW!$A$6:$A$201,0)</f>
        <v>0</v>
      </c>
      <c r="BA12" s="81">
        <f t="shared" si="0"/>
        <v>0</v>
      </c>
      <c r="BB12" s="81">
        <f t="shared" si="1"/>
        <v>0</v>
      </c>
      <c r="BC12" s="81">
        <f t="shared" si="2"/>
        <v>0</v>
      </c>
      <c r="BD12" s="81">
        <f t="shared" si="3"/>
        <v>0</v>
      </c>
      <c r="BE12" s="81">
        <f t="shared" si="4"/>
        <v>0</v>
      </c>
      <c r="BF12" s="81">
        <f t="shared" si="5"/>
        <v>0</v>
      </c>
      <c r="BG12" s="81">
        <f t="shared" si="6"/>
        <v>0</v>
      </c>
    </row>
    <row r="13" spans="1:59" ht="14.8" customHeight="1" x14ac:dyDescent="0.25">
      <c r="A13" s="8">
        <f>ROW()-5</f>
        <v>8</v>
      </c>
      <c r="B13" s="207" t="s">
        <v>23</v>
      </c>
      <c r="C13" s="11"/>
      <c r="D13" s="76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45.024406311809194</v>
      </c>
      <c r="E13" s="9" t="str">
        <f>_xlfn.XLOOKUP($B13,'GP1'!$C$6:$C$101,'GP1'!$B$6:$B$101,"")</f>
        <v/>
      </c>
      <c r="F13" s="77">
        <f>_xlfn.XLOOKUP(E13,'GP1'!$B$6:$B$55,'GP1'!$A$6:$A$55,0)</f>
        <v>0</v>
      </c>
      <c r="G13" s="9" t="str">
        <f>_xlfn.XLOOKUP($B13,'GP2'!$C$6:$C$101,'GP2'!$B$6:$B$101,"")</f>
        <v/>
      </c>
      <c r="H13" s="77">
        <f>_xlfn.XLOOKUP(G13,'GP2'!$B$6:$B$55,'GP2'!$A$6:$A$55,0)</f>
        <v>0</v>
      </c>
      <c r="I13" s="9" t="str">
        <f>_xlfn.XLOOKUP($B13,'GP3'!$C$6:$C$101,'GP3'!$B$6:$B$101,"")</f>
        <v/>
      </c>
      <c r="J13" s="77">
        <f>_xlfn.XLOOKUP(I13,'GP3'!$B$6:$B$55,'GP3'!$A$6:$A$55,0)</f>
        <v>0</v>
      </c>
      <c r="K13" s="9">
        <f>_xlfn.XLOOKUP($B13,'GP4'!$C$6:$C$101,'GP4'!$B$6:$B$101,"")</f>
        <v>2</v>
      </c>
      <c r="L13" s="77">
        <f>_xlfn.XLOOKUP(K13,'GP4'!$B$6:$B$55,'GP4'!$A$6:$A$55,0)</f>
        <v>45.024406311809194</v>
      </c>
      <c r="M13" s="9" t="str">
        <f>_xlfn.XLOOKUP($B13,'GP5'!$C$6:$C$101,'GP5'!$B$6:$B$101,"")</f>
        <v/>
      </c>
      <c r="N13" s="78">
        <f>_xlfn.XLOOKUP(M13,'GP5'!$B$6:$B$55,'GP5'!$A$6:$A$55,0)</f>
        <v>0</v>
      </c>
      <c r="O13" s="9" t="str">
        <f>_xlfn.XLOOKUP($B13,'GP6'!$C$6:$C$101,'GP6'!$B$6:$B$101,"")</f>
        <v/>
      </c>
      <c r="P13" s="78">
        <f>_xlfn.XLOOKUP(O13,'GP6'!$B$6:$B$55,'GP6'!$A$6:$A$55,0)</f>
        <v>0</v>
      </c>
      <c r="Q13" s="9" t="str">
        <f>_xlfn.XLOOKUP($B13,'GP7'!$C$6:$C$101,'GP7'!$B$6:$B$101,"")</f>
        <v/>
      </c>
      <c r="R13" s="78">
        <f>_xlfn.XLOOKUP(Q13,'GP7'!$B$6:$B$55,'GP7'!$A$6:$A$55,0)</f>
        <v>0</v>
      </c>
      <c r="S13" s="9" t="str">
        <f>_xlfn.XLOOKUP($B13,'GP8'!$C$6:$C$101,'GP8'!$B$6:$B$101,"")</f>
        <v/>
      </c>
      <c r="T13" s="78">
        <f>_xlfn.XLOOKUP(S13,'GP8'!$B$6:$B$55,'GP8'!$A$6:$A$55,0)</f>
        <v>0</v>
      </c>
      <c r="U13" s="9" t="str">
        <f>_xlfn.XLOOKUP(B13,MPW!C$6:C$101,MPW!B$6:B$101,"")</f>
        <v/>
      </c>
      <c r="V13" s="78">
        <f>_xlfn.XLOOKUP(U13,MPW!B$6:B$55,MPW!A$6:A$55,0)</f>
        <v>0</v>
      </c>
      <c r="X13" s="9" t="str">
        <f>_xlfn.XLOOKUP($B13,'PEW1'!$C$6:$C$201,'PEW1'!$B$6:$B$201,"")</f>
        <v/>
      </c>
      <c r="Y13" s="79">
        <f>_xlfn.XLOOKUP(X13,'PEW1'!$B$6:$B$201,'PEW1'!$A$6:$A$201,0)</f>
        <v>0</v>
      </c>
      <c r="Z13" s="9" t="str">
        <f>_xlfn.XLOOKUP($B13,'PEW2'!$C$6:$C$201,'PEW2'!$B$6:$B$201,"")</f>
        <v/>
      </c>
      <c r="AA13" s="79">
        <f>_xlfn.XLOOKUP(Z13,'PEW2'!$B$6:$B$201,'PEW2'!$A$6:$A$201,0)</f>
        <v>0</v>
      </c>
      <c r="AB13" s="9" t="str">
        <f>_xlfn.XLOOKUP($B13,'PEW3'!$C$6:$C$201,'PEW3'!$B$6:$B$201,"")</f>
        <v/>
      </c>
      <c r="AC13" s="79">
        <f>_xlfn.XLOOKUP(AB13,'PEW3'!$B$6:$B$201,'PEW3'!$A$6:$A$201,0)</f>
        <v>0</v>
      </c>
      <c r="AD13" s="9" t="str">
        <f>_xlfn.XLOOKUP($B13,VFC!$C$6:$C$201,VFC!$B$6:$B$201,"")</f>
        <v/>
      </c>
      <c r="AE13" s="79">
        <f>_xlfn.XLOOKUP(AD13,VFC!$B$6:$B$201,VFC!$A$6:$A$201,0)</f>
        <v>0</v>
      </c>
      <c r="AF13" s="9" t="str">
        <f>_xlfn.XLOOKUP($B13,'PEW4'!$C$6:$C$201,'PEW4'!$B$6:$B$201,"")</f>
        <v/>
      </c>
      <c r="AG13" s="79">
        <f>_xlfn.XLOOKUP(AF13,'PEW4'!$B$6:$B$201,'PEW4'!$A$6:$A$201,0)</f>
        <v>0</v>
      </c>
      <c r="AH13" s="9" t="str">
        <f>_xlfn.XLOOKUP($B13,'PEW5'!$C$6:$C$201,'PEW5'!$B$6:$B$201,"")</f>
        <v/>
      </c>
      <c r="AI13" s="79">
        <f>_xlfn.XLOOKUP(AH13,'PEW5'!$B$6:$B$201,'PEW5'!$A$6:$A$201,0)</f>
        <v>0</v>
      </c>
      <c r="AJ13" s="9" t="str">
        <f>_xlfn.XLOOKUP($B13,'PEW6'!$C$6:$C$201,'PEW6'!$B$6:$B$201,"")</f>
        <v/>
      </c>
      <c r="AK13" s="79">
        <f>_xlfn.XLOOKUP(AJ13,'PEW6'!$B$6:$B$201,'PEW6'!$A$6:$A$201,0)</f>
        <v>0</v>
      </c>
      <c r="AL13" s="9" t="str">
        <f>_xlfn.XLOOKUP($B13,'PEW7'!$C$6:$C$201,'PEW7'!$B$6:$B$201,"")</f>
        <v/>
      </c>
      <c r="AM13" s="79">
        <f>_xlfn.XLOOKUP(AL13,'PEW7'!$B$6:$B$201,'PEW7'!$A$6:$A$201,0)</f>
        <v>0</v>
      </c>
      <c r="AN13" s="9" t="str">
        <f>_xlfn.XLOOKUP($B13,'PEW8'!$C$6:$C$201,'PEW8'!$B$6:$B$201,"")</f>
        <v/>
      </c>
      <c r="AO13" s="79">
        <f>_xlfn.XLOOKUP(AN13,'PEW8'!$B$6:$B$201,'PEW8'!$A$6:$A$201,0)</f>
        <v>0</v>
      </c>
      <c r="AP13" s="9" t="str">
        <f>_xlfn.XLOOKUP($B13,'PEW9'!$C$6:$C$201,'PEW9'!$B$6:$B$201,"")</f>
        <v/>
      </c>
      <c r="AQ13" s="79">
        <f>_xlfn.XLOOKUP(AP13,'PEW9'!$B$6:$B$201,'PEW9'!$A$6:$A$201,0)</f>
        <v>0</v>
      </c>
      <c r="AR13" s="9" t="str">
        <f>_xlfn.XLOOKUP($B13,'PEW10'!$C$6:$C$201,'PEW10'!$B$6:$B$201,"")</f>
        <v/>
      </c>
      <c r="AS13" s="79">
        <f>_xlfn.XLOOKUP(AR13,'PEW10'!$B$6:$B$201,'PEW10'!$A$6:$A$201,0)</f>
        <v>0</v>
      </c>
      <c r="AT13" s="9" t="str">
        <f>_xlfn.XLOOKUP($B13,'PEW11'!$C$6:$C$201,'PEW11'!$B$6:$B$201,"")</f>
        <v/>
      </c>
      <c r="AU13" s="79">
        <f>_xlfn.XLOOKUP(AT13,'PEW11'!$B$6:$B$201,'PEW11'!$A$6:$A$201,0)</f>
        <v>0</v>
      </c>
      <c r="AV13" s="9" t="str">
        <f>_xlfn.XLOOKUP($B13,'PEW12'!$C$6:$C$201,'PEW12'!$B$6:$B$201,"")</f>
        <v/>
      </c>
      <c r="AW13" s="79">
        <f>_xlfn.XLOOKUP(AV13,'PEW12'!$B$6:$B$201,'PEW12'!$A$6:$A$201,0)</f>
        <v>0</v>
      </c>
      <c r="AX13" s="9" t="str" cm="1">
        <f t="array" ref="AX13">_xlfn.XLOOKUP($B13,IMEW!C$6:C$201,IMEW!$B$6:B$201,"")</f>
        <v/>
      </c>
      <c r="AY13" s="80">
        <f>_xlfn.XLOOKUP(AX13,IMEW!$B$6:$B$201,IMEW!$A$6:$A$201,0)</f>
        <v>0</v>
      </c>
      <c r="BA13" s="81">
        <f t="shared" si="0"/>
        <v>0</v>
      </c>
      <c r="BB13" s="81">
        <f t="shared" si="1"/>
        <v>0</v>
      </c>
      <c r="BC13" s="81">
        <f t="shared" si="2"/>
        <v>0</v>
      </c>
      <c r="BD13" s="81">
        <f t="shared" si="3"/>
        <v>0</v>
      </c>
      <c r="BE13" s="81">
        <f t="shared" si="4"/>
        <v>0</v>
      </c>
      <c r="BF13" s="81">
        <f t="shared" si="5"/>
        <v>0</v>
      </c>
      <c r="BG13" s="81">
        <f t="shared" si="6"/>
        <v>0</v>
      </c>
    </row>
    <row r="14" spans="1:59" ht="14.8" customHeight="1" x14ac:dyDescent="0.25">
      <c r="A14" s="8">
        <f>ROW()-5</f>
        <v>9</v>
      </c>
      <c r="B14" s="131" t="s">
        <v>247</v>
      </c>
      <c r="C14" s="11"/>
      <c r="D14" s="76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8.5595262993692387</v>
      </c>
      <c r="E14" s="9" t="str">
        <f>_xlfn.XLOOKUP($B14,'GP1'!$C$6:$C$101,'GP1'!$B$6:$B$101,"")</f>
        <v/>
      </c>
      <c r="F14" s="77">
        <f>_xlfn.XLOOKUP(E14,'GP1'!$B$6:$B$55,'GP1'!$A$6:$A$55,0)</f>
        <v>0</v>
      </c>
      <c r="G14" s="9" t="str">
        <f>_xlfn.XLOOKUP($B14,'GP2'!$C$6:$C$101,'GP2'!$B$6:$B$101,"")</f>
        <v/>
      </c>
      <c r="H14" s="77">
        <f>_xlfn.XLOOKUP(G14,'GP2'!$B$6:$B$55,'GP2'!$A$6:$A$55,0)</f>
        <v>0</v>
      </c>
      <c r="I14" s="9" t="str">
        <f>_xlfn.XLOOKUP($B14,'GP3'!$C$6:$C$101,'GP3'!$B$6:$B$101,"")</f>
        <v/>
      </c>
      <c r="J14" s="77">
        <f>_xlfn.XLOOKUP(I14,'GP3'!$B$6:$B$55,'GP3'!$A$6:$A$55,0)</f>
        <v>0</v>
      </c>
      <c r="K14" s="9" t="str">
        <f>_xlfn.XLOOKUP($B14,'GP4'!$C$6:$C$101,'GP4'!$B$6:$B$101,"")</f>
        <v/>
      </c>
      <c r="L14" s="77">
        <f>_xlfn.XLOOKUP(K14,'GP4'!$B$6:$B$55,'GP4'!$A$6:$A$55,0)</f>
        <v>0</v>
      </c>
      <c r="M14" s="9" t="str">
        <f>_xlfn.XLOOKUP($B14,'GP5'!$C$6:$C$101,'GP5'!$B$6:$B$101,"")</f>
        <v/>
      </c>
      <c r="N14" s="78">
        <f>_xlfn.XLOOKUP(M14,'GP5'!$B$6:$B$55,'GP5'!$A$6:$A$55,0)</f>
        <v>0</v>
      </c>
      <c r="O14" s="9" t="str">
        <f>_xlfn.XLOOKUP($B14,'GP6'!$C$6:$C$101,'GP6'!$B$6:$B$101,"")</f>
        <v/>
      </c>
      <c r="P14" s="78">
        <f>_xlfn.XLOOKUP(O14,'GP6'!$B$6:$B$55,'GP6'!$A$6:$A$55,0)</f>
        <v>0</v>
      </c>
      <c r="Q14" s="9" t="str">
        <f>_xlfn.XLOOKUP($B14,'GP7'!$C$6:$C$101,'GP7'!$B$6:$B$101,"")</f>
        <v/>
      </c>
      <c r="R14" s="78">
        <f>_xlfn.XLOOKUP(Q14,'GP7'!$B$6:$B$55,'GP7'!$A$6:$A$55,0)</f>
        <v>0</v>
      </c>
      <c r="S14" s="9">
        <f>_xlfn.XLOOKUP($B14,'GP8'!$C$6:$C$101,'GP8'!$B$6:$B$101,"")</f>
        <v>2</v>
      </c>
      <c r="T14" s="78">
        <f>_xlfn.XLOOKUP(S14,'GP8'!$B$6:$B$55,'GP8'!$A$6:$A$55,0)</f>
        <v>8.5595262993692387</v>
      </c>
      <c r="U14" s="9" t="str">
        <f>_xlfn.XLOOKUP(B14,MPW!C$6:C$101,MPW!B$6:B$101,"")</f>
        <v/>
      </c>
      <c r="V14" s="78">
        <f>_xlfn.XLOOKUP(U14,MPW!B$6:B$55,MPW!A$6:A$55,0)</f>
        <v>0</v>
      </c>
      <c r="X14" s="9" t="str">
        <f>_xlfn.XLOOKUP($B14,'PEW1'!$C$6:$C$201,'PEW1'!$B$6:$B$201,"")</f>
        <v/>
      </c>
      <c r="Y14" s="79">
        <f>_xlfn.XLOOKUP(X14,'PEW1'!$B$6:$B$201,'PEW1'!$A$6:$A$201,0)</f>
        <v>0</v>
      </c>
      <c r="Z14" s="9" t="str">
        <f>_xlfn.XLOOKUP($B14,'PEW2'!$C$6:$C$201,'PEW2'!$B$6:$B$201,"")</f>
        <v/>
      </c>
      <c r="AA14" s="79">
        <f>_xlfn.XLOOKUP(Z14,'PEW2'!$B$6:$B$201,'PEW2'!$A$6:$A$201,0)</f>
        <v>0</v>
      </c>
      <c r="AB14" s="9" t="str">
        <f>_xlfn.XLOOKUP($B14,'PEW3'!$C$6:$C$201,'PEW3'!$B$6:$B$201,"")</f>
        <v/>
      </c>
      <c r="AC14" s="79">
        <f>_xlfn.XLOOKUP(AB14,'PEW3'!$B$6:$B$201,'PEW3'!$A$6:$A$201,0)</f>
        <v>0</v>
      </c>
      <c r="AD14" s="9" t="str">
        <f>_xlfn.XLOOKUP($B14,VFC!$C$6:$C$201,VFC!$B$6:$B$201,"")</f>
        <v/>
      </c>
      <c r="AE14" s="79">
        <f>_xlfn.XLOOKUP(AD14,VFC!$B$6:$B$201,VFC!$A$6:$A$201,0)</f>
        <v>0</v>
      </c>
      <c r="AF14" s="9" t="str">
        <f>_xlfn.XLOOKUP($B14,'PEW4'!$C$6:$C$201,'PEW4'!$B$6:$B$201,"")</f>
        <v/>
      </c>
      <c r="AG14" s="79">
        <f>_xlfn.XLOOKUP(AF14,'PEW4'!$B$6:$B$201,'PEW4'!$A$6:$A$201,0)</f>
        <v>0</v>
      </c>
      <c r="AH14" s="9" t="str">
        <f>_xlfn.XLOOKUP($B14,'PEW5'!$C$6:$C$201,'PEW5'!$B$6:$B$201,"")</f>
        <v/>
      </c>
      <c r="AI14" s="79">
        <f>_xlfn.XLOOKUP(AH14,'PEW5'!$B$6:$B$201,'PEW5'!$A$6:$A$201,0)</f>
        <v>0</v>
      </c>
      <c r="AJ14" s="9" t="str">
        <f>_xlfn.XLOOKUP($B14,'PEW6'!$C$6:$C$201,'PEW6'!$B$6:$B$201,"")</f>
        <v/>
      </c>
      <c r="AK14" s="79">
        <f>_xlfn.XLOOKUP(AJ14,'PEW6'!$B$6:$B$201,'PEW6'!$A$6:$A$201,0)</f>
        <v>0</v>
      </c>
      <c r="AL14" s="9" t="str">
        <f>_xlfn.XLOOKUP($B14,'PEW7'!$C$6:$C$201,'PEW7'!$B$6:$B$201,"")</f>
        <v/>
      </c>
      <c r="AM14" s="79">
        <f>_xlfn.XLOOKUP(AL14,'PEW7'!$B$6:$B$201,'PEW7'!$A$6:$A$201,0)</f>
        <v>0</v>
      </c>
      <c r="AN14" s="9" t="str">
        <f>_xlfn.XLOOKUP($B14,'PEW8'!$C$6:$C$201,'PEW8'!$B$6:$B$201,"")</f>
        <v/>
      </c>
      <c r="AO14" s="79">
        <f>_xlfn.XLOOKUP(AN14,'PEW8'!$B$6:$B$201,'PEW8'!$A$6:$A$201,0)</f>
        <v>0</v>
      </c>
      <c r="AP14" s="9" t="str">
        <f>_xlfn.XLOOKUP($B14,'PEW9'!$C$6:$C$201,'PEW9'!$B$6:$B$201,"")</f>
        <v/>
      </c>
      <c r="AQ14" s="79">
        <f>_xlfn.XLOOKUP(AP14,'PEW9'!$B$6:$B$201,'PEW9'!$A$6:$A$201,0)</f>
        <v>0</v>
      </c>
      <c r="AR14" s="9" t="str">
        <f>_xlfn.XLOOKUP($B14,'PEW10'!$C$6:$C$201,'PEW10'!$B$6:$B$201,"")</f>
        <v/>
      </c>
      <c r="AS14" s="79">
        <f>_xlfn.XLOOKUP(AR14,'PEW10'!$B$6:$B$201,'PEW10'!$A$6:$A$201,0)</f>
        <v>0</v>
      </c>
      <c r="AT14" s="9" t="str">
        <f>_xlfn.XLOOKUP($B14,'PEW11'!$C$6:$C$201,'PEW11'!$B$6:$B$201,"")</f>
        <v/>
      </c>
      <c r="AU14" s="79">
        <f>_xlfn.XLOOKUP(AT14,'PEW11'!$B$6:$B$201,'PEW11'!$A$6:$A$201,0)</f>
        <v>0</v>
      </c>
      <c r="AV14" s="9" t="str">
        <f>_xlfn.XLOOKUP($B14,'PEW12'!$C$6:$C$201,'PEW12'!$B$6:$B$201,"")</f>
        <v/>
      </c>
      <c r="AW14" s="79">
        <f>_xlfn.XLOOKUP(AV14,'PEW12'!$B$6:$B$201,'PEW12'!$A$6:$A$201,0)</f>
        <v>0</v>
      </c>
      <c r="AX14" s="9" t="str" cm="1">
        <f t="array" ref="AX14">_xlfn.XLOOKUP($B14,IMEW!C$6:C$201,IMEW!$B$6:B$201,"")</f>
        <v/>
      </c>
      <c r="AY14" s="80">
        <f>_xlfn.XLOOKUP(AX14,IMEW!$B$6:$B$201,IMEW!$A$6:$A$201,0)</f>
        <v>0</v>
      </c>
      <c r="BA14" s="81">
        <f t="shared" si="0"/>
        <v>0</v>
      </c>
      <c r="BB14" s="81">
        <f t="shared" si="1"/>
        <v>0</v>
      </c>
      <c r="BC14" s="81">
        <f t="shared" si="2"/>
        <v>0</v>
      </c>
      <c r="BD14" s="81">
        <f t="shared" si="3"/>
        <v>0</v>
      </c>
      <c r="BE14" s="81">
        <f t="shared" si="4"/>
        <v>0</v>
      </c>
      <c r="BF14" s="81">
        <f t="shared" si="5"/>
        <v>0</v>
      </c>
      <c r="BG14" s="81">
        <f t="shared" si="6"/>
        <v>0</v>
      </c>
    </row>
    <row r="15" spans="1:59" ht="14.8" customHeight="1" x14ac:dyDescent="0.25">
      <c r="A15" s="8">
        <f>ROW()-5</f>
        <v>10</v>
      </c>
      <c r="B15" s="131" t="s">
        <v>27</v>
      </c>
      <c r="C15" s="11"/>
      <c r="D15" s="76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4.2</v>
      </c>
      <c r="E15" s="9">
        <f>_xlfn.XLOOKUP($B15,'GP1'!$C$6:$C$101,'GP1'!$B$6:$B$101,"")</f>
        <v>4</v>
      </c>
      <c r="F15" s="77">
        <f>_xlfn.XLOOKUP(E15,'GP1'!$B$6:$B$55,'GP1'!$A$6:$A$55,0)</f>
        <v>1</v>
      </c>
      <c r="G15" s="9" t="str">
        <f>_xlfn.XLOOKUP($B15,'GP2'!$C$6:$C$101,'GP2'!$B$6:$B$101,"")</f>
        <v/>
      </c>
      <c r="H15" s="77">
        <f>_xlfn.XLOOKUP(G15,'GP2'!$B$6:$B$55,'GP2'!$A$6:$A$55,0)</f>
        <v>0</v>
      </c>
      <c r="I15" s="9" t="str">
        <f>_xlfn.XLOOKUP($B15,'GP3'!$C$6:$C$101,'GP3'!$B$6:$B$101,"")</f>
        <v/>
      </c>
      <c r="J15" s="77">
        <f>_xlfn.XLOOKUP(I15,'GP3'!$B$6:$B$55,'GP3'!$A$6:$A$55,0)</f>
        <v>0</v>
      </c>
      <c r="K15" s="9">
        <f>_xlfn.XLOOKUP($B15,'GP4'!$C$6:$C$101,'GP4'!$B$6:$B$101,"")</f>
        <v>4</v>
      </c>
      <c r="L15" s="77">
        <f>_xlfn.XLOOKUP(K15,'GP4'!$B$6:$B$55,'GP4'!$A$6:$A$55,0)</f>
        <v>1</v>
      </c>
      <c r="M15" s="9" t="str">
        <f>_xlfn.XLOOKUP($B15,'GP5'!$C$6:$C$101,'GP5'!$B$6:$B$101,"")</f>
        <v/>
      </c>
      <c r="N15" s="78">
        <f>_xlfn.XLOOKUP(M15,'GP5'!$B$6:$B$55,'GP5'!$A$6:$A$55,0)</f>
        <v>0</v>
      </c>
      <c r="O15" s="9">
        <f>_xlfn.XLOOKUP($B15,'GP6'!$C$6:$C$101,'GP6'!$B$6:$B$101,"")</f>
        <v>5</v>
      </c>
      <c r="P15" s="78">
        <f>_xlfn.XLOOKUP(O15,'GP6'!$B$6:$B$55,'GP6'!$A$6:$A$55,0)</f>
        <v>1</v>
      </c>
      <c r="Q15" s="9" t="str">
        <f>_xlfn.XLOOKUP($B15,'GP7'!$C$6:$C$101,'GP7'!$B$6:$B$101,"")</f>
        <v/>
      </c>
      <c r="R15" s="78">
        <f>_xlfn.XLOOKUP(Q15,'GP7'!$B$6:$B$55,'GP7'!$A$6:$A$55,0)</f>
        <v>0</v>
      </c>
      <c r="S15" s="9" t="str">
        <f>_xlfn.XLOOKUP($B15,'GP8'!$C$6:$C$101,'GP8'!$B$6:$B$101,"")</f>
        <v/>
      </c>
      <c r="T15" s="78">
        <f>_xlfn.XLOOKUP(S15,'GP8'!$B$6:$B$55,'GP8'!$A$6:$A$55,0)</f>
        <v>0</v>
      </c>
      <c r="U15" s="9">
        <f>_xlfn.XLOOKUP(B15,MPW!C$6:C$101,MPW!B$6:B$101,"")</f>
        <v>4</v>
      </c>
      <c r="V15" s="78">
        <f>_xlfn.XLOOKUP(U15,MPW!B$6:B$55,MPW!A$6:A$55,0)</f>
        <v>1.2</v>
      </c>
      <c r="X15" s="9" t="str">
        <f>_xlfn.XLOOKUP($B15,'PEW1'!$C$6:$C$201,'PEW1'!$B$6:$B$201,"")</f>
        <v/>
      </c>
      <c r="Y15" s="79">
        <f>_xlfn.XLOOKUP(X15,'PEW1'!$B$6:$B$201,'PEW1'!$A$6:$A$201,0)</f>
        <v>0</v>
      </c>
      <c r="Z15" s="9" t="str">
        <f>_xlfn.XLOOKUP($B15,'PEW2'!$C$6:$C$201,'PEW2'!$B$6:$B$201,"")</f>
        <v/>
      </c>
      <c r="AA15" s="79">
        <f>_xlfn.XLOOKUP(Z15,'PEW2'!$B$6:$B$201,'PEW2'!$A$6:$A$201,0)</f>
        <v>0</v>
      </c>
      <c r="AB15" s="9" t="str">
        <f>_xlfn.XLOOKUP($B15,'PEW3'!$C$6:$C$201,'PEW3'!$B$6:$B$201,"")</f>
        <v/>
      </c>
      <c r="AC15" s="79">
        <f>_xlfn.XLOOKUP(AB15,'PEW3'!$B$6:$B$201,'PEW3'!$A$6:$A$201,0)</f>
        <v>0</v>
      </c>
      <c r="AD15" s="9" t="str">
        <f>_xlfn.XLOOKUP($B15,VFC!$C$6:$C$201,VFC!$B$6:$B$201,"")</f>
        <v/>
      </c>
      <c r="AE15" s="79">
        <f>_xlfn.XLOOKUP(AD15,VFC!$B$6:$B$201,VFC!$A$6:$A$201,0)</f>
        <v>0</v>
      </c>
      <c r="AF15" s="9" t="str">
        <f>_xlfn.XLOOKUP($B15,'PEW4'!$C$6:$C$201,'PEW4'!$B$6:$B$201,"")</f>
        <v/>
      </c>
      <c r="AG15" s="79">
        <f>_xlfn.XLOOKUP(AF15,'PEW4'!$B$6:$B$201,'PEW4'!$A$6:$A$201,0)</f>
        <v>0</v>
      </c>
      <c r="AH15" s="9" t="str">
        <f>_xlfn.XLOOKUP($B15,'PEW5'!$C$6:$C$201,'PEW5'!$B$6:$B$201,"")</f>
        <v/>
      </c>
      <c r="AI15" s="79">
        <f>_xlfn.XLOOKUP(AH15,'PEW5'!$B$6:$B$201,'PEW5'!$A$6:$A$201,0)</f>
        <v>0</v>
      </c>
      <c r="AJ15" s="9" t="str">
        <f>_xlfn.XLOOKUP($B15,'PEW6'!$C$6:$C$201,'PEW6'!$B$6:$B$201,"")</f>
        <v/>
      </c>
      <c r="AK15" s="79">
        <f>_xlfn.XLOOKUP(AJ15,'PEW6'!$B$6:$B$201,'PEW6'!$A$6:$A$201,0)</f>
        <v>0</v>
      </c>
      <c r="AL15" s="9" t="str">
        <f>_xlfn.XLOOKUP($B15,'PEW7'!$C$6:$C$201,'PEW7'!$B$6:$B$201,"")</f>
        <v/>
      </c>
      <c r="AM15" s="79">
        <f>_xlfn.XLOOKUP(AL15,'PEW7'!$B$6:$B$201,'PEW7'!$A$6:$A$201,0)</f>
        <v>0</v>
      </c>
      <c r="AN15" s="9" t="str">
        <f>_xlfn.XLOOKUP($B15,'PEW8'!$C$6:$C$201,'PEW8'!$B$6:$B$201,"")</f>
        <v/>
      </c>
      <c r="AO15" s="79">
        <f>_xlfn.XLOOKUP(AN15,'PEW8'!$B$6:$B$201,'PEW8'!$A$6:$A$201,0)</f>
        <v>0</v>
      </c>
      <c r="AP15" s="9" t="str">
        <f>_xlfn.XLOOKUP($B15,'PEW9'!$C$6:$C$201,'PEW9'!$B$6:$B$201,"")</f>
        <v/>
      </c>
      <c r="AQ15" s="79">
        <f>_xlfn.XLOOKUP(AP15,'PEW9'!$B$6:$B$201,'PEW9'!$A$6:$A$201,0)</f>
        <v>0</v>
      </c>
      <c r="AR15" s="9" t="str">
        <f>_xlfn.XLOOKUP($B15,'PEW10'!$C$6:$C$201,'PEW10'!$B$6:$B$201,"")</f>
        <v/>
      </c>
      <c r="AS15" s="79">
        <f>_xlfn.XLOOKUP(AR15,'PEW10'!$B$6:$B$201,'PEW10'!$A$6:$A$201,0)</f>
        <v>0</v>
      </c>
      <c r="AT15" s="9" t="str">
        <f>_xlfn.XLOOKUP($B15,'PEW11'!$C$6:$C$201,'PEW11'!$B$6:$B$201,"")</f>
        <v/>
      </c>
      <c r="AU15" s="79">
        <f>_xlfn.XLOOKUP(AT15,'PEW11'!$B$6:$B$201,'PEW11'!$A$6:$A$201,0)</f>
        <v>0</v>
      </c>
      <c r="AV15" s="9" t="str">
        <f>_xlfn.XLOOKUP($B15,'PEW12'!$C$6:$C$201,'PEW12'!$B$6:$B$201,"")</f>
        <v/>
      </c>
      <c r="AW15" s="79">
        <f>_xlfn.XLOOKUP(AV15,'PEW12'!$B$6:$B$201,'PEW12'!$A$6:$A$201,0)</f>
        <v>0</v>
      </c>
      <c r="AX15" s="9" t="str" cm="1">
        <f t="array" ref="AX15">_xlfn.XLOOKUP($B15,IMEW!C$6:C$201,IMEW!$B$6:B$201,"")</f>
        <v/>
      </c>
      <c r="AY15" s="80">
        <f>_xlfn.XLOOKUP(AX15,IMEW!$B$6:$B$201,IMEW!$A$6:$A$201,0)</f>
        <v>0</v>
      </c>
      <c r="BA15" s="81">
        <f t="shared" si="0"/>
        <v>0</v>
      </c>
      <c r="BB15" s="81">
        <f t="shared" si="1"/>
        <v>0</v>
      </c>
      <c r="BC15" s="81">
        <f t="shared" si="2"/>
        <v>0</v>
      </c>
      <c r="BD15" s="81">
        <f t="shared" si="3"/>
        <v>0</v>
      </c>
      <c r="BE15" s="81">
        <f t="shared" si="4"/>
        <v>0</v>
      </c>
      <c r="BF15" s="81">
        <f t="shared" si="5"/>
        <v>0</v>
      </c>
      <c r="BG15" s="81">
        <f t="shared" si="6"/>
        <v>0</v>
      </c>
    </row>
    <row r="16" spans="1:59" ht="14.8" customHeight="1" x14ac:dyDescent="0.25">
      <c r="A16" s="8">
        <f>ROW()-5</f>
        <v>11</v>
      </c>
      <c r="B16" s="131" t="s">
        <v>28</v>
      </c>
      <c r="C16" s="11"/>
      <c r="D16" s="76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9" t="str">
        <f>_xlfn.XLOOKUP($B16,'GP1'!$C$6:$C$101,'GP1'!$B$6:$B$101,"")</f>
        <v/>
      </c>
      <c r="F16" s="77">
        <f>_xlfn.XLOOKUP(E16,'GP1'!$B$6:$B$55,'GP1'!$A$6:$A$55,0)</f>
        <v>0</v>
      </c>
      <c r="G16" s="9" t="str">
        <f>_xlfn.XLOOKUP($B16,'GP2'!$C$6:$C$101,'GP2'!$B$6:$B$101,"")</f>
        <v/>
      </c>
      <c r="H16" s="77">
        <f>_xlfn.XLOOKUP(G16,'GP2'!$B$6:$B$55,'GP2'!$A$6:$A$55,0)</f>
        <v>0</v>
      </c>
      <c r="I16" s="9" t="str">
        <f>_xlfn.XLOOKUP($B16,'GP3'!$C$6:$C$101,'GP3'!$B$6:$B$101,"")</f>
        <v/>
      </c>
      <c r="J16" s="77">
        <f>_xlfn.XLOOKUP(I16,'GP3'!$B$6:$B$55,'GP3'!$A$6:$A$55,0)</f>
        <v>0</v>
      </c>
      <c r="K16" s="9" t="str">
        <f>_xlfn.XLOOKUP($B16,'GP4'!$C$6:$C$101,'GP4'!$B$6:$B$101,"")</f>
        <v/>
      </c>
      <c r="L16" s="77">
        <f>_xlfn.XLOOKUP(K16,'GP4'!$B$6:$B$55,'GP4'!$A$6:$A$55,0)</f>
        <v>0</v>
      </c>
      <c r="M16" s="9" t="str">
        <f>_xlfn.XLOOKUP($B16,'GP5'!$C$6:$C$101,'GP5'!$B$6:$B$101,"")</f>
        <v/>
      </c>
      <c r="N16" s="78">
        <f>_xlfn.XLOOKUP(M16,'GP5'!$B$6:$B$55,'GP5'!$A$6:$A$55,0)</f>
        <v>0</v>
      </c>
      <c r="O16" s="9" t="str">
        <f>_xlfn.XLOOKUP($B16,'GP6'!$C$6:$C$101,'GP6'!$B$6:$B$101,"")</f>
        <v/>
      </c>
      <c r="P16" s="78">
        <f>_xlfn.XLOOKUP(O16,'GP6'!$B$6:$B$55,'GP6'!$A$6:$A$55,0)</f>
        <v>0</v>
      </c>
      <c r="Q16" s="9" t="str">
        <f>_xlfn.XLOOKUP($B16,'GP7'!$C$6:$C$101,'GP7'!$B$6:$B$101,"")</f>
        <v/>
      </c>
      <c r="R16" s="78">
        <f>_xlfn.XLOOKUP(Q16,'GP7'!$B$6:$B$55,'GP7'!$A$6:$A$55,0)</f>
        <v>0</v>
      </c>
      <c r="S16" s="9" t="str">
        <f>_xlfn.XLOOKUP($B16,'GP8'!$C$6:$C$101,'GP8'!$B$6:$B$101,"")</f>
        <v/>
      </c>
      <c r="T16" s="78">
        <f>_xlfn.XLOOKUP(S16,'GP8'!$B$6:$B$55,'GP8'!$A$6:$A$55,0)</f>
        <v>0</v>
      </c>
      <c r="U16" s="9" t="str">
        <f>_xlfn.XLOOKUP(B16,MPW!C$6:C$101,MPW!B$6:B$101,"")</f>
        <v/>
      </c>
      <c r="V16" s="78">
        <f>_xlfn.XLOOKUP(U16,MPW!B$6:B$55,MPW!A$6:A$55,0)</f>
        <v>0</v>
      </c>
      <c r="X16" s="9" t="str">
        <f>_xlfn.XLOOKUP($B16,'PEW1'!$C$6:$C$201,'PEW1'!$B$6:$B$201,"")</f>
        <v/>
      </c>
      <c r="Y16" s="79">
        <f>_xlfn.XLOOKUP(X16,'PEW1'!$B$6:$B$201,'PEW1'!$A$6:$A$201,0)</f>
        <v>0</v>
      </c>
      <c r="Z16" s="9" t="str">
        <f>_xlfn.XLOOKUP($B16,'PEW2'!$C$6:$C$201,'PEW2'!$B$6:$B$201,"")</f>
        <v/>
      </c>
      <c r="AA16" s="79">
        <f>_xlfn.XLOOKUP(Z16,'PEW2'!$B$6:$B$201,'PEW2'!$A$6:$A$201,0)</f>
        <v>0</v>
      </c>
      <c r="AB16" s="9" t="str">
        <f>_xlfn.XLOOKUP($B16,'PEW3'!$C$6:$C$201,'PEW3'!$B$6:$B$201,"")</f>
        <v/>
      </c>
      <c r="AC16" s="79">
        <f>_xlfn.XLOOKUP(AB16,'PEW3'!$B$6:$B$201,'PEW3'!$A$6:$A$201,0)</f>
        <v>0</v>
      </c>
      <c r="AD16" s="9" t="str">
        <f>_xlfn.XLOOKUP($B16,VFC!$C$6:$C$201,VFC!$B$6:$B$201,"")</f>
        <v/>
      </c>
      <c r="AE16" s="79">
        <f>_xlfn.XLOOKUP(AD16,VFC!$B$6:$B$201,VFC!$A$6:$A$201,0)</f>
        <v>0</v>
      </c>
      <c r="AF16" s="9" t="str">
        <f>_xlfn.XLOOKUP($B16,'PEW4'!$C$6:$C$201,'PEW4'!$B$6:$B$201,"")</f>
        <v/>
      </c>
      <c r="AG16" s="79">
        <f>_xlfn.XLOOKUP(AF16,'PEW4'!$B$6:$B$201,'PEW4'!$A$6:$A$201,0)</f>
        <v>0</v>
      </c>
      <c r="AH16" s="9" t="str">
        <f>_xlfn.XLOOKUP($B16,'PEW5'!$C$6:$C$201,'PEW5'!$B$6:$B$201,"")</f>
        <v/>
      </c>
      <c r="AI16" s="79">
        <f>_xlfn.XLOOKUP(AH16,'PEW5'!$B$6:$B$201,'PEW5'!$A$6:$A$201,0)</f>
        <v>0</v>
      </c>
      <c r="AJ16" s="9" t="str">
        <f>_xlfn.XLOOKUP($B16,'PEW6'!$C$6:$C$201,'PEW6'!$B$6:$B$201,"")</f>
        <v/>
      </c>
      <c r="AK16" s="79">
        <f>_xlfn.XLOOKUP(AJ16,'PEW6'!$B$6:$B$201,'PEW6'!$A$6:$A$201,0)</f>
        <v>0</v>
      </c>
      <c r="AL16" s="9" t="str">
        <f>_xlfn.XLOOKUP($B16,'PEW7'!$C$6:$C$201,'PEW7'!$B$6:$B$201,"")</f>
        <v/>
      </c>
      <c r="AM16" s="79">
        <f>_xlfn.XLOOKUP(AL16,'PEW7'!$B$6:$B$201,'PEW7'!$A$6:$A$201,0)</f>
        <v>0</v>
      </c>
      <c r="AN16" s="9" t="str">
        <f>_xlfn.XLOOKUP($B16,'PEW8'!$C$6:$C$201,'PEW8'!$B$6:$B$201,"")</f>
        <v/>
      </c>
      <c r="AO16" s="79">
        <f>_xlfn.XLOOKUP(AN16,'PEW8'!$B$6:$B$201,'PEW8'!$A$6:$A$201,0)</f>
        <v>0</v>
      </c>
      <c r="AP16" s="9" t="str">
        <f>_xlfn.XLOOKUP($B16,'PEW9'!$C$6:$C$201,'PEW9'!$B$6:$B$201,"")</f>
        <v/>
      </c>
      <c r="AQ16" s="79">
        <f>_xlfn.XLOOKUP(AP16,'PEW9'!$B$6:$B$201,'PEW9'!$A$6:$A$201,0)</f>
        <v>0</v>
      </c>
      <c r="AR16" s="9" t="str">
        <f>_xlfn.XLOOKUP($B16,'PEW10'!$C$6:$C$201,'PEW10'!$B$6:$B$201,"")</f>
        <v/>
      </c>
      <c r="AS16" s="79">
        <f>_xlfn.XLOOKUP(AR16,'PEW10'!$B$6:$B$201,'PEW10'!$A$6:$A$201,0)</f>
        <v>0</v>
      </c>
      <c r="AT16" s="9" t="str">
        <f>_xlfn.XLOOKUP($B16,'PEW11'!$C$6:$C$201,'PEW11'!$B$6:$B$201,"")</f>
        <v/>
      </c>
      <c r="AU16" s="79">
        <f>_xlfn.XLOOKUP(AT16,'PEW11'!$B$6:$B$201,'PEW11'!$A$6:$A$201,0)</f>
        <v>0</v>
      </c>
      <c r="AV16" s="9" t="str">
        <f>_xlfn.XLOOKUP($B16,'PEW12'!$C$6:$C$201,'PEW12'!$B$6:$B$201,"")</f>
        <v/>
      </c>
      <c r="AW16" s="79">
        <f>_xlfn.XLOOKUP(AV16,'PEW12'!$B$6:$B$201,'PEW12'!$A$6:$A$201,0)</f>
        <v>0</v>
      </c>
      <c r="AX16" s="9" t="str" cm="1">
        <f t="array" ref="AX16">_xlfn.XLOOKUP($B16,IMEW!C$6:C$201,IMEW!$B$6:B$201,"")</f>
        <v/>
      </c>
      <c r="AY16" s="80">
        <f>_xlfn.XLOOKUP(AX16,IMEW!$B$6:$B$201,IMEW!$A$6:$A$201,0)</f>
        <v>0</v>
      </c>
      <c r="BA16" s="81">
        <f t="shared" si="0"/>
        <v>0</v>
      </c>
      <c r="BB16" s="81">
        <f t="shared" si="1"/>
        <v>0</v>
      </c>
      <c r="BC16" s="81">
        <f t="shared" si="2"/>
        <v>0</v>
      </c>
      <c r="BD16" s="81">
        <f t="shared" si="3"/>
        <v>0</v>
      </c>
      <c r="BE16" s="81">
        <f t="shared" si="4"/>
        <v>0</v>
      </c>
      <c r="BF16" s="81">
        <f t="shared" si="5"/>
        <v>0</v>
      </c>
      <c r="BG16" s="81">
        <f t="shared" si="6"/>
        <v>0</v>
      </c>
    </row>
    <row r="17" spans="1:59" ht="14.8" customHeight="1" x14ac:dyDescent="0.25">
      <c r="A17" s="8">
        <f>ROW()-5</f>
        <v>12</v>
      </c>
      <c r="B17" s="10"/>
      <c r="C17" s="11"/>
      <c r="D17" s="76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9" t="str">
        <f>_xlfn.XLOOKUP($B17,'GP1'!$C$6:$C$101,'GP1'!$B$6:$B$101,"")</f>
        <v/>
      </c>
      <c r="F17" s="77">
        <f>_xlfn.XLOOKUP(E17,'GP1'!$B$6:$B$55,'GP1'!$A$6:$A$55,0)</f>
        <v>0</v>
      </c>
      <c r="G17" s="9">
        <f>_xlfn.XLOOKUP($B17,'GP2'!$C$6:$C$101,'GP2'!$B$6:$B$101,"")</f>
        <v>0</v>
      </c>
      <c r="H17" s="77">
        <f>_xlfn.XLOOKUP(G17,'GP2'!$B$6:$B$55,'GP2'!$A$6:$A$55,0)</f>
        <v>0</v>
      </c>
      <c r="I17" s="9" t="str">
        <f>_xlfn.XLOOKUP($B17,'GP3'!$C$6:$C$101,'GP3'!$B$6:$B$101,"")</f>
        <v/>
      </c>
      <c r="J17" s="77">
        <f>_xlfn.XLOOKUP(I17,'GP3'!$B$6:$B$55,'GP3'!$A$6:$A$55,0)</f>
        <v>0</v>
      </c>
      <c r="K17" s="9" t="str">
        <f>_xlfn.XLOOKUP($B17,'GP4'!$C$6:$C$101,'GP4'!$B$6:$B$101,"")</f>
        <v/>
      </c>
      <c r="L17" s="77">
        <f>_xlfn.XLOOKUP(K17,'GP4'!$B$6:$B$55,'GP4'!$A$6:$A$55,0)</f>
        <v>0</v>
      </c>
      <c r="M17" s="9" t="str">
        <f>_xlfn.XLOOKUP($B17,'GP5'!$C$6:$C$101,'GP5'!$B$6:$B$101,"")</f>
        <v/>
      </c>
      <c r="N17" s="78">
        <f>_xlfn.XLOOKUP(M17,'GP5'!$B$6:$B$55,'GP5'!$A$6:$A$55,0)</f>
        <v>0</v>
      </c>
      <c r="O17" s="9" t="str">
        <f>_xlfn.XLOOKUP($B17,'GP6'!$C$6:$C$101,'GP6'!$B$6:$B$101,"")</f>
        <v/>
      </c>
      <c r="P17" s="78">
        <f>_xlfn.XLOOKUP(O17,'GP6'!$B$6:$B$55,'GP6'!$A$6:$A$55,0)</f>
        <v>0</v>
      </c>
      <c r="Q17" s="9" t="str">
        <f>_xlfn.XLOOKUP($B17,'GP7'!$C$6:$C$101,'GP7'!$B$6:$B$101,"")</f>
        <v/>
      </c>
      <c r="R17" s="78">
        <f>_xlfn.XLOOKUP(Q17,'GP7'!$B$6:$B$55,'GP7'!$A$6:$A$55,0)</f>
        <v>0</v>
      </c>
      <c r="S17" s="9" t="str">
        <f>_xlfn.XLOOKUP($B17,'GP8'!$C$6:$C$101,'GP8'!$B$6:$B$101,"")</f>
        <v/>
      </c>
      <c r="T17" s="78">
        <f>_xlfn.XLOOKUP(S17,'GP8'!$B$6:$B$55,'GP8'!$A$6:$A$55,0)</f>
        <v>0</v>
      </c>
      <c r="U17" s="9" t="str">
        <f>_xlfn.XLOOKUP(B17,MPW!C$6:C$101,MPW!B$6:B$101,"")</f>
        <v/>
      </c>
      <c r="V17" s="78">
        <f>_xlfn.XLOOKUP(U17,MPW!B$6:B$55,MPW!A$6:A$55,0)</f>
        <v>0</v>
      </c>
      <c r="X17" s="9" t="str">
        <f>_xlfn.XLOOKUP($B17,'PEW1'!$C$6:$C$201,'PEW1'!$B$6:$B$201,"")</f>
        <v/>
      </c>
      <c r="Y17" s="79">
        <f>_xlfn.XLOOKUP(X17,'PEW1'!$B$6:$B$201,'PEW1'!$A$6:$A$201,0)</f>
        <v>0</v>
      </c>
      <c r="Z17" s="9" t="str">
        <f>_xlfn.XLOOKUP($B17,'PEW2'!$C$6:$C$201,'PEW2'!$B$6:$B$201,"")</f>
        <v/>
      </c>
      <c r="AA17" s="79">
        <f>_xlfn.XLOOKUP(Z17,'PEW2'!$B$6:$B$201,'PEW2'!$A$6:$A$201,0)</f>
        <v>0</v>
      </c>
      <c r="AB17" s="9" t="str">
        <f>_xlfn.XLOOKUP($B17,'PEW3'!$C$6:$C$201,'PEW3'!$B$6:$B$201,"")</f>
        <v/>
      </c>
      <c r="AC17" s="79">
        <f>_xlfn.XLOOKUP(AB17,'PEW3'!$B$6:$B$201,'PEW3'!$A$6:$A$201,0)</f>
        <v>0</v>
      </c>
      <c r="AD17" s="9" t="str">
        <f>_xlfn.XLOOKUP($B17,VFC!$C$6:$C$201,VFC!$B$6:$B$201,"")</f>
        <v/>
      </c>
      <c r="AE17" s="79">
        <f>_xlfn.XLOOKUP(AD17,VFC!$B$6:$B$201,VFC!$A$6:$A$201,0)</f>
        <v>0</v>
      </c>
      <c r="AF17" s="9" t="str">
        <f>_xlfn.XLOOKUP($B17,'PEW4'!$C$6:$C$201,'PEW4'!$B$6:$B$201,"")</f>
        <v/>
      </c>
      <c r="AG17" s="79">
        <f>_xlfn.XLOOKUP(AF17,'PEW4'!$B$6:$B$201,'PEW4'!$A$6:$A$201,0)</f>
        <v>0</v>
      </c>
      <c r="AH17" s="9" t="str">
        <f>_xlfn.XLOOKUP($B17,'PEW5'!$C$6:$C$201,'PEW5'!$B$6:$B$201,"")</f>
        <v/>
      </c>
      <c r="AI17" s="79">
        <f>_xlfn.XLOOKUP(AH17,'PEW5'!$B$6:$B$201,'PEW5'!$A$6:$A$201,0)</f>
        <v>0</v>
      </c>
      <c r="AJ17" s="9" t="str">
        <f>_xlfn.XLOOKUP($B17,'PEW6'!$C$6:$C$201,'PEW6'!$B$6:$B$201,"")</f>
        <v/>
      </c>
      <c r="AK17" s="79">
        <f>_xlfn.XLOOKUP(AJ17,'PEW6'!$B$6:$B$201,'PEW6'!$A$6:$A$201,0)</f>
        <v>0</v>
      </c>
      <c r="AL17" s="9" t="str">
        <f>_xlfn.XLOOKUP($B17,'PEW7'!$C$6:$C$201,'PEW7'!$B$6:$B$201,"")</f>
        <v/>
      </c>
      <c r="AM17" s="79">
        <f>_xlfn.XLOOKUP(AL17,'PEW7'!$B$6:$B$201,'PEW7'!$A$6:$A$201,0)</f>
        <v>0</v>
      </c>
      <c r="AN17" s="9" t="str">
        <f>_xlfn.XLOOKUP($B17,'PEW8'!$C$6:$C$201,'PEW8'!$B$6:$B$201,"")</f>
        <v/>
      </c>
      <c r="AO17" s="79">
        <f>_xlfn.XLOOKUP(AN17,'PEW8'!$B$6:$B$201,'PEW8'!$A$6:$A$201,0)</f>
        <v>0</v>
      </c>
      <c r="AP17" s="9" t="str">
        <f>_xlfn.XLOOKUP($B17,'PEW9'!$C$6:$C$201,'PEW9'!$B$6:$B$201,"")</f>
        <v/>
      </c>
      <c r="AQ17" s="79">
        <f>_xlfn.XLOOKUP(AP17,'PEW9'!$B$6:$B$201,'PEW9'!$A$6:$A$201,0)</f>
        <v>0</v>
      </c>
      <c r="AR17" s="9" t="str">
        <f>_xlfn.XLOOKUP($B17,'PEW10'!$C$6:$C$201,'PEW10'!$B$6:$B$201,"")</f>
        <v/>
      </c>
      <c r="AS17" s="79">
        <f>_xlfn.XLOOKUP(AR17,'PEW10'!$B$6:$B$201,'PEW10'!$A$6:$A$201,0)</f>
        <v>0</v>
      </c>
      <c r="AT17" s="9" t="str">
        <f>_xlfn.XLOOKUP($B17,'PEW11'!$C$6:$C$201,'PEW11'!$B$6:$B$201,"")</f>
        <v/>
      </c>
      <c r="AU17" s="79">
        <f>_xlfn.XLOOKUP(AT17,'PEW11'!$B$6:$B$201,'PEW11'!$A$6:$A$201,0)</f>
        <v>0</v>
      </c>
      <c r="AV17" s="9" t="str">
        <f>_xlfn.XLOOKUP($B17,'PEW12'!$C$6:$C$201,'PEW12'!$B$6:$B$201,"")</f>
        <v/>
      </c>
      <c r="AW17" s="79">
        <f>_xlfn.XLOOKUP(AV17,'PEW12'!$B$6:$B$201,'PEW12'!$A$6:$A$201,0)</f>
        <v>0</v>
      </c>
      <c r="AX17" s="9" t="str" cm="1">
        <f t="array" ref="AX17">_xlfn.XLOOKUP($B17,IMEW!C$6:C$201,IMEW!$B$6:B$201,"")</f>
        <v/>
      </c>
      <c r="AY17" s="80">
        <f>_xlfn.XLOOKUP(AX17,IMEW!$B$6:$B$201,IMEW!$A$6:$A$201,0)</f>
        <v>0</v>
      </c>
      <c r="BA17" s="81">
        <f t="shared" si="0"/>
        <v>0</v>
      </c>
      <c r="BB17" s="81">
        <f t="shared" si="1"/>
        <v>0</v>
      </c>
      <c r="BC17" s="81">
        <f t="shared" si="2"/>
        <v>0</v>
      </c>
      <c r="BD17" s="81">
        <f t="shared" si="3"/>
        <v>0</v>
      </c>
      <c r="BE17" s="81">
        <f t="shared" si="4"/>
        <v>0</v>
      </c>
      <c r="BF17" s="81">
        <f t="shared" si="5"/>
        <v>0</v>
      </c>
      <c r="BG17" s="81">
        <f t="shared" si="6"/>
        <v>0</v>
      </c>
    </row>
    <row r="18" spans="1:59" ht="14.8" customHeight="1" x14ac:dyDescent="0.25">
      <c r="A18" s="8">
        <f>ROW()-5</f>
        <v>13</v>
      </c>
      <c r="B18" s="10"/>
      <c r="C18" s="11"/>
      <c r="D18" s="76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9" t="str">
        <f>_xlfn.XLOOKUP($B18,'GP1'!$C$6:$C$101,'GP1'!$B$6:$B$101,"")</f>
        <v/>
      </c>
      <c r="F18" s="77">
        <f>_xlfn.XLOOKUP(E18,'GP1'!$B$6:$B$55,'GP1'!$A$6:$A$55,0)</f>
        <v>0</v>
      </c>
      <c r="G18" s="9">
        <f>_xlfn.XLOOKUP($B18,'GP2'!$C$6:$C$101,'GP2'!$B$6:$B$101,"")</f>
        <v>0</v>
      </c>
      <c r="H18" s="77">
        <f>_xlfn.XLOOKUP(G18,'GP2'!$B$6:$B$55,'GP2'!$A$6:$A$55,0)</f>
        <v>0</v>
      </c>
      <c r="I18" s="9" t="str">
        <f>_xlfn.XLOOKUP($B18,'GP3'!$C$6:$C$101,'GP3'!$B$6:$B$101,"")</f>
        <v/>
      </c>
      <c r="J18" s="77">
        <f>_xlfn.XLOOKUP(I18,'GP3'!$B$6:$B$55,'GP3'!$A$6:$A$55,0)</f>
        <v>0</v>
      </c>
      <c r="K18" s="9" t="str">
        <f>_xlfn.XLOOKUP($B18,'GP4'!$C$6:$C$101,'GP4'!$B$6:$B$101,"")</f>
        <v/>
      </c>
      <c r="L18" s="77">
        <f>_xlfn.XLOOKUP(K18,'GP4'!$B$6:$B$55,'GP4'!$A$6:$A$55,0)</f>
        <v>0</v>
      </c>
      <c r="M18" s="9" t="str">
        <f>_xlfn.XLOOKUP($B18,'GP5'!$C$6:$C$101,'GP5'!$B$6:$B$101,"")</f>
        <v/>
      </c>
      <c r="N18" s="78">
        <f>_xlfn.XLOOKUP(M18,'GP5'!$B$6:$B$55,'GP5'!$A$6:$A$55,0)</f>
        <v>0</v>
      </c>
      <c r="O18" s="9" t="str">
        <f>_xlfn.XLOOKUP($B18,'GP6'!$C$6:$C$101,'GP6'!$B$6:$B$101,"")</f>
        <v/>
      </c>
      <c r="P18" s="78">
        <f>_xlfn.XLOOKUP(O18,'GP6'!$B$6:$B$55,'GP6'!$A$6:$A$55,0)</f>
        <v>0</v>
      </c>
      <c r="Q18" s="9" t="str">
        <f>_xlfn.XLOOKUP($B18,'GP7'!$C$6:$C$101,'GP7'!$B$6:$B$101,"")</f>
        <v/>
      </c>
      <c r="R18" s="78">
        <f>_xlfn.XLOOKUP(Q18,'GP7'!$B$6:$B$55,'GP7'!$A$6:$A$55,0)</f>
        <v>0</v>
      </c>
      <c r="S18" s="9" t="str">
        <f>_xlfn.XLOOKUP($B18,'GP8'!$C$6:$C$101,'GP8'!$B$6:$B$101,"")</f>
        <v/>
      </c>
      <c r="T18" s="78">
        <f>_xlfn.XLOOKUP(S18,'GP8'!$B$6:$B$55,'GP8'!$A$6:$A$55,0)</f>
        <v>0</v>
      </c>
      <c r="U18" s="9" t="str">
        <f>_xlfn.XLOOKUP(B18,MPW!C$6:C$101,MPW!B$6:B$101,"")</f>
        <v/>
      </c>
      <c r="V18" s="78">
        <f>_xlfn.XLOOKUP(U18,MPW!B$6:B$55,MPW!A$6:A$55,0)</f>
        <v>0</v>
      </c>
      <c r="X18" s="9" t="str">
        <f>_xlfn.XLOOKUP($B18,'PEW1'!$C$6:$C$201,'PEW1'!$B$6:$B$201,"")</f>
        <v/>
      </c>
      <c r="Y18" s="79">
        <f>_xlfn.XLOOKUP(X18,'PEW1'!$B$6:$B$201,'PEW1'!$A$6:$A$201,0)</f>
        <v>0</v>
      </c>
      <c r="Z18" s="9" t="str">
        <f>_xlfn.XLOOKUP($B18,'PEW2'!$C$6:$C$201,'PEW2'!$B$6:$B$201,"")</f>
        <v/>
      </c>
      <c r="AA18" s="79">
        <f>_xlfn.XLOOKUP(Z18,'PEW2'!$B$6:$B$201,'PEW2'!$A$6:$A$201,0)</f>
        <v>0</v>
      </c>
      <c r="AB18" s="9" t="str">
        <f>_xlfn.XLOOKUP($B18,'PEW3'!$C$6:$C$201,'PEW3'!$B$6:$B$201,"")</f>
        <v/>
      </c>
      <c r="AC18" s="79">
        <f>_xlfn.XLOOKUP(AB18,'PEW3'!$B$6:$B$201,'PEW3'!$A$6:$A$201,0)</f>
        <v>0</v>
      </c>
      <c r="AD18" s="9" t="str">
        <f>_xlfn.XLOOKUP($B18,VFC!$C$6:$C$201,VFC!$B$6:$B$201,"")</f>
        <v/>
      </c>
      <c r="AE18" s="79">
        <f>_xlfn.XLOOKUP(AD18,VFC!$B$6:$B$201,VFC!$A$6:$A$201,0)</f>
        <v>0</v>
      </c>
      <c r="AF18" s="9" t="str">
        <f>_xlfn.XLOOKUP($B18,'PEW4'!$C$6:$C$201,'PEW4'!$B$6:$B$201,"")</f>
        <v/>
      </c>
      <c r="AG18" s="79">
        <f>_xlfn.XLOOKUP(AF18,'PEW4'!$B$6:$B$201,'PEW4'!$A$6:$A$201,0)</f>
        <v>0</v>
      </c>
      <c r="AH18" s="9" t="str">
        <f>_xlfn.XLOOKUP($B18,'PEW5'!$C$6:$C$201,'PEW5'!$B$6:$B$201,"")</f>
        <v/>
      </c>
      <c r="AI18" s="79">
        <f>_xlfn.XLOOKUP(AH18,'PEW5'!$B$6:$B$201,'PEW5'!$A$6:$A$201,0)</f>
        <v>0</v>
      </c>
      <c r="AJ18" s="9" t="str">
        <f>_xlfn.XLOOKUP($B18,'PEW6'!$C$6:$C$201,'PEW6'!$B$6:$B$201,"")</f>
        <v/>
      </c>
      <c r="AK18" s="79">
        <f>_xlfn.XLOOKUP(AJ18,'PEW6'!$B$6:$B$201,'PEW6'!$A$6:$A$201,0)</f>
        <v>0</v>
      </c>
      <c r="AL18" s="9" t="str">
        <f>_xlfn.XLOOKUP($B18,'PEW7'!$C$6:$C$201,'PEW7'!$B$6:$B$201,"")</f>
        <v/>
      </c>
      <c r="AM18" s="79">
        <f>_xlfn.XLOOKUP(AL18,'PEW7'!$B$6:$B$201,'PEW7'!$A$6:$A$201,0)</f>
        <v>0</v>
      </c>
      <c r="AN18" s="9" t="str">
        <f>_xlfn.XLOOKUP($B18,'PEW8'!$C$6:$C$201,'PEW8'!$B$6:$B$201,"")</f>
        <v/>
      </c>
      <c r="AO18" s="79">
        <f>_xlfn.XLOOKUP(AN18,'PEW8'!$B$6:$B$201,'PEW8'!$A$6:$A$201,0)</f>
        <v>0</v>
      </c>
      <c r="AP18" s="9" t="str">
        <f>_xlfn.XLOOKUP($B18,'PEW9'!$C$6:$C$201,'PEW9'!$B$6:$B$201,"")</f>
        <v/>
      </c>
      <c r="AQ18" s="79">
        <f>_xlfn.XLOOKUP(AP18,'PEW9'!$B$6:$B$201,'PEW9'!$A$6:$A$201,0)</f>
        <v>0</v>
      </c>
      <c r="AR18" s="9" t="str">
        <f>_xlfn.XLOOKUP($B18,'PEW10'!$C$6:$C$201,'PEW10'!$B$6:$B$201,"")</f>
        <v/>
      </c>
      <c r="AS18" s="79">
        <f>_xlfn.XLOOKUP(AR18,'PEW10'!$B$6:$B$201,'PEW10'!$A$6:$A$201,0)</f>
        <v>0</v>
      </c>
      <c r="AT18" s="9" t="str">
        <f>_xlfn.XLOOKUP($B18,'PEW11'!$C$6:$C$201,'PEW11'!$B$6:$B$201,"")</f>
        <v/>
      </c>
      <c r="AU18" s="79">
        <f>_xlfn.XLOOKUP(AT18,'PEW11'!$B$6:$B$201,'PEW11'!$A$6:$A$201,0)</f>
        <v>0</v>
      </c>
      <c r="AV18" s="9" t="str">
        <f>_xlfn.XLOOKUP($B18,'PEW12'!$C$6:$C$201,'PEW12'!$B$6:$B$201,"")</f>
        <v/>
      </c>
      <c r="AW18" s="79">
        <f>_xlfn.XLOOKUP(AV18,'PEW12'!$B$6:$B$201,'PEW12'!$A$6:$A$201,0)</f>
        <v>0</v>
      </c>
      <c r="AX18" s="9" t="str" cm="1">
        <f t="array" ref="AX18">_xlfn.XLOOKUP($B18,IMEW!C$6:C$201,IMEW!$B$6:B$201,"")</f>
        <v/>
      </c>
      <c r="AY18" s="80">
        <f>_xlfn.XLOOKUP(AX18,IMEW!$B$6:$B$201,IMEW!$A$6:$A$201,0)</f>
        <v>0</v>
      </c>
      <c r="BA18" s="81">
        <f t="shared" si="0"/>
        <v>0</v>
      </c>
      <c r="BB18" s="81">
        <f t="shared" si="1"/>
        <v>0</v>
      </c>
      <c r="BC18" s="81">
        <f t="shared" si="2"/>
        <v>0</v>
      </c>
      <c r="BD18" s="81">
        <f t="shared" si="3"/>
        <v>0</v>
      </c>
      <c r="BE18" s="81">
        <f t="shared" si="4"/>
        <v>0</v>
      </c>
      <c r="BF18" s="81">
        <f t="shared" si="5"/>
        <v>0</v>
      </c>
      <c r="BG18" s="81">
        <f t="shared" si="6"/>
        <v>0</v>
      </c>
    </row>
    <row r="19" spans="1:59" ht="14.8" customHeight="1" x14ac:dyDescent="0.25">
      <c r="A19" s="8">
        <f>ROW()-5</f>
        <v>14</v>
      </c>
      <c r="B19" s="10"/>
      <c r="C19" s="11"/>
      <c r="D19" s="76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9" t="str">
        <f>_xlfn.XLOOKUP($B19,'GP1'!$C$6:$C$101,'GP1'!$B$6:$B$101,"")</f>
        <v/>
      </c>
      <c r="F19" s="77">
        <f>_xlfn.XLOOKUP(E19,'GP1'!$B$6:$B$55,'GP1'!$A$6:$A$55,0)</f>
        <v>0</v>
      </c>
      <c r="G19" s="9">
        <f>_xlfn.XLOOKUP($B19,'GP2'!$C$6:$C$101,'GP2'!$B$6:$B$101,"")</f>
        <v>0</v>
      </c>
      <c r="H19" s="77">
        <f>_xlfn.XLOOKUP(G19,'GP2'!$B$6:$B$55,'GP2'!$A$6:$A$55,0)</f>
        <v>0</v>
      </c>
      <c r="I19" s="9" t="str">
        <f>_xlfn.XLOOKUP($B19,'GP3'!$C$6:$C$101,'GP3'!$B$6:$B$101,"")</f>
        <v/>
      </c>
      <c r="J19" s="77">
        <f>_xlfn.XLOOKUP(I19,'GP3'!$B$6:$B$55,'GP3'!$A$6:$A$55,0)</f>
        <v>0</v>
      </c>
      <c r="K19" s="9" t="str">
        <f>_xlfn.XLOOKUP($B19,'GP4'!$C$6:$C$101,'GP4'!$B$6:$B$101,"")</f>
        <v/>
      </c>
      <c r="L19" s="77">
        <f>_xlfn.XLOOKUP(K19,'GP4'!$B$6:$B$55,'GP4'!$A$6:$A$55,0)</f>
        <v>0</v>
      </c>
      <c r="M19" s="9" t="str">
        <f>_xlfn.XLOOKUP($B19,'GP5'!$C$6:$C$101,'GP5'!$B$6:$B$101,"")</f>
        <v/>
      </c>
      <c r="N19" s="78">
        <f>_xlfn.XLOOKUP(M19,'GP5'!$B$6:$B$55,'GP5'!$A$6:$A$55,0)</f>
        <v>0</v>
      </c>
      <c r="O19" s="9" t="str">
        <f>_xlfn.XLOOKUP($B19,'GP6'!$C$6:$C$101,'GP6'!$B$6:$B$101,"")</f>
        <v/>
      </c>
      <c r="P19" s="78">
        <f>_xlfn.XLOOKUP(O19,'GP6'!$B$6:$B$55,'GP6'!$A$6:$A$55,0)</f>
        <v>0</v>
      </c>
      <c r="Q19" s="9" t="str">
        <f>_xlfn.XLOOKUP($B19,'GP7'!$C$6:$C$101,'GP7'!$B$6:$B$101,"")</f>
        <v/>
      </c>
      <c r="R19" s="78">
        <f>_xlfn.XLOOKUP(Q19,'GP7'!$B$6:$B$55,'GP7'!$A$6:$A$55,0)</f>
        <v>0</v>
      </c>
      <c r="S19" s="9" t="str">
        <f>_xlfn.XLOOKUP($B19,'GP8'!$C$6:$C$101,'GP8'!$B$6:$B$101,"")</f>
        <v/>
      </c>
      <c r="T19" s="78">
        <f>_xlfn.XLOOKUP(S19,'GP8'!$B$6:$B$55,'GP8'!$A$6:$A$55,0)</f>
        <v>0</v>
      </c>
      <c r="U19" s="9" t="str">
        <f>_xlfn.XLOOKUP(B19,MPW!C$6:C$101,MPW!B$6:B$101,"")</f>
        <v/>
      </c>
      <c r="V19" s="78">
        <f>_xlfn.XLOOKUP(U19,MPW!B$6:B$55,MPW!A$6:A$55,0)</f>
        <v>0</v>
      </c>
      <c r="X19" s="9" t="str">
        <f>_xlfn.XLOOKUP($B19,'PEW1'!$C$6:$C$201,'PEW1'!$B$6:$B$201,"")</f>
        <v/>
      </c>
      <c r="Y19" s="79">
        <f>_xlfn.XLOOKUP(X19,'PEW1'!$B$6:$B$201,'PEW1'!$A$6:$A$201,0)</f>
        <v>0</v>
      </c>
      <c r="Z19" s="9" t="str">
        <f>_xlfn.XLOOKUP($B19,'PEW2'!$C$6:$C$201,'PEW2'!$B$6:$B$201,"")</f>
        <v/>
      </c>
      <c r="AA19" s="79">
        <f>_xlfn.XLOOKUP(Z19,'PEW2'!$B$6:$B$201,'PEW2'!$A$6:$A$201,0)</f>
        <v>0</v>
      </c>
      <c r="AB19" s="9" t="str">
        <f>_xlfn.XLOOKUP($B19,'PEW3'!$C$6:$C$201,'PEW3'!$B$6:$B$201,"")</f>
        <v/>
      </c>
      <c r="AC19" s="79">
        <f>_xlfn.XLOOKUP(AB19,'PEW3'!$B$6:$B$201,'PEW3'!$A$6:$A$201,0)</f>
        <v>0</v>
      </c>
      <c r="AD19" s="9" t="str">
        <f>_xlfn.XLOOKUP($B19,VFC!$C$6:$C$201,VFC!$B$6:$B$201,"")</f>
        <v/>
      </c>
      <c r="AE19" s="79">
        <f>_xlfn.XLOOKUP(AD19,VFC!$B$6:$B$201,VFC!$A$6:$A$201,0)</f>
        <v>0</v>
      </c>
      <c r="AF19" s="9" t="str">
        <f>_xlfn.XLOOKUP($B19,'PEW4'!$C$6:$C$201,'PEW4'!$B$6:$B$201,"")</f>
        <v/>
      </c>
      <c r="AG19" s="79">
        <f>_xlfn.XLOOKUP(AF19,'PEW4'!$B$6:$B$201,'PEW4'!$A$6:$A$201,0)</f>
        <v>0</v>
      </c>
      <c r="AH19" s="9" t="str">
        <f>_xlfn.XLOOKUP($B19,'PEW5'!$C$6:$C$201,'PEW5'!$B$6:$B$201,"")</f>
        <v/>
      </c>
      <c r="AI19" s="79">
        <f>_xlfn.XLOOKUP(AH19,'PEW5'!$B$6:$B$201,'PEW5'!$A$6:$A$201,0)</f>
        <v>0</v>
      </c>
      <c r="AJ19" s="9" t="str">
        <f>_xlfn.XLOOKUP($B19,'PEW6'!$C$6:$C$201,'PEW6'!$B$6:$B$201,"")</f>
        <v/>
      </c>
      <c r="AK19" s="79">
        <f>_xlfn.XLOOKUP(AJ19,'PEW6'!$B$6:$B$201,'PEW6'!$A$6:$A$201,0)</f>
        <v>0</v>
      </c>
      <c r="AL19" s="9" t="str">
        <f>_xlfn.XLOOKUP($B19,'PEW7'!$C$6:$C$201,'PEW7'!$B$6:$B$201,"")</f>
        <v/>
      </c>
      <c r="AM19" s="79">
        <f>_xlfn.XLOOKUP(AL19,'PEW7'!$B$6:$B$201,'PEW7'!$A$6:$A$201,0)</f>
        <v>0</v>
      </c>
      <c r="AN19" s="9" t="str">
        <f>_xlfn.XLOOKUP($B19,'PEW8'!$C$6:$C$201,'PEW8'!$B$6:$B$201,"")</f>
        <v/>
      </c>
      <c r="AO19" s="79">
        <f>_xlfn.XLOOKUP(AN19,'PEW8'!$B$6:$B$201,'PEW8'!$A$6:$A$201,0)</f>
        <v>0</v>
      </c>
      <c r="AP19" s="9" t="str">
        <f>_xlfn.XLOOKUP($B19,'PEW9'!$C$6:$C$201,'PEW9'!$B$6:$B$201,"")</f>
        <v/>
      </c>
      <c r="AQ19" s="79">
        <f>_xlfn.XLOOKUP(AP19,'PEW9'!$B$6:$B$201,'PEW9'!$A$6:$A$201,0)</f>
        <v>0</v>
      </c>
      <c r="AR19" s="9" t="str">
        <f>_xlfn.XLOOKUP($B19,'PEW10'!$C$6:$C$201,'PEW10'!$B$6:$B$201,"")</f>
        <v/>
      </c>
      <c r="AS19" s="79">
        <f>_xlfn.XLOOKUP(AR19,'PEW10'!$B$6:$B$201,'PEW10'!$A$6:$A$201,0)</f>
        <v>0</v>
      </c>
      <c r="AT19" s="9" t="str">
        <f>_xlfn.XLOOKUP($B19,'PEW11'!$C$6:$C$201,'PEW11'!$B$6:$B$201,"")</f>
        <v/>
      </c>
      <c r="AU19" s="79">
        <f>_xlfn.XLOOKUP(AT19,'PEW11'!$B$6:$B$201,'PEW11'!$A$6:$A$201,0)</f>
        <v>0</v>
      </c>
      <c r="AV19" s="9" t="str">
        <f>_xlfn.XLOOKUP($B19,'PEW12'!$C$6:$C$201,'PEW12'!$B$6:$B$201,"")</f>
        <v/>
      </c>
      <c r="AW19" s="79">
        <f>_xlfn.XLOOKUP(AV19,'PEW12'!$B$6:$B$201,'PEW12'!$A$6:$A$201,0)</f>
        <v>0</v>
      </c>
      <c r="AX19" s="9" t="str" cm="1">
        <f t="array" ref="AX19">_xlfn.XLOOKUP($B19,IMEW!C$6:C$201,IMEW!$B$6:B$201,"")</f>
        <v/>
      </c>
      <c r="AY19" s="80">
        <f>_xlfn.XLOOKUP(AX19,IMEW!$B$6:$B$201,IMEW!$A$6:$A$201,0)</f>
        <v>0</v>
      </c>
      <c r="BA19" s="81">
        <f t="shared" si="0"/>
        <v>0</v>
      </c>
      <c r="BB19" s="81">
        <f t="shared" si="1"/>
        <v>0</v>
      </c>
      <c r="BC19" s="81">
        <f t="shared" si="2"/>
        <v>0</v>
      </c>
      <c r="BD19" s="81">
        <f t="shared" si="3"/>
        <v>0</v>
      </c>
      <c r="BE19" s="81">
        <f t="shared" si="4"/>
        <v>0</v>
      </c>
      <c r="BF19" s="81">
        <f t="shared" si="5"/>
        <v>0</v>
      </c>
      <c r="BG19" s="81">
        <f t="shared" si="6"/>
        <v>0</v>
      </c>
    </row>
    <row r="20" spans="1:59" ht="14.8" customHeight="1" x14ac:dyDescent="0.25">
      <c r="A20" s="8">
        <f>ROW()-5</f>
        <v>15</v>
      </c>
      <c r="B20" s="10"/>
      <c r="C20" s="11"/>
      <c r="D20" s="76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9" t="str">
        <f>_xlfn.XLOOKUP($B20,'GP1'!$C$6:$C$101,'GP1'!$B$6:$B$101,"")</f>
        <v/>
      </c>
      <c r="F20" s="77">
        <f>_xlfn.XLOOKUP(E20,'GP1'!$B$6:$B$55,'GP1'!$A$6:$A$55,0)</f>
        <v>0</v>
      </c>
      <c r="G20" s="9">
        <f>_xlfn.XLOOKUP($B20,'GP2'!$C$6:$C$101,'GP2'!$B$6:$B$101,"")</f>
        <v>0</v>
      </c>
      <c r="H20" s="77">
        <f>_xlfn.XLOOKUP(G20,'GP2'!$B$6:$B$55,'GP2'!$A$6:$A$55,0)</f>
        <v>0</v>
      </c>
      <c r="I20" s="9" t="str">
        <f>_xlfn.XLOOKUP($B20,'GP3'!$C$6:$C$101,'GP3'!$B$6:$B$101,"")</f>
        <v/>
      </c>
      <c r="J20" s="77">
        <f>_xlfn.XLOOKUP(I20,'GP3'!$B$6:$B$55,'GP3'!$A$6:$A$55,0)</f>
        <v>0</v>
      </c>
      <c r="K20" s="9" t="str">
        <f>_xlfn.XLOOKUP($B20,'GP4'!$C$6:$C$101,'GP4'!$B$6:$B$101,"")</f>
        <v/>
      </c>
      <c r="L20" s="77">
        <f>_xlfn.XLOOKUP(K20,'GP4'!$B$6:$B$55,'GP4'!$A$6:$A$55,0)</f>
        <v>0</v>
      </c>
      <c r="M20" s="9" t="str">
        <f>_xlfn.XLOOKUP($B20,'GP5'!$C$6:$C$101,'GP5'!$B$6:$B$101,"")</f>
        <v/>
      </c>
      <c r="N20" s="78">
        <f>_xlfn.XLOOKUP(M20,'GP5'!$B$6:$B$55,'GP5'!$A$6:$A$55,0)</f>
        <v>0</v>
      </c>
      <c r="O20" s="9" t="str">
        <f>_xlfn.XLOOKUP($B20,'GP6'!$C$6:$C$101,'GP6'!$B$6:$B$101,"")</f>
        <v/>
      </c>
      <c r="P20" s="78">
        <f>_xlfn.XLOOKUP(O20,'GP6'!$B$6:$B$55,'GP6'!$A$6:$A$55,0)</f>
        <v>0</v>
      </c>
      <c r="Q20" s="9" t="str">
        <f>_xlfn.XLOOKUP($B20,'GP7'!$C$6:$C$101,'GP7'!$B$6:$B$101,"")</f>
        <v/>
      </c>
      <c r="R20" s="78">
        <f>_xlfn.XLOOKUP(Q20,'GP7'!$B$6:$B$55,'GP7'!$A$6:$A$55,0)</f>
        <v>0</v>
      </c>
      <c r="S20" s="9" t="str">
        <f>_xlfn.XLOOKUP($B20,'GP8'!$C$6:$C$101,'GP8'!$B$6:$B$101,"")</f>
        <v/>
      </c>
      <c r="T20" s="78">
        <f>_xlfn.XLOOKUP(S20,'GP8'!$B$6:$B$55,'GP8'!$A$6:$A$55,0)</f>
        <v>0</v>
      </c>
      <c r="U20" s="9" t="str">
        <f>_xlfn.XLOOKUP(B20,MPW!C$6:C$101,MPW!B$6:B$101,"")</f>
        <v/>
      </c>
      <c r="V20" s="78">
        <f>_xlfn.XLOOKUP(U20,MPW!B$6:B$55,MPW!A$6:A$55,0)</f>
        <v>0</v>
      </c>
      <c r="X20" s="9" t="str">
        <f>_xlfn.XLOOKUP($B20,'PEW1'!$C$6:$C$201,'PEW1'!$B$6:$B$201,"")</f>
        <v/>
      </c>
      <c r="Y20" s="79">
        <f>_xlfn.XLOOKUP(X20,'PEW1'!$B$6:$B$201,'PEW1'!$A$6:$A$201,0)</f>
        <v>0</v>
      </c>
      <c r="Z20" s="9" t="str">
        <f>_xlfn.XLOOKUP($B20,'PEW2'!$C$6:$C$201,'PEW2'!$B$6:$B$201,"")</f>
        <v/>
      </c>
      <c r="AA20" s="79">
        <f>_xlfn.XLOOKUP(Z20,'PEW2'!$B$6:$B$201,'PEW2'!$A$6:$A$201,0)</f>
        <v>0</v>
      </c>
      <c r="AB20" s="9" t="str">
        <f>_xlfn.XLOOKUP($B20,'PEW3'!$C$6:$C$201,'PEW3'!$B$6:$B$201,"")</f>
        <v/>
      </c>
      <c r="AC20" s="79">
        <f>_xlfn.XLOOKUP(AB20,'PEW3'!$B$6:$B$201,'PEW3'!$A$6:$A$201,0)</f>
        <v>0</v>
      </c>
      <c r="AD20" s="9" t="str">
        <f>_xlfn.XLOOKUP($B20,VFC!$C$6:$C$201,VFC!$B$6:$B$201,"")</f>
        <v/>
      </c>
      <c r="AE20" s="79">
        <f>_xlfn.XLOOKUP(AD20,VFC!$B$6:$B$201,VFC!$A$6:$A$201,0)</f>
        <v>0</v>
      </c>
      <c r="AF20" s="9" t="str">
        <f>_xlfn.XLOOKUP($B20,'PEW4'!$C$6:$C$201,'PEW4'!$B$6:$B$201,"")</f>
        <v/>
      </c>
      <c r="AG20" s="79">
        <f>_xlfn.XLOOKUP(AF20,'PEW4'!$B$6:$B$201,'PEW4'!$A$6:$A$201,0)</f>
        <v>0</v>
      </c>
      <c r="AH20" s="9" t="str">
        <f>_xlfn.XLOOKUP($B20,'PEW5'!$C$6:$C$201,'PEW5'!$B$6:$B$201,"")</f>
        <v/>
      </c>
      <c r="AI20" s="79">
        <f>_xlfn.XLOOKUP(AH20,'PEW5'!$B$6:$B$201,'PEW5'!$A$6:$A$201,0)</f>
        <v>0</v>
      </c>
      <c r="AJ20" s="9" t="str">
        <f>_xlfn.XLOOKUP($B20,'PEW6'!$C$6:$C$201,'PEW6'!$B$6:$B$201,"")</f>
        <v/>
      </c>
      <c r="AK20" s="79">
        <f>_xlfn.XLOOKUP(AJ20,'PEW6'!$B$6:$B$201,'PEW6'!$A$6:$A$201,0)</f>
        <v>0</v>
      </c>
      <c r="AL20" s="9" t="str">
        <f>_xlfn.XLOOKUP($B20,'PEW7'!$C$6:$C$201,'PEW7'!$B$6:$B$201,"")</f>
        <v/>
      </c>
      <c r="AM20" s="79">
        <f>_xlfn.XLOOKUP(AL20,'PEW7'!$B$6:$B$201,'PEW7'!$A$6:$A$201,0)</f>
        <v>0</v>
      </c>
      <c r="AN20" s="9" t="str">
        <f>_xlfn.XLOOKUP($B20,'PEW8'!$C$6:$C$201,'PEW8'!$B$6:$B$201,"")</f>
        <v/>
      </c>
      <c r="AO20" s="79">
        <f>_xlfn.XLOOKUP(AN20,'PEW8'!$B$6:$B$201,'PEW8'!$A$6:$A$201,0)</f>
        <v>0</v>
      </c>
      <c r="AP20" s="9" t="str">
        <f>_xlfn.XLOOKUP($B20,'PEW9'!$C$6:$C$201,'PEW9'!$B$6:$B$201,"")</f>
        <v/>
      </c>
      <c r="AQ20" s="79">
        <f>_xlfn.XLOOKUP(AP20,'PEW9'!$B$6:$B$201,'PEW9'!$A$6:$A$201,0)</f>
        <v>0</v>
      </c>
      <c r="AR20" s="9" t="str">
        <f>_xlfn.XLOOKUP($B20,'PEW10'!$C$6:$C$201,'PEW10'!$B$6:$B$201,"")</f>
        <v/>
      </c>
      <c r="AS20" s="79">
        <f>_xlfn.XLOOKUP(AR20,'PEW10'!$B$6:$B$201,'PEW10'!$A$6:$A$201,0)</f>
        <v>0</v>
      </c>
      <c r="AT20" s="9" t="str">
        <f>_xlfn.XLOOKUP($B20,'PEW11'!$C$6:$C$201,'PEW11'!$B$6:$B$201,"")</f>
        <v/>
      </c>
      <c r="AU20" s="79">
        <f>_xlfn.XLOOKUP(AT20,'PEW11'!$B$6:$B$201,'PEW11'!$A$6:$A$201,0)</f>
        <v>0</v>
      </c>
      <c r="AV20" s="9" t="str">
        <f>_xlfn.XLOOKUP($B20,'PEW12'!$C$6:$C$201,'PEW12'!$B$6:$B$201,"")</f>
        <v/>
      </c>
      <c r="AW20" s="79">
        <f>_xlfn.XLOOKUP(AV20,'PEW12'!$B$6:$B$201,'PEW12'!$A$6:$A$201,0)</f>
        <v>0</v>
      </c>
      <c r="AX20" s="9" t="str" cm="1">
        <f t="array" ref="AX20">_xlfn.XLOOKUP($B20,IMEW!C$6:C$201,IMEW!$B$6:B$201,"")</f>
        <v/>
      </c>
      <c r="AY20" s="80">
        <f>_xlfn.XLOOKUP(AX20,IMEW!$B$6:$B$201,IMEW!$A$6:$A$201,0)</f>
        <v>0</v>
      </c>
      <c r="BA20" s="81">
        <f t="shared" si="0"/>
        <v>0</v>
      </c>
      <c r="BB20" s="81">
        <f t="shared" si="1"/>
        <v>0</v>
      </c>
      <c r="BC20" s="81">
        <f t="shared" si="2"/>
        <v>0</v>
      </c>
      <c r="BD20" s="81">
        <f t="shared" si="3"/>
        <v>0</v>
      </c>
      <c r="BE20" s="81">
        <f t="shared" si="4"/>
        <v>0</v>
      </c>
      <c r="BF20" s="81">
        <f t="shared" si="5"/>
        <v>0</v>
      </c>
      <c r="BG20" s="81">
        <f t="shared" si="6"/>
        <v>0</v>
      </c>
    </row>
    <row r="21" spans="1:59" ht="14.8" customHeight="1" x14ac:dyDescent="0.25">
      <c r="A21" s="8">
        <f>ROW()-5</f>
        <v>16</v>
      </c>
      <c r="B21" s="10"/>
      <c r="C21" s="11"/>
      <c r="D21" s="76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9" t="str">
        <f>_xlfn.XLOOKUP($B21,'GP1'!$C$6:$C$101,'GP1'!$B$6:$B$101,"")</f>
        <v/>
      </c>
      <c r="F21" s="77">
        <f>_xlfn.XLOOKUP(E21,'GP1'!$B$6:$B$55,'GP1'!$A$6:$A$55,0)</f>
        <v>0</v>
      </c>
      <c r="G21" s="9">
        <f>_xlfn.XLOOKUP($B21,'GP2'!$C$6:$C$101,'GP2'!$B$6:$B$101,"")</f>
        <v>0</v>
      </c>
      <c r="H21" s="77">
        <f>_xlfn.XLOOKUP(G21,'GP2'!$B$6:$B$55,'GP2'!$A$6:$A$55,0)</f>
        <v>0</v>
      </c>
      <c r="I21" s="9" t="str">
        <f>_xlfn.XLOOKUP($B21,'GP3'!$C$6:$C$101,'GP3'!$B$6:$B$101,"")</f>
        <v/>
      </c>
      <c r="J21" s="77">
        <f>_xlfn.XLOOKUP(I21,'GP3'!$B$6:$B$55,'GP3'!$A$6:$A$55,0)</f>
        <v>0</v>
      </c>
      <c r="K21" s="9" t="str">
        <f>_xlfn.XLOOKUP($B21,'GP4'!$C$6:$C$101,'GP4'!$B$6:$B$101,"")</f>
        <v/>
      </c>
      <c r="L21" s="77">
        <f>_xlfn.XLOOKUP(K21,'GP4'!$B$6:$B$55,'GP4'!$A$6:$A$55,0)</f>
        <v>0</v>
      </c>
      <c r="M21" s="9" t="str">
        <f>_xlfn.XLOOKUP($B21,'GP5'!$C$6:$C$101,'GP5'!$B$6:$B$101,"")</f>
        <v/>
      </c>
      <c r="N21" s="78">
        <f>_xlfn.XLOOKUP(M21,'GP5'!$B$6:$B$55,'GP5'!$A$6:$A$55,0)</f>
        <v>0</v>
      </c>
      <c r="O21" s="9" t="str">
        <f>_xlfn.XLOOKUP($B21,'GP6'!$C$6:$C$101,'GP6'!$B$6:$B$101,"")</f>
        <v/>
      </c>
      <c r="P21" s="78">
        <f>_xlfn.XLOOKUP(O21,'GP6'!$B$6:$B$55,'GP6'!$A$6:$A$55,0)</f>
        <v>0</v>
      </c>
      <c r="Q21" s="9" t="str">
        <f>_xlfn.XLOOKUP($B21,'GP7'!$C$6:$C$101,'GP7'!$B$6:$B$101,"")</f>
        <v/>
      </c>
      <c r="R21" s="78">
        <f>_xlfn.XLOOKUP(Q21,'GP7'!$B$6:$B$55,'GP7'!$A$6:$A$55,0)</f>
        <v>0</v>
      </c>
      <c r="S21" s="9" t="str">
        <f>_xlfn.XLOOKUP($B21,'GP8'!$C$6:$C$101,'GP8'!$B$6:$B$101,"")</f>
        <v/>
      </c>
      <c r="T21" s="78">
        <f>_xlfn.XLOOKUP(S21,'GP8'!$B$6:$B$55,'GP8'!$A$6:$A$55,0)</f>
        <v>0</v>
      </c>
      <c r="U21" s="9" t="str">
        <f>_xlfn.XLOOKUP(B21,MPW!C$6:C$101,MPW!B$6:B$101,"")</f>
        <v/>
      </c>
      <c r="V21" s="78">
        <f>_xlfn.XLOOKUP(U21,MPW!B$6:B$55,MPW!A$6:A$55,0)</f>
        <v>0</v>
      </c>
      <c r="X21" s="9" t="str">
        <f>_xlfn.XLOOKUP($B21,'PEW1'!$C$6:$C$201,'PEW1'!$B$6:$B$201,"")</f>
        <v/>
      </c>
      <c r="Y21" s="79">
        <f>_xlfn.XLOOKUP(X21,'PEW1'!$B$6:$B$201,'PEW1'!$A$6:$A$201,0)</f>
        <v>0</v>
      </c>
      <c r="Z21" s="9" t="str">
        <f>_xlfn.XLOOKUP($B21,'PEW2'!$C$6:$C$201,'PEW2'!$B$6:$B$201,"")</f>
        <v/>
      </c>
      <c r="AA21" s="79">
        <f>_xlfn.XLOOKUP(Z21,'PEW2'!$B$6:$B$201,'PEW2'!$A$6:$A$201,0)</f>
        <v>0</v>
      </c>
      <c r="AB21" s="9" t="str">
        <f>_xlfn.XLOOKUP($B21,'PEW3'!$C$6:$C$201,'PEW3'!$B$6:$B$201,"")</f>
        <v/>
      </c>
      <c r="AC21" s="79">
        <f>_xlfn.XLOOKUP(AB21,'PEW3'!$B$6:$B$201,'PEW3'!$A$6:$A$201,0)</f>
        <v>0</v>
      </c>
      <c r="AD21" s="9" t="str">
        <f>_xlfn.XLOOKUP($B21,VFC!$C$6:$C$201,VFC!$B$6:$B$201,"")</f>
        <v/>
      </c>
      <c r="AE21" s="79">
        <f>_xlfn.XLOOKUP(AD21,VFC!$B$6:$B$201,VFC!$A$6:$A$201,0)</f>
        <v>0</v>
      </c>
      <c r="AF21" s="9" t="str">
        <f>_xlfn.XLOOKUP($B21,'PEW4'!$C$6:$C$201,'PEW4'!$B$6:$B$201,"")</f>
        <v/>
      </c>
      <c r="AG21" s="79">
        <f>_xlfn.XLOOKUP(AF21,'PEW4'!$B$6:$B$201,'PEW4'!$A$6:$A$201,0)</f>
        <v>0</v>
      </c>
      <c r="AH21" s="9" t="str">
        <f>_xlfn.XLOOKUP($B21,'PEW5'!$C$6:$C$201,'PEW5'!$B$6:$B$201,"")</f>
        <v/>
      </c>
      <c r="AI21" s="79">
        <f>_xlfn.XLOOKUP(AH21,'PEW5'!$B$6:$B$201,'PEW5'!$A$6:$A$201,0)</f>
        <v>0</v>
      </c>
      <c r="AJ21" s="9" t="str">
        <f>_xlfn.XLOOKUP($B21,'PEW6'!$C$6:$C$201,'PEW6'!$B$6:$B$201,"")</f>
        <v/>
      </c>
      <c r="AK21" s="79">
        <f>_xlfn.XLOOKUP(AJ21,'PEW6'!$B$6:$B$201,'PEW6'!$A$6:$A$201,0)</f>
        <v>0</v>
      </c>
      <c r="AL21" s="9" t="str">
        <f>_xlfn.XLOOKUP($B21,'PEW7'!$C$6:$C$201,'PEW7'!$B$6:$B$201,"")</f>
        <v/>
      </c>
      <c r="AM21" s="79">
        <f>_xlfn.XLOOKUP(AL21,'PEW7'!$B$6:$B$201,'PEW7'!$A$6:$A$201,0)</f>
        <v>0</v>
      </c>
      <c r="AN21" s="9" t="str">
        <f>_xlfn.XLOOKUP($B21,'PEW8'!$C$6:$C$201,'PEW8'!$B$6:$B$201,"")</f>
        <v/>
      </c>
      <c r="AO21" s="79">
        <f>_xlfn.XLOOKUP(AN21,'PEW8'!$B$6:$B$201,'PEW8'!$A$6:$A$201,0)</f>
        <v>0</v>
      </c>
      <c r="AP21" s="9" t="str">
        <f>_xlfn.XLOOKUP($B21,'PEW9'!$C$6:$C$201,'PEW9'!$B$6:$B$201,"")</f>
        <v/>
      </c>
      <c r="AQ21" s="79">
        <f>_xlfn.XLOOKUP(AP21,'PEW9'!$B$6:$B$201,'PEW9'!$A$6:$A$201,0)</f>
        <v>0</v>
      </c>
      <c r="AR21" s="9" t="str">
        <f>_xlfn.XLOOKUP($B21,'PEW10'!$C$6:$C$201,'PEW10'!$B$6:$B$201,"")</f>
        <v/>
      </c>
      <c r="AS21" s="79">
        <f>_xlfn.XLOOKUP(AR21,'PEW10'!$B$6:$B$201,'PEW10'!$A$6:$A$201,0)</f>
        <v>0</v>
      </c>
      <c r="AT21" s="9" t="str">
        <f>_xlfn.XLOOKUP($B21,'PEW11'!$C$6:$C$201,'PEW11'!$B$6:$B$201,"")</f>
        <v/>
      </c>
      <c r="AU21" s="79">
        <f>_xlfn.XLOOKUP(AT21,'PEW11'!$B$6:$B$201,'PEW11'!$A$6:$A$201,0)</f>
        <v>0</v>
      </c>
      <c r="AV21" s="9" t="str">
        <f>_xlfn.XLOOKUP($B21,'PEW12'!$C$6:$C$201,'PEW12'!$B$6:$B$201,"")</f>
        <v/>
      </c>
      <c r="AW21" s="79">
        <f>_xlfn.XLOOKUP(AV21,'PEW12'!$B$6:$B$201,'PEW12'!$A$6:$A$201,0)</f>
        <v>0</v>
      </c>
      <c r="AX21" s="9" t="str" cm="1">
        <f t="array" ref="AX21">_xlfn.XLOOKUP($B21,IMEW!C$6:C$201,IMEW!$B$6:B$201,"")</f>
        <v/>
      </c>
      <c r="AY21" s="80">
        <f>_xlfn.XLOOKUP(AX21,IMEW!$B$6:$B$201,IMEW!$A$6:$A$201,0)</f>
        <v>0</v>
      </c>
      <c r="BA21" s="81">
        <f t="shared" si="0"/>
        <v>0</v>
      </c>
      <c r="BB21" s="81">
        <f t="shared" si="1"/>
        <v>0</v>
      </c>
      <c r="BC21" s="81">
        <f t="shared" si="2"/>
        <v>0</v>
      </c>
      <c r="BD21" s="81">
        <f t="shared" si="3"/>
        <v>0</v>
      </c>
      <c r="BE21" s="81">
        <f t="shared" si="4"/>
        <v>0</v>
      </c>
      <c r="BF21" s="81">
        <f t="shared" si="5"/>
        <v>0</v>
      </c>
      <c r="BG21" s="81">
        <f t="shared" si="6"/>
        <v>0</v>
      </c>
    </row>
    <row r="22" spans="1:59" ht="14.8" customHeight="1" x14ac:dyDescent="0.25">
      <c r="A22" s="8">
        <f>ROW()-5</f>
        <v>17</v>
      </c>
      <c r="B22" s="82"/>
      <c r="C22" s="11"/>
      <c r="D22" s="76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9" t="str">
        <f>_xlfn.XLOOKUP($B22,'GP1'!$C$6:$C$101,'GP1'!$B$6:$B$101,"")</f>
        <v/>
      </c>
      <c r="F22" s="77">
        <f>_xlfn.XLOOKUP(E22,'GP1'!$B$6:$B$55,'GP1'!$A$6:$A$55,0)</f>
        <v>0</v>
      </c>
      <c r="G22" s="9">
        <f>_xlfn.XLOOKUP($B22,'GP2'!$C$6:$C$101,'GP2'!$B$6:$B$101,"")</f>
        <v>0</v>
      </c>
      <c r="H22" s="77">
        <f>_xlfn.XLOOKUP(G22,'GP2'!$B$6:$B$55,'GP2'!$A$6:$A$55,0)</f>
        <v>0</v>
      </c>
      <c r="I22" s="9" t="str">
        <f>_xlfn.XLOOKUP($B22,'GP3'!$C$6:$C$101,'GP3'!$B$6:$B$101,"")</f>
        <v/>
      </c>
      <c r="J22" s="77">
        <f>_xlfn.XLOOKUP(I22,'GP3'!$B$6:$B$55,'GP3'!$A$6:$A$55,0)</f>
        <v>0</v>
      </c>
      <c r="K22" s="9" t="str">
        <f>_xlfn.XLOOKUP($B22,'GP4'!$C$6:$C$101,'GP4'!$B$6:$B$101,"")</f>
        <v/>
      </c>
      <c r="L22" s="77">
        <f>_xlfn.XLOOKUP(K22,'GP4'!$B$6:$B$55,'GP4'!$A$6:$A$55,0)</f>
        <v>0</v>
      </c>
      <c r="M22" s="9" t="str">
        <f>_xlfn.XLOOKUP($B22,'GP5'!$C$6:$C$101,'GP5'!$B$6:$B$101,"")</f>
        <v/>
      </c>
      <c r="N22" s="78">
        <f>_xlfn.XLOOKUP(M22,'GP5'!$B$6:$B$55,'GP5'!$A$6:$A$55,0)</f>
        <v>0</v>
      </c>
      <c r="O22" s="9" t="str">
        <f>_xlfn.XLOOKUP($B22,'GP6'!$C$6:$C$101,'GP6'!$B$6:$B$101,"")</f>
        <v/>
      </c>
      <c r="P22" s="78">
        <f>_xlfn.XLOOKUP(O22,'GP6'!$B$6:$B$55,'GP6'!$A$6:$A$55,0)</f>
        <v>0</v>
      </c>
      <c r="Q22" s="9" t="str">
        <f>_xlfn.XLOOKUP($B22,'GP7'!$C$6:$C$101,'GP7'!$B$6:$B$101,"")</f>
        <v/>
      </c>
      <c r="R22" s="78">
        <f>_xlfn.XLOOKUP(Q22,'GP7'!$B$6:$B$55,'GP7'!$A$6:$A$55,0)</f>
        <v>0</v>
      </c>
      <c r="S22" s="9" t="str">
        <f>_xlfn.XLOOKUP($B22,'GP8'!$C$6:$C$101,'GP8'!$B$6:$B$101,"")</f>
        <v/>
      </c>
      <c r="T22" s="78">
        <f>_xlfn.XLOOKUP(S22,'GP8'!$B$6:$B$55,'GP8'!$A$6:$A$55,0)</f>
        <v>0</v>
      </c>
      <c r="U22" s="9" t="str">
        <f>_xlfn.XLOOKUP(B22,MPW!C$6:C$101,MPW!B$6:B$101,"")</f>
        <v/>
      </c>
      <c r="V22" s="78">
        <f>_xlfn.XLOOKUP(U22,MPW!B$6:B$55,MPW!A$6:A$55,0)</f>
        <v>0</v>
      </c>
      <c r="X22" s="9" t="str">
        <f>_xlfn.XLOOKUP($B22,'PEW1'!$C$6:$C$201,'PEW1'!$B$6:$B$201,"")</f>
        <v/>
      </c>
      <c r="Y22" s="79">
        <f>_xlfn.XLOOKUP(X22,'PEW1'!$B$6:$B$201,'PEW1'!$A$6:$A$201,0)</f>
        <v>0</v>
      </c>
      <c r="Z22" s="9" t="str">
        <f>_xlfn.XLOOKUP($B22,'PEW2'!$C$6:$C$201,'PEW2'!$B$6:$B$201,"")</f>
        <v/>
      </c>
      <c r="AA22" s="79">
        <f>_xlfn.XLOOKUP(Z22,'PEW2'!$B$6:$B$201,'PEW2'!$A$6:$A$201,0)</f>
        <v>0</v>
      </c>
      <c r="AB22" s="9" t="str">
        <f>_xlfn.XLOOKUP($B22,'PEW3'!$C$6:$C$201,'PEW3'!$B$6:$B$201,"")</f>
        <v/>
      </c>
      <c r="AC22" s="79">
        <f>_xlfn.XLOOKUP(AB22,'PEW3'!$B$6:$B$201,'PEW3'!$A$6:$A$201,0)</f>
        <v>0</v>
      </c>
      <c r="AD22" s="9" t="str">
        <f>_xlfn.XLOOKUP($B22,VFC!$C$6:$C$201,VFC!$B$6:$B$201,"")</f>
        <v/>
      </c>
      <c r="AE22" s="79">
        <f>_xlfn.XLOOKUP(AD22,VFC!$B$6:$B$201,VFC!$A$6:$A$201,0)</f>
        <v>0</v>
      </c>
      <c r="AF22" s="9" t="str">
        <f>_xlfn.XLOOKUP($B22,'PEW4'!$C$6:$C$201,'PEW4'!$B$6:$B$201,"")</f>
        <v/>
      </c>
      <c r="AG22" s="79">
        <f>_xlfn.XLOOKUP(AF22,'PEW4'!$B$6:$B$201,'PEW4'!$A$6:$A$201,0)</f>
        <v>0</v>
      </c>
      <c r="AH22" s="9" t="str">
        <f>_xlfn.XLOOKUP($B22,'PEW5'!$C$6:$C$201,'PEW5'!$B$6:$B$201,"")</f>
        <v/>
      </c>
      <c r="AI22" s="79">
        <f>_xlfn.XLOOKUP(AH22,'PEW5'!$B$6:$B$201,'PEW5'!$A$6:$A$201,0)</f>
        <v>0</v>
      </c>
      <c r="AJ22" s="9" t="str">
        <f>_xlfn.XLOOKUP($B22,'PEW6'!$C$6:$C$201,'PEW6'!$B$6:$B$201,"")</f>
        <v/>
      </c>
      <c r="AK22" s="79">
        <f>_xlfn.XLOOKUP(AJ22,'PEW6'!$B$6:$B$201,'PEW6'!$A$6:$A$201,0)</f>
        <v>0</v>
      </c>
      <c r="AL22" s="9" t="str">
        <f>_xlfn.XLOOKUP($B22,'PEW7'!$C$6:$C$201,'PEW7'!$B$6:$B$201,"")</f>
        <v/>
      </c>
      <c r="AM22" s="79">
        <f>_xlfn.XLOOKUP(AL22,'PEW7'!$B$6:$B$201,'PEW7'!$A$6:$A$201,0)</f>
        <v>0</v>
      </c>
      <c r="AN22" s="9" t="str">
        <f>_xlfn.XLOOKUP($B22,'PEW8'!$C$6:$C$201,'PEW8'!$B$6:$B$201,"")</f>
        <v/>
      </c>
      <c r="AO22" s="79">
        <f>_xlfn.XLOOKUP(AN22,'PEW8'!$B$6:$B$201,'PEW8'!$A$6:$A$201,0)</f>
        <v>0</v>
      </c>
      <c r="AP22" s="9" t="str">
        <f>_xlfn.XLOOKUP($B22,'PEW9'!$C$6:$C$201,'PEW9'!$B$6:$B$201,"")</f>
        <v/>
      </c>
      <c r="AQ22" s="79">
        <f>_xlfn.XLOOKUP(AP22,'PEW9'!$B$6:$B$201,'PEW9'!$A$6:$A$201,0)</f>
        <v>0</v>
      </c>
      <c r="AR22" s="9" t="str">
        <f>_xlfn.XLOOKUP($B22,'PEW10'!$C$6:$C$201,'PEW10'!$B$6:$B$201,"")</f>
        <v/>
      </c>
      <c r="AS22" s="79">
        <f>_xlfn.XLOOKUP(AR22,'PEW10'!$B$6:$B$201,'PEW10'!$A$6:$A$201,0)</f>
        <v>0</v>
      </c>
      <c r="AT22" s="9" t="str">
        <f>_xlfn.XLOOKUP($B22,'PEW11'!$C$6:$C$201,'PEW11'!$B$6:$B$201,"")</f>
        <v/>
      </c>
      <c r="AU22" s="79">
        <f>_xlfn.XLOOKUP(AT22,'PEW11'!$B$6:$B$201,'PEW11'!$A$6:$A$201,0)</f>
        <v>0</v>
      </c>
      <c r="AV22" s="9" t="str">
        <f>_xlfn.XLOOKUP($B22,'PEW12'!$C$6:$C$201,'PEW12'!$B$6:$B$201,"")</f>
        <v/>
      </c>
      <c r="AW22" s="79">
        <f>_xlfn.XLOOKUP(AV22,'PEW12'!$B$6:$B$201,'PEW12'!$A$6:$A$201,0)</f>
        <v>0</v>
      </c>
      <c r="AX22" s="9" t="str" cm="1">
        <f t="array" ref="AX22">_xlfn.XLOOKUP($B22,IMEW!C$6:C$201,IMEW!$B$6:B$201,"")</f>
        <v/>
      </c>
      <c r="AY22" s="80">
        <f>_xlfn.XLOOKUP(AX22,IMEW!$B$6:$B$201,IMEW!$A$6:$A$201,0)</f>
        <v>0</v>
      </c>
      <c r="BA22" s="81">
        <f t="shared" si="0"/>
        <v>0</v>
      </c>
      <c r="BB22" s="81">
        <f t="shared" si="1"/>
        <v>0</v>
      </c>
      <c r="BC22" s="81">
        <f t="shared" si="2"/>
        <v>0</v>
      </c>
      <c r="BD22" s="81">
        <f t="shared" si="3"/>
        <v>0</v>
      </c>
      <c r="BE22" s="81">
        <f t="shared" si="4"/>
        <v>0</v>
      </c>
      <c r="BF22" s="81">
        <f t="shared" si="5"/>
        <v>0</v>
      </c>
      <c r="BG22" s="81">
        <f t="shared" si="6"/>
        <v>0</v>
      </c>
    </row>
    <row r="23" spans="1:59" ht="14.8" customHeight="1" x14ac:dyDescent="0.25">
      <c r="A23" s="8">
        <f>ROW()-5</f>
        <v>18</v>
      </c>
      <c r="B23" s="10"/>
      <c r="C23" s="11"/>
      <c r="D23" s="76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9" t="str">
        <f>_xlfn.XLOOKUP($B23,'GP1'!$C$6:$C$101,'GP1'!$B$6:$B$101,"")</f>
        <v/>
      </c>
      <c r="F23" s="77">
        <f>_xlfn.XLOOKUP(E23,'GP1'!$B$6:$B$55,'GP1'!$A$6:$A$55,0)</f>
        <v>0</v>
      </c>
      <c r="G23" s="9">
        <f>_xlfn.XLOOKUP($B23,'GP2'!$C$6:$C$101,'GP2'!$B$6:$B$101,"")</f>
        <v>0</v>
      </c>
      <c r="H23" s="77">
        <f>_xlfn.XLOOKUP(G23,'GP2'!$B$6:$B$55,'GP2'!$A$6:$A$55,0)</f>
        <v>0</v>
      </c>
      <c r="I23" s="9" t="str">
        <f>_xlfn.XLOOKUP($B23,'GP3'!$C$6:$C$101,'GP3'!$B$6:$B$101,"")</f>
        <v/>
      </c>
      <c r="J23" s="77">
        <f>_xlfn.XLOOKUP(I23,'GP3'!$B$6:$B$55,'GP3'!$A$6:$A$55,0)</f>
        <v>0</v>
      </c>
      <c r="K23" s="9" t="str">
        <f>_xlfn.XLOOKUP($B23,'GP4'!$C$6:$C$101,'GP4'!$B$6:$B$101,"")</f>
        <v/>
      </c>
      <c r="L23" s="77">
        <f>_xlfn.XLOOKUP(K23,'GP4'!$B$6:$B$55,'GP4'!$A$6:$A$55,0)</f>
        <v>0</v>
      </c>
      <c r="M23" s="9" t="str">
        <f>_xlfn.XLOOKUP($B23,'GP5'!$C$6:$C$101,'GP5'!$B$6:$B$101,"")</f>
        <v/>
      </c>
      <c r="N23" s="78">
        <f>_xlfn.XLOOKUP(M23,'GP5'!$B$6:$B$55,'GP5'!$A$6:$A$55,0)</f>
        <v>0</v>
      </c>
      <c r="O23" s="9" t="str">
        <f>_xlfn.XLOOKUP($B23,'GP6'!$C$6:$C$101,'GP6'!$B$6:$B$101,"")</f>
        <v/>
      </c>
      <c r="P23" s="78">
        <f>_xlfn.XLOOKUP(O23,'GP6'!$B$6:$B$55,'GP6'!$A$6:$A$55,0)</f>
        <v>0</v>
      </c>
      <c r="Q23" s="9" t="str">
        <f>_xlfn.XLOOKUP($B23,'GP7'!$C$6:$C$101,'GP7'!$B$6:$B$101,"")</f>
        <v/>
      </c>
      <c r="R23" s="78">
        <f>_xlfn.XLOOKUP(Q23,'GP7'!$B$6:$B$55,'GP7'!$A$6:$A$55,0)</f>
        <v>0</v>
      </c>
      <c r="S23" s="9" t="str">
        <f>_xlfn.XLOOKUP($B23,'GP8'!$C$6:$C$101,'GP8'!$B$6:$B$101,"")</f>
        <v/>
      </c>
      <c r="T23" s="78">
        <f>_xlfn.XLOOKUP(S23,'GP8'!$B$6:$B$55,'GP8'!$A$6:$A$55,0)</f>
        <v>0</v>
      </c>
      <c r="U23" s="9" t="str">
        <f>_xlfn.XLOOKUP(B23,MPW!C$6:C$101,MPW!B$6:B$101,"")</f>
        <v/>
      </c>
      <c r="V23" s="78">
        <f>_xlfn.XLOOKUP(U23,MPW!B$6:B$55,MPW!A$6:A$55,0)</f>
        <v>0</v>
      </c>
      <c r="X23" s="9" t="str">
        <f>_xlfn.XLOOKUP($B23,'PEW1'!$C$6:$C$201,'PEW1'!$B$6:$B$201,"")</f>
        <v/>
      </c>
      <c r="Y23" s="79">
        <f>_xlfn.XLOOKUP(X23,'PEW1'!$B$6:$B$201,'PEW1'!$A$6:$A$201,0)</f>
        <v>0</v>
      </c>
      <c r="Z23" s="9" t="str">
        <f>_xlfn.XLOOKUP($B23,'PEW2'!$C$6:$C$201,'PEW2'!$B$6:$B$201,"")</f>
        <v/>
      </c>
      <c r="AA23" s="79">
        <f>_xlfn.XLOOKUP(Z23,'PEW2'!$B$6:$B$201,'PEW2'!$A$6:$A$201,0)</f>
        <v>0</v>
      </c>
      <c r="AB23" s="9" t="str">
        <f>_xlfn.XLOOKUP($B23,'PEW3'!$C$6:$C$201,'PEW3'!$B$6:$B$201,"")</f>
        <v/>
      </c>
      <c r="AC23" s="79">
        <f>_xlfn.XLOOKUP(AB23,'PEW3'!$B$6:$B$201,'PEW3'!$A$6:$A$201,0)</f>
        <v>0</v>
      </c>
      <c r="AD23" s="9" t="str">
        <f>_xlfn.XLOOKUP($B23,VFC!$C$6:$C$201,VFC!$B$6:$B$201,"")</f>
        <v/>
      </c>
      <c r="AE23" s="79">
        <f>_xlfn.XLOOKUP(AD23,VFC!$B$6:$B$201,VFC!$A$6:$A$201,0)</f>
        <v>0</v>
      </c>
      <c r="AF23" s="9" t="str">
        <f>_xlfn.XLOOKUP($B23,'PEW4'!$C$6:$C$201,'PEW4'!$B$6:$B$201,"")</f>
        <v/>
      </c>
      <c r="AG23" s="79">
        <f>_xlfn.XLOOKUP(AF23,'PEW4'!$B$6:$B$201,'PEW4'!$A$6:$A$201,0)</f>
        <v>0</v>
      </c>
      <c r="AH23" s="9" t="str">
        <f>_xlfn.XLOOKUP($B23,'PEW5'!$C$6:$C$201,'PEW5'!$B$6:$B$201,"")</f>
        <v/>
      </c>
      <c r="AI23" s="79">
        <f>_xlfn.XLOOKUP(AH23,'PEW5'!$B$6:$B$201,'PEW5'!$A$6:$A$201,0)</f>
        <v>0</v>
      </c>
      <c r="AJ23" s="9" t="str">
        <f>_xlfn.XLOOKUP($B23,'PEW6'!$C$6:$C$201,'PEW6'!$B$6:$B$201,"")</f>
        <v/>
      </c>
      <c r="AK23" s="79">
        <f>_xlfn.XLOOKUP(AJ23,'PEW6'!$B$6:$B$201,'PEW6'!$A$6:$A$201,0)</f>
        <v>0</v>
      </c>
      <c r="AL23" s="9" t="str">
        <f>_xlfn.XLOOKUP($B23,'PEW7'!$C$6:$C$201,'PEW7'!$B$6:$B$201,"")</f>
        <v/>
      </c>
      <c r="AM23" s="79">
        <f>_xlfn.XLOOKUP(AL23,'PEW7'!$B$6:$B$201,'PEW7'!$A$6:$A$201,0)</f>
        <v>0</v>
      </c>
      <c r="AN23" s="9" t="str">
        <f>_xlfn.XLOOKUP($B23,'PEW8'!$C$6:$C$201,'PEW8'!$B$6:$B$201,"")</f>
        <v/>
      </c>
      <c r="AO23" s="79">
        <f>_xlfn.XLOOKUP(AN23,'PEW8'!$B$6:$B$201,'PEW8'!$A$6:$A$201,0)</f>
        <v>0</v>
      </c>
      <c r="AP23" s="9" t="str">
        <f>_xlfn.XLOOKUP($B23,'PEW9'!$C$6:$C$201,'PEW9'!$B$6:$B$201,"")</f>
        <v/>
      </c>
      <c r="AQ23" s="79">
        <f>_xlfn.XLOOKUP(AP23,'PEW9'!$B$6:$B$201,'PEW9'!$A$6:$A$201,0)</f>
        <v>0</v>
      </c>
      <c r="AR23" s="9" t="str">
        <f>_xlfn.XLOOKUP($B23,'PEW10'!$C$6:$C$201,'PEW10'!$B$6:$B$201,"")</f>
        <v/>
      </c>
      <c r="AS23" s="79">
        <f>_xlfn.XLOOKUP(AR23,'PEW10'!$B$6:$B$201,'PEW10'!$A$6:$A$201,0)</f>
        <v>0</v>
      </c>
      <c r="AT23" s="9" t="str">
        <f>_xlfn.XLOOKUP($B23,'PEW11'!$C$6:$C$201,'PEW11'!$B$6:$B$201,"")</f>
        <v/>
      </c>
      <c r="AU23" s="79">
        <f>_xlfn.XLOOKUP(AT23,'PEW11'!$B$6:$B$201,'PEW11'!$A$6:$A$201,0)</f>
        <v>0</v>
      </c>
      <c r="AV23" s="9" t="str">
        <f>_xlfn.XLOOKUP($B23,'PEW12'!$C$6:$C$201,'PEW12'!$B$6:$B$201,"")</f>
        <v/>
      </c>
      <c r="AW23" s="79">
        <f>_xlfn.XLOOKUP(AV23,'PEW12'!$B$6:$B$201,'PEW12'!$A$6:$A$201,0)</f>
        <v>0</v>
      </c>
      <c r="AX23" s="9" t="str" cm="1">
        <f t="array" ref="AX23">_xlfn.XLOOKUP($B23,IMEW!C$6:C$201,IMEW!$B$6:B$201,"")</f>
        <v/>
      </c>
      <c r="AY23" s="80">
        <f>_xlfn.XLOOKUP(AX23,IMEW!$B$6:$B$201,IMEW!$A$6:$A$201,0)</f>
        <v>0</v>
      </c>
      <c r="BA23" s="81">
        <f t="shared" si="0"/>
        <v>0</v>
      </c>
      <c r="BB23" s="81">
        <f t="shared" si="1"/>
        <v>0</v>
      </c>
      <c r="BC23" s="81">
        <f t="shared" si="2"/>
        <v>0</v>
      </c>
      <c r="BD23" s="81">
        <f t="shared" si="3"/>
        <v>0</v>
      </c>
      <c r="BE23" s="81">
        <f t="shared" si="4"/>
        <v>0</v>
      </c>
      <c r="BF23" s="81">
        <f t="shared" si="5"/>
        <v>0</v>
      </c>
      <c r="BG23" s="81">
        <f t="shared" si="6"/>
        <v>0</v>
      </c>
    </row>
    <row r="24" spans="1:59" ht="14.3" x14ac:dyDescent="0.25">
      <c r="A24" s="8">
        <f>ROW()-5</f>
        <v>19</v>
      </c>
      <c r="B24" s="10"/>
      <c r="C24" s="11"/>
      <c r="D24" s="76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9" t="str">
        <f>_xlfn.XLOOKUP($B24,'GP1'!$C$6:$C$101,'GP1'!$B$6:$B$101,"")</f>
        <v/>
      </c>
      <c r="F24" s="77">
        <f>_xlfn.XLOOKUP(E24,'GP1'!$B$6:$B$55,'GP1'!$A$6:$A$55,0)</f>
        <v>0</v>
      </c>
      <c r="G24" s="9">
        <f>_xlfn.XLOOKUP($B24,'GP2'!$C$6:$C$101,'GP2'!$B$6:$B$101,"")</f>
        <v>0</v>
      </c>
      <c r="H24" s="77">
        <f>_xlfn.XLOOKUP(G24,'GP2'!$B$6:$B$55,'GP2'!$A$6:$A$55,0)</f>
        <v>0</v>
      </c>
      <c r="I24" s="9" t="str">
        <f>_xlfn.XLOOKUP($B24,'GP3'!$C$6:$C$101,'GP3'!$B$6:$B$101,"")</f>
        <v/>
      </c>
      <c r="J24" s="77">
        <f>_xlfn.XLOOKUP(I24,'GP3'!$B$6:$B$55,'GP3'!$A$6:$A$55,0)</f>
        <v>0</v>
      </c>
      <c r="K24" s="9" t="str">
        <f>_xlfn.XLOOKUP($B24,'GP4'!$C$6:$C$101,'GP4'!$B$6:$B$101,"")</f>
        <v/>
      </c>
      <c r="L24" s="77">
        <f>_xlfn.XLOOKUP(K24,'GP4'!$B$6:$B$55,'GP4'!$A$6:$A$55,0)</f>
        <v>0</v>
      </c>
      <c r="M24" s="9" t="str">
        <f>_xlfn.XLOOKUP($B24,'GP5'!$C$6:$C$101,'GP5'!$B$6:$B$101,"")</f>
        <v/>
      </c>
      <c r="N24" s="78">
        <f>_xlfn.XLOOKUP(M24,'GP5'!$B$6:$B$55,'GP5'!$A$6:$A$55,0)</f>
        <v>0</v>
      </c>
      <c r="O24" s="9" t="str">
        <f>_xlfn.XLOOKUP($B24,'GP6'!$C$6:$C$101,'GP6'!$B$6:$B$101,"")</f>
        <v/>
      </c>
      <c r="P24" s="78">
        <f>_xlfn.XLOOKUP(O24,'GP6'!$B$6:$B$55,'GP6'!$A$6:$A$55,0)</f>
        <v>0</v>
      </c>
      <c r="Q24" s="9" t="str">
        <f>_xlfn.XLOOKUP($B24,'GP7'!$C$6:$C$101,'GP7'!$B$6:$B$101,"")</f>
        <v/>
      </c>
      <c r="R24" s="78">
        <f>_xlfn.XLOOKUP(Q24,'GP7'!$B$6:$B$55,'GP7'!$A$6:$A$55,0)</f>
        <v>0</v>
      </c>
      <c r="S24" s="9" t="str">
        <f>_xlfn.XLOOKUP($B24,'GP8'!$C$6:$C$101,'GP8'!$B$6:$B$101,"")</f>
        <v/>
      </c>
      <c r="T24" s="78">
        <f>_xlfn.XLOOKUP(S24,'GP8'!$B$6:$B$55,'GP8'!$A$6:$A$55,0)</f>
        <v>0</v>
      </c>
      <c r="U24" s="9" t="str">
        <f>_xlfn.XLOOKUP(B24,MPW!C$6:C$101,MPW!B$6:B$101,"")</f>
        <v/>
      </c>
      <c r="V24" s="78">
        <f>_xlfn.XLOOKUP(U24,MPW!B$6:B$55,MPW!A$6:A$55,0)</f>
        <v>0</v>
      </c>
      <c r="X24" s="9" t="str">
        <f>_xlfn.XLOOKUP($B24,'PEW1'!$C$6:$C$201,'PEW1'!$B$6:$B$201,"")</f>
        <v/>
      </c>
      <c r="Y24" s="79">
        <f>_xlfn.XLOOKUP(X24,'PEW1'!$B$6:$B$201,'PEW1'!$A$6:$A$201,0)</f>
        <v>0</v>
      </c>
      <c r="Z24" s="9" t="str">
        <f>_xlfn.XLOOKUP($B24,'PEW2'!$C$6:$C$201,'PEW2'!$B$6:$B$201,"")</f>
        <v/>
      </c>
      <c r="AA24" s="79">
        <f>_xlfn.XLOOKUP(Z24,'PEW2'!$B$6:$B$201,'PEW2'!$A$6:$A$201,0)</f>
        <v>0</v>
      </c>
      <c r="AB24" s="9" t="str">
        <f>_xlfn.XLOOKUP($B24,'PEW3'!$C$6:$C$201,'PEW3'!$B$6:$B$201,"")</f>
        <v/>
      </c>
      <c r="AC24" s="79">
        <f>_xlfn.XLOOKUP(AB24,'PEW3'!$B$6:$B$201,'PEW3'!$A$6:$A$201,0)</f>
        <v>0</v>
      </c>
      <c r="AD24" s="9" t="str">
        <f>_xlfn.XLOOKUP($B24,VFC!$C$6:$C$201,VFC!$B$6:$B$201,"")</f>
        <v/>
      </c>
      <c r="AE24" s="79">
        <f>_xlfn.XLOOKUP(AD24,VFC!$B$6:$B$201,VFC!$A$6:$A$201,0)</f>
        <v>0</v>
      </c>
      <c r="AF24" s="9" t="str">
        <f>_xlfn.XLOOKUP($B24,'PEW4'!$C$6:$C$201,'PEW4'!$B$6:$B$201,"")</f>
        <v/>
      </c>
      <c r="AG24" s="79">
        <f>_xlfn.XLOOKUP(AF24,'PEW4'!$B$6:$B$201,'PEW4'!$A$6:$A$201,0)</f>
        <v>0</v>
      </c>
      <c r="AH24" s="9" t="str">
        <f>_xlfn.XLOOKUP($B24,'PEW5'!$C$6:$C$201,'PEW5'!$B$6:$B$201,"")</f>
        <v/>
      </c>
      <c r="AI24" s="79">
        <f>_xlfn.XLOOKUP(AH24,'PEW5'!$B$6:$B$201,'PEW5'!$A$6:$A$201,0)</f>
        <v>0</v>
      </c>
      <c r="AJ24" s="9" t="str">
        <f>_xlfn.XLOOKUP($B24,'PEW6'!$C$6:$C$201,'PEW6'!$B$6:$B$201,"")</f>
        <v/>
      </c>
      <c r="AK24" s="79">
        <f>_xlfn.XLOOKUP(AJ24,'PEW6'!$B$6:$B$201,'PEW6'!$A$6:$A$201,0)</f>
        <v>0</v>
      </c>
      <c r="AL24" s="9" t="str">
        <f>_xlfn.XLOOKUP($B24,'PEW7'!$C$6:$C$201,'PEW7'!$B$6:$B$201,"")</f>
        <v/>
      </c>
      <c r="AM24" s="79">
        <f>_xlfn.XLOOKUP(AL24,'PEW7'!$B$6:$B$201,'PEW7'!$A$6:$A$201,0)</f>
        <v>0</v>
      </c>
      <c r="AN24" s="9" t="str">
        <f>_xlfn.XLOOKUP($B24,'PEW8'!$C$6:$C$201,'PEW8'!$B$6:$B$201,"")</f>
        <v/>
      </c>
      <c r="AO24" s="79">
        <f>_xlfn.XLOOKUP(AN24,'PEW8'!$B$6:$B$201,'PEW8'!$A$6:$A$201,0)</f>
        <v>0</v>
      </c>
      <c r="AP24" s="9" t="str">
        <f>_xlfn.XLOOKUP($B24,'PEW9'!$C$6:$C$201,'PEW9'!$B$6:$B$201,"")</f>
        <v/>
      </c>
      <c r="AQ24" s="79">
        <f>_xlfn.XLOOKUP(AP24,'PEW9'!$B$6:$B$201,'PEW9'!$A$6:$A$201,0)</f>
        <v>0</v>
      </c>
      <c r="AR24" s="9" t="str">
        <f>_xlfn.XLOOKUP($B24,'PEW10'!$C$6:$C$201,'PEW10'!$B$6:$B$201,"")</f>
        <v/>
      </c>
      <c r="AS24" s="79">
        <f>_xlfn.XLOOKUP(AR24,'PEW10'!$B$6:$B$201,'PEW10'!$A$6:$A$201,0)</f>
        <v>0</v>
      </c>
      <c r="AT24" s="9" t="str">
        <f>_xlfn.XLOOKUP($B24,'PEW11'!$C$6:$C$201,'PEW11'!$B$6:$B$201,"")</f>
        <v/>
      </c>
      <c r="AU24" s="79">
        <f>_xlfn.XLOOKUP(AT24,'PEW11'!$B$6:$B$201,'PEW11'!$A$6:$A$201,0)</f>
        <v>0</v>
      </c>
      <c r="AV24" s="9" t="str">
        <f>_xlfn.XLOOKUP($B24,'PEW12'!$C$6:$C$201,'PEW12'!$B$6:$B$201,"")</f>
        <v/>
      </c>
      <c r="AW24" s="79">
        <f>_xlfn.XLOOKUP(AV24,'PEW12'!$B$6:$B$201,'PEW12'!$A$6:$A$201,0)</f>
        <v>0</v>
      </c>
      <c r="AX24" s="9" t="str" cm="1">
        <f t="array" ref="AX24">_xlfn.XLOOKUP($B24,IMEW!C$6:C$201,IMEW!$B$6:B$201,"")</f>
        <v/>
      </c>
      <c r="AY24" s="80">
        <f>_xlfn.XLOOKUP(AX24,IMEW!$B$6:$B$201,IMEW!$A$6:$A$201,0)</f>
        <v>0</v>
      </c>
      <c r="BA24" s="81">
        <f t="shared" si="0"/>
        <v>0</v>
      </c>
      <c r="BB24" s="81">
        <f t="shared" si="1"/>
        <v>0</v>
      </c>
      <c r="BC24" s="81">
        <f t="shared" si="2"/>
        <v>0</v>
      </c>
      <c r="BD24" s="81">
        <f t="shared" si="3"/>
        <v>0</v>
      </c>
      <c r="BE24" s="81">
        <f t="shared" si="4"/>
        <v>0</v>
      </c>
      <c r="BF24" s="81">
        <f t="shared" si="5"/>
        <v>0</v>
      </c>
      <c r="BG24" s="81">
        <f t="shared" si="6"/>
        <v>0</v>
      </c>
    </row>
    <row r="25" spans="1:59" ht="14.3" x14ac:dyDescent="0.25">
      <c r="A25" s="8">
        <f>ROW()-5</f>
        <v>20</v>
      </c>
      <c r="B25" s="10"/>
      <c r="C25" s="11"/>
      <c r="D25" s="76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9" t="str">
        <f>_xlfn.XLOOKUP($B25,'GP1'!$C$6:$C$101,'GP1'!$B$6:$B$101,"")</f>
        <v/>
      </c>
      <c r="F25" s="77">
        <f>_xlfn.XLOOKUP(E25,'GP1'!$B$6:$B$55,'GP1'!$A$6:$A$55,0)</f>
        <v>0</v>
      </c>
      <c r="G25" s="9">
        <f>_xlfn.XLOOKUP($B25,'GP2'!$C$6:$C$101,'GP2'!$B$6:$B$101,"")</f>
        <v>0</v>
      </c>
      <c r="H25" s="77">
        <f>_xlfn.XLOOKUP(G25,'GP2'!$B$6:$B$55,'GP2'!$A$6:$A$55,0)</f>
        <v>0</v>
      </c>
      <c r="I25" s="9" t="str">
        <f>_xlfn.XLOOKUP($B25,'GP3'!$C$6:$C$101,'GP3'!$B$6:$B$101,"")</f>
        <v/>
      </c>
      <c r="J25" s="77">
        <f>_xlfn.XLOOKUP(I25,'GP3'!$B$6:$B$55,'GP3'!$A$6:$A$55,0)</f>
        <v>0</v>
      </c>
      <c r="K25" s="9" t="str">
        <f>_xlfn.XLOOKUP($B25,'GP4'!$C$6:$C$101,'GP4'!$B$6:$B$101,"")</f>
        <v/>
      </c>
      <c r="L25" s="77">
        <f>_xlfn.XLOOKUP(K25,'GP4'!$B$6:$B$55,'GP4'!$A$6:$A$55,0)</f>
        <v>0</v>
      </c>
      <c r="M25" s="9" t="str">
        <f>_xlfn.XLOOKUP($B25,'GP5'!$C$6:$C$101,'GP5'!$B$6:$B$101,"")</f>
        <v/>
      </c>
      <c r="N25" s="78">
        <f>_xlfn.XLOOKUP(M25,'GP5'!$B$6:$B$55,'GP5'!$A$6:$A$55,0)</f>
        <v>0</v>
      </c>
      <c r="O25" s="9" t="str">
        <f>_xlfn.XLOOKUP($B25,'GP6'!$C$6:$C$101,'GP6'!$B$6:$B$101,"")</f>
        <v/>
      </c>
      <c r="P25" s="78">
        <f>_xlfn.XLOOKUP(O25,'GP6'!$B$6:$B$55,'GP6'!$A$6:$A$55,0)</f>
        <v>0</v>
      </c>
      <c r="Q25" s="9" t="str">
        <f>_xlfn.XLOOKUP($B25,'GP7'!$C$6:$C$101,'GP7'!$B$6:$B$101,"")</f>
        <v/>
      </c>
      <c r="R25" s="78">
        <f>_xlfn.XLOOKUP(Q25,'GP7'!$B$6:$B$55,'GP7'!$A$6:$A$55,0)</f>
        <v>0</v>
      </c>
      <c r="S25" s="9" t="str">
        <f>_xlfn.XLOOKUP($B25,'GP8'!$C$6:$C$101,'GP8'!$B$6:$B$101,"")</f>
        <v/>
      </c>
      <c r="T25" s="78">
        <f>_xlfn.XLOOKUP(S25,'GP8'!$B$6:$B$55,'GP8'!$A$6:$A$55,0)</f>
        <v>0</v>
      </c>
      <c r="U25" s="9" t="str">
        <f>_xlfn.XLOOKUP(B25,MPW!C$6:C$101,MPW!B$6:B$101,"")</f>
        <v/>
      </c>
      <c r="V25" s="78">
        <f>_xlfn.XLOOKUP(U25,MPW!B$6:B$55,MPW!A$6:A$55,0)</f>
        <v>0</v>
      </c>
      <c r="X25" s="9" t="str">
        <f>_xlfn.XLOOKUP($B25,'PEW1'!$C$6:$C$201,'PEW1'!$B$6:$B$201,"")</f>
        <v/>
      </c>
      <c r="Y25" s="79">
        <f>_xlfn.XLOOKUP(X25,'PEW1'!$B$6:$B$201,'PEW1'!$A$6:$A$201,0)</f>
        <v>0</v>
      </c>
      <c r="Z25" s="9" t="str">
        <f>_xlfn.XLOOKUP($B25,'PEW2'!$C$6:$C$201,'PEW2'!$B$6:$B$201,"")</f>
        <v/>
      </c>
      <c r="AA25" s="79">
        <f>_xlfn.XLOOKUP(Z25,'PEW2'!$B$6:$B$201,'PEW2'!$A$6:$A$201,0)</f>
        <v>0</v>
      </c>
      <c r="AB25" s="9" t="str">
        <f>_xlfn.XLOOKUP($B25,'PEW3'!$C$6:$C$201,'PEW3'!$B$6:$B$201,"")</f>
        <v/>
      </c>
      <c r="AC25" s="79">
        <f>_xlfn.XLOOKUP(AB25,'PEW3'!$B$6:$B$201,'PEW3'!$A$6:$A$201,0)</f>
        <v>0</v>
      </c>
      <c r="AD25" s="9" t="str">
        <f>_xlfn.XLOOKUP($B25,VFC!$C$6:$C$201,VFC!$B$6:$B$201,"")</f>
        <v/>
      </c>
      <c r="AE25" s="79">
        <f>_xlfn.XLOOKUP(AD25,VFC!$B$6:$B$201,VFC!$A$6:$A$201,0)</f>
        <v>0</v>
      </c>
      <c r="AF25" s="9" t="str">
        <f>_xlfn.XLOOKUP($B25,'PEW4'!$C$6:$C$201,'PEW4'!$B$6:$B$201,"")</f>
        <v/>
      </c>
      <c r="AG25" s="79">
        <f>_xlfn.XLOOKUP(AF25,'PEW4'!$B$6:$B$201,'PEW4'!$A$6:$A$201,0)</f>
        <v>0</v>
      </c>
      <c r="AH25" s="9" t="str">
        <f>_xlfn.XLOOKUP($B25,'PEW5'!$C$6:$C$201,'PEW5'!$B$6:$B$201,"")</f>
        <v/>
      </c>
      <c r="AI25" s="79">
        <f>_xlfn.XLOOKUP(AH25,'PEW5'!$B$6:$B$201,'PEW5'!$A$6:$A$201,0)</f>
        <v>0</v>
      </c>
      <c r="AJ25" s="9" t="str">
        <f>_xlfn.XLOOKUP($B25,'PEW6'!$C$6:$C$201,'PEW6'!$B$6:$B$201,"")</f>
        <v/>
      </c>
      <c r="AK25" s="79">
        <f>_xlfn.XLOOKUP(AJ25,'PEW6'!$B$6:$B$201,'PEW6'!$A$6:$A$201,0)</f>
        <v>0</v>
      </c>
      <c r="AL25" s="9" t="str">
        <f>_xlfn.XLOOKUP($B25,'PEW7'!$C$6:$C$201,'PEW7'!$B$6:$B$201,"")</f>
        <v/>
      </c>
      <c r="AM25" s="79">
        <f>_xlfn.XLOOKUP(AL25,'PEW7'!$B$6:$B$201,'PEW7'!$A$6:$A$201,0)</f>
        <v>0</v>
      </c>
      <c r="AN25" s="9" t="str">
        <f>_xlfn.XLOOKUP($B25,'PEW8'!$C$6:$C$201,'PEW8'!$B$6:$B$201,"")</f>
        <v/>
      </c>
      <c r="AO25" s="79">
        <f>_xlfn.XLOOKUP(AN25,'PEW8'!$B$6:$B$201,'PEW8'!$A$6:$A$201,0)</f>
        <v>0</v>
      </c>
      <c r="AP25" s="9" t="str">
        <f>_xlfn.XLOOKUP($B25,'PEW9'!$C$6:$C$201,'PEW9'!$B$6:$B$201,"")</f>
        <v/>
      </c>
      <c r="AQ25" s="79">
        <f>_xlfn.XLOOKUP(AP25,'PEW9'!$B$6:$B$201,'PEW9'!$A$6:$A$201,0)</f>
        <v>0</v>
      </c>
      <c r="AR25" s="9" t="str">
        <f>_xlfn.XLOOKUP($B25,'PEW10'!$C$6:$C$201,'PEW10'!$B$6:$B$201,"")</f>
        <v/>
      </c>
      <c r="AS25" s="79">
        <f>_xlfn.XLOOKUP(AR25,'PEW10'!$B$6:$B$201,'PEW10'!$A$6:$A$201,0)</f>
        <v>0</v>
      </c>
      <c r="AT25" s="9" t="str">
        <f>_xlfn.XLOOKUP($B25,'PEW11'!$C$6:$C$201,'PEW11'!$B$6:$B$201,"")</f>
        <v/>
      </c>
      <c r="AU25" s="79">
        <f>_xlfn.XLOOKUP(AT25,'PEW11'!$B$6:$B$201,'PEW11'!$A$6:$A$201,0)</f>
        <v>0</v>
      </c>
      <c r="AV25" s="9" t="str">
        <f>_xlfn.XLOOKUP($B25,'PEW12'!$C$6:$C$201,'PEW12'!$B$6:$B$201,"")</f>
        <v/>
      </c>
      <c r="AW25" s="79">
        <f>_xlfn.XLOOKUP(AV25,'PEW12'!$B$6:$B$201,'PEW12'!$A$6:$A$201,0)</f>
        <v>0</v>
      </c>
      <c r="AX25" s="9" t="str" cm="1">
        <f t="array" ref="AX25">_xlfn.XLOOKUP($B25,IMEW!C$6:C$201,IMEW!$B$6:B$201,"")</f>
        <v/>
      </c>
      <c r="AY25" s="80">
        <f>_xlfn.XLOOKUP(AX25,IMEW!$B$6:$B$201,IMEW!$A$6:$A$201,0)</f>
        <v>0</v>
      </c>
      <c r="BA25" s="81">
        <f t="shared" si="0"/>
        <v>0</v>
      </c>
      <c r="BB25" s="81">
        <f t="shared" si="1"/>
        <v>0</v>
      </c>
      <c r="BC25" s="81">
        <f t="shared" si="2"/>
        <v>0</v>
      </c>
      <c r="BD25" s="81">
        <f t="shared" si="3"/>
        <v>0</v>
      </c>
      <c r="BE25" s="81">
        <f t="shared" si="4"/>
        <v>0</v>
      </c>
      <c r="BF25" s="81">
        <f t="shared" si="5"/>
        <v>0</v>
      </c>
      <c r="BG25" s="81">
        <f t="shared" si="6"/>
        <v>0</v>
      </c>
    </row>
    <row r="26" spans="1:59" ht="14.3" x14ac:dyDescent="0.25">
      <c r="A26" s="8">
        <f>ROW()-5</f>
        <v>21</v>
      </c>
      <c r="B26" s="10"/>
      <c r="C26" s="11"/>
      <c r="D26" s="76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9" t="str">
        <f>_xlfn.XLOOKUP($B26,'GP1'!$C$6:$C$101,'GP1'!$B$6:$B$101,"")</f>
        <v/>
      </c>
      <c r="F26" s="77">
        <f>_xlfn.XLOOKUP(E26,'GP1'!$B$6:$B$55,'GP1'!$A$6:$A$55,0)</f>
        <v>0</v>
      </c>
      <c r="G26" s="9">
        <f>_xlfn.XLOOKUP($B26,'GP2'!$C$6:$C$101,'GP2'!$B$6:$B$101,"")</f>
        <v>0</v>
      </c>
      <c r="H26" s="77">
        <f>_xlfn.XLOOKUP(G26,'GP2'!$B$6:$B$55,'GP2'!$A$6:$A$55,0)</f>
        <v>0</v>
      </c>
      <c r="I26" s="9" t="str">
        <f>_xlfn.XLOOKUP($B26,'GP3'!$C$6:$C$101,'GP3'!$B$6:$B$101,"")</f>
        <v/>
      </c>
      <c r="J26" s="77">
        <f>_xlfn.XLOOKUP(I26,'GP3'!$B$6:$B$55,'GP3'!$A$6:$A$55,0)</f>
        <v>0</v>
      </c>
      <c r="K26" s="9" t="str">
        <f>_xlfn.XLOOKUP($B26,'GP4'!$C$6:$C$101,'GP4'!$B$6:$B$101,"")</f>
        <v/>
      </c>
      <c r="L26" s="77">
        <f>_xlfn.XLOOKUP(K26,'GP4'!$B$6:$B$55,'GP4'!$A$6:$A$55,0)</f>
        <v>0</v>
      </c>
      <c r="M26" s="9" t="str">
        <f>_xlfn.XLOOKUP($B26,'GP5'!$C$6:$C$101,'GP5'!$B$6:$B$101,"")</f>
        <v/>
      </c>
      <c r="N26" s="78">
        <f>_xlfn.XLOOKUP(M26,'GP5'!$B$6:$B$55,'GP5'!$A$6:$A$55,0)</f>
        <v>0</v>
      </c>
      <c r="O26" s="9" t="str">
        <f>_xlfn.XLOOKUP($B26,'GP6'!$C$6:$C$101,'GP6'!$B$6:$B$101,"")</f>
        <v/>
      </c>
      <c r="P26" s="78">
        <f>_xlfn.XLOOKUP(O26,'GP6'!$B$6:$B$55,'GP6'!$A$6:$A$55,0)</f>
        <v>0</v>
      </c>
      <c r="Q26" s="9" t="str">
        <f>_xlfn.XLOOKUP($B26,'GP7'!$C$6:$C$101,'GP7'!$B$6:$B$101,"")</f>
        <v/>
      </c>
      <c r="R26" s="78">
        <f>_xlfn.XLOOKUP(Q26,'GP7'!$B$6:$B$55,'GP7'!$A$6:$A$55,0)</f>
        <v>0</v>
      </c>
      <c r="S26" s="9" t="str">
        <f>_xlfn.XLOOKUP($B26,'GP8'!$C$6:$C$101,'GP8'!$B$6:$B$101,"")</f>
        <v/>
      </c>
      <c r="T26" s="78">
        <f>_xlfn.XLOOKUP(S26,'GP8'!$B$6:$B$55,'GP8'!$A$6:$A$55,0)</f>
        <v>0</v>
      </c>
      <c r="U26" s="9" t="str">
        <f>_xlfn.XLOOKUP(B26,MPW!C$6:C$101,MPW!B$6:B$101,"")</f>
        <v/>
      </c>
      <c r="V26" s="78">
        <f>_xlfn.XLOOKUP(U26,MPW!B$6:B$55,MPW!A$6:A$55,0)</f>
        <v>0</v>
      </c>
      <c r="X26" s="9" t="str">
        <f>_xlfn.XLOOKUP($B26,'PEW1'!$C$6:$C$201,'PEW1'!$B$6:$B$201,"")</f>
        <v/>
      </c>
      <c r="Y26" s="79">
        <f>_xlfn.XLOOKUP(X26,'PEW1'!$B$6:$B$201,'PEW1'!$A$6:$A$201,0)</f>
        <v>0</v>
      </c>
      <c r="Z26" s="9" t="str">
        <f>_xlfn.XLOOKUP($B26,'PEW2'!$C$6:$C$201,'PEW2'!$B$6:$B$201,"")</f>
        <v/>
      </c>
      <c r="AA26" s="79">
        <f>_xlfn.XLOOKUP(Z26,'PEW2'!$B$6:$B$201,'PEW2'!$A$6:$A$201,0)</f>
        <v>0</v>
      </c>
      <c r="AB26" s="9" t="str">
        <f>_xlfn.XLOOKUP($B26,'PEW3'!$C$6:$C$201,'PEW3'!$B$6:$B$201,"")</f>
        <v/>
      </c>
      <c r="AC26" s="79">
        <f>_xlfn.XLOOKUP(AB26,'PEW3'!$B$6:$B$201,'PEW3'!$A$6:$A$201,0)</f>
        <v>0</v>
      </c>
      <c r="AD26" s="9" t="str">
        <f>_xlfn.XLOOKUP($B26,VFC!$C$6:$C$201,VFC!$B$6:$B$201,"")</f>
        <v/>
      </c>
      <c r="AE26" s="79">
        <f>_xlfn.XLOOKUP(AD26,VFC!$B$6:$B$201,VFC!$A$6:$A$201,0)</f>
        <v>0</v>
      </c>
      <c r="AF26" s="9" t="str">
        <f>_xlfn.XLOOKUP($B26,'PEW4'!$C$6:$C$201,'PEW4'!$B$6:$B$201,"")</f>
        <v/>
      </c>
      <c r="AG26" s="79">
        <f>_xlfn.XLOOKUP(AF26,'PEW4'!$B$6:$B$201,'PEW4'!$A$6:$A$201,0)</f>
        <v>0</v>
      </c>
      <c r="AH26" s="9" t="str">
        <f>_xlfn.XLOOKUP($B26,'PEW5'!$C$6:$C$201,'PEW5'!$B$6:$B$201,"")</f>
        <v/>
      </c>
      <c r="AI26" s="79">
        <f>_xlfn.XLOOKUP(AH26,'PEW5'!$B$6:$B$201,'PEW5'!$A$6:$A$201,0)</f>
        <v>0</v>
      </c>
      <c r="AJ26" s="9" t="str">
        <f>_xlfn.XLOOKUP($B26,'PEW6'!$C$6:$C$201,'PEW6'!$B$6:$B$201,"")</f>
        <v/>
      </c>
      <c r="AK26" s="79">
        <f>_xlfn.XLOOKUP(AJ26,'PEW6'!$B$6:$B$201,'PEW6'!$A$6:$A$201,0)</f>
        <v>0</v>
      </c>
      <c r="AL26" s="9" t="str">
        <f>_xlfn.XLOOKUP($B26,'PEW7'!$C$6:$C$201,'PEW7'!$B$6:$B$201,"")</f>
        <v/>
      </c>
      <c r="AM26" s="79">
        <f>_xlfn.XLOOKUP(AL26,'PEW7'!$B$6:$B$201,'PEW7'!$A$6:$A$201,0)</f>
        <v>0</v>
      </c>
      <c r="AN26" s="9" t="str">
        <f>_xlfn.XLOOKUP($B26,'PEW8'!$C$6:$C$201,'PEW8'!$B$6:$B$201,"")</f>
        <v/>
      </c>
      <c r="AO26" s="79">
        <f>_xlfn.XLOOKUP(AN26,'PEW8'!$B$6:$B$201,'PEW8'!$A$6:$A$201,0)</f>
        <v>0</v>
      </c>
      <c r="AP26" s="9" t="str">
        <f>_xlfn.XLOOKUP($B26,'PEW9'!$C$6:$C$201,'PEW9'!$B$6:$B$201,"")</f>
        <v/>
      </c>
      <c r="AQ26" s="79">
        <f>_xlfn.XLOOKUP(AP26,'PEW9'!$B$6:$B$201,'PEW9'!$A$6:$A$201,0)</f>
        <v>0</v>
      </c>
      <c r="AR26" s="9" t="str">
        <f>_xlfn.XLOOKUP($B26,'PEW10'!$C$6:$C$201,'PEW10'!$B$6:$B$201,"")</f>
        <v/>
      </c>
      <c r="AS26" s="79">
        <f>_xlfn.XLOOKUP(AR26,'PEW10'!$B$6:$B$201,'PEW10'!$A$6:$A$201,0)</f>
        <v>0</v>
      </c>
      <c r="AT26" s="9" t="str">
        <f>_xlfn.XLOOKUP($B26,'PEW11'!$C$6:$C$201,'PEW11'!$B$6:$B$201,"")</f>
        <v/>
      </c>
      <c r="AU26" s="79">
        <f>_xlfn.XLOOKUP(AT26,'PEW11'!$B$6:$B$201,'PEW11'!$A$6:$A$201,0)</f>
        <v>0</v>
      </c>
      <c r="AV26" s="9" t="str">
        <f>_xlfn.XLOOKUP($B26,'PEW12'!$C$6:$C$201,'PEW12'!$B$6:$B$201,"")</f>
        <v/>
      </c>
      <c r="AW26" s="79">
        <f>_xlfn.XLOOKUP(AV26,'PEW12'!$B$6:$B$201,'PEW12'!$A$6:$A$201,0)</f>
        <v>0</v>
      </c>
      <c r="AX26" s="9" t="str" cm="1">
        <f t="array" ref="AX26">_xlfn.XLOOKUP($B26,IMEW!C$6:C$201,IMEW!$B$6:B$201,"")</f>
        <v/>
      </c>
      <c r="AY26" s="80">
        <f>_xlfn.XLOOKUP(AX26,IMEW!$B$6:$B$201,IMEW!$A$6:$A$201,0)</f>
        <v>0</v>
      </c>
      <c r="BA26" s="81">
        <f t="shared" si="0"/>
        <v>0</v>
      </c>
      <c r="BB26" s="81">
        <f t="shared" si="1"/>
        <v>0</v>
      </c>
      <c r="BC26" s="81">
        <f t="shared" si="2"/>
        <v>0</v>
      </c>
      <c r="BD26" s="81">
        <f t="shared" si="3"/>
        <v>0</v>
      </c>
      <c r="BE26" s="81">
        <f t="shared" si="4"/>
        <v>0</v>
      </c>
      <c r="BF26" s="81">
        <f t="shared" si="5"/>
        <v>0</v>
      </c>
      <c r="BG26" s="81">
        <f t="shared" si="6"/>
        <v>0</v>
      </c>
    </row>
    <row r="27" spans="1:59" ht="14.3" x14ac:dyDescent="0.25">
      <c r="A27" s="8">
        <f>ROW()-5</f>
        <v>22</v>
      </c>
      <c r="B27" s="10"/>
      <c r="C27" s="11"/>
      <c r="D27" s="76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9" t="str">
        <f>_xlfn.XLOOKUP($B27,'GP1'!$C$6:$C$101,'GP1'!$B$6:$B$101,"")</f>
        <v/>
      </c>
      <c r="F27" s="77">
        <f>_xlfn.XLOOKUP(E27,'GP1'!$B$6:$B$55,'GP1'!$A$6:$A$55,0)</f>
        <v>0</v>
      </c>
      <c r="G27" s="9">
        <f>_xlfn.XLOOKUP($B27,'GP2'!$C$6:$C$101,'GP2'!$B$6:$B$101,"")</f>
        <v>0</v>
      </c>
      <c r="H27" s="77">
        <f>_xlfn.XLOOKUP(G27,'GP2'!$B$6:$B$55,'GP2'!$A$6:$A$55,0)</f>
        <v>0</v>
      </c>
      <c r="I27" s="9" t="str">
        <f>_xlfn.XLOOKUP($B27,'GP3'!$C$6:$C$101,'GP3'!$B$6:$B$101,"")</f>
        <v/>
      </c>
      <c r="J27" s="77">
        <f>_xlfn.XLOOKUP(I27,'GP3'!$B$6:$B$55,'GP3'!$A$6:$A$55,0)</f>
        <v>0</v>
      </c>
      <c r="K27" s="9" t="str">
        <f>_xlfn.XLOOKUP($B27,'GP4'!$C$6:$C$101,'GP4'!$B$6:$B$101,"")</f>
        <v/>
      </c>
      <c r="L27" s="77">
        <f>_xlfn.XLOOKUP(K27,'GP4'!$B$6:$B$55,'GP4'!$A$6:$A$55,0)</f>
        <v>0</v>
      </c>
      <c r="M27" s="9" t="str">
        <f>_xlfn.XLOOKUP($B27,'GP5'!$C$6:$C$101,'GP5'!$B$6:$B$101,"")</f>
        <v/>
      </c>
      <c r="N27" s="78">
        <f>_xlfn.XLOOKUP(M27,'GP5'!$B$6:$B$55,'GP5'!$A$6:$A$55,0)</f>
        <v>0</v>
      </c>
      <c r="O27" s="9" t="str">
        <f>_xlfn.XLOOKUP($B27,'GP6'!$C$6:$C$101,'GP6'!$B$6:$B$101,"")</f>
        <v/>
      </c>
      <c r="P27" s="78">
        <f>_xlfn.XLOOKUP(O27,'GP6'!$B$6:$B$55,'GP6'!$A$6:$A$55,0)</f>
        <v>0</v>
      </c>
      <c r="Q27" s="9" t="str">
        <f>_xlfn.XLOOKUP($B27,'GP7'!$C$6:$C$101,'GP7'!$B$6:$B$101,"")</f>
        <v/>
      </c>
      <c r="R27" s="78">
        <f>_xlfn.XLOOKUP(Q27,'GP7'!$B$6:$B$55,'GP7'!$A$6:$A$55,0)</f>
        <v>0</v>
      </c>
      <c r="S27" s="9" t="str">
        <f>_xlfn.XLOOKUP($B27,'GP8'!$C$6:$C$101,'GP8'!$B$6:$B$101,"")</f>
        <v/>
      </c>
      <c r="T27" s="78">
        <f>_xlfn.XLOOKUP(S27,'GP8'!$B$6:$B$55,'GP8'!$A$6:$A$55,0)</f>
        <v>0</v>
      </c>
      <c r="U27" s="9" t="str">
        <f>_xlfn.XLOOKUP(B27,MPW!C$6:C$101,MPW!B$6:B$101,"")</f>
        <v/>
      </c>
      <c r="V27" s="78">
        <f>_xlfn.XLOOKUP(U27,MPW!B$6:B$55,MPW!A$6:A$55,0)</f>
        <v>0</v>
      </c>
      <c r="X27" s="9" t="str">
        <f>_xlfn.XLOOKUP($B27,'PEW1'!$C$6:$C$201,'PEW1'!$B$6:$B$201,"")</f>
        <v/>
      </c>
      <c r="Y27" s="79">
        <f>_xlfn.XLOOKUP(X27,'PEW1'!$B$6:$B$201,'PEW1'!$A$6:$A$201,0)</f>
        <v>0</v>
      </c>
      <c r="Z27" s="9" t="str">
        <f>_xlfn.XLOOKUP($B27,'PEW2'!$C$6:$C$201,'PEW2'!$B$6:$B$201,"")</f>
        <v/>
      </c>
      <c r="AA27" s="79">
        <f>_xlfn.XLOOKUP(Z27,'PEW2'!$B$6:$B$201,'PEW2'!$A$6:$A$201,0)</f>
        <v>0</v>
      </c>
      <c r="AB27" s="9" t="str">
        <f>_xlfn.XLOOKUP($B27,'PEW3'!$C$6:$C$201,'PEW3'!$B$6:$B$201,"")</f>
        <v/>
      </c>
      <c r="AC27" s="79">
        <f>_xlfn.XLOOKUP(AB27,'PEW3'!$B$6:$B$201,'PEW3'!$A$6:$A$201,0)</f>
        <v>0</v>
      </c>
      <c r="AD27" s="9" t="str">
        <f>_xlfn.XLOOKUP($B27,VFC!$C$6:$C$201,VFC!$B$6:$B$201,"")</f>
        <v/>
      </c>
      <c r="AE27" s="79">
        <f>_xlfn.XLOOKUP(AD27,VFC!$B$6:$B$201,VFC!$A$6:$A$201,0)</f>
        <v>0</v>
      </c>
      <c r="AF27" s="9" t="str">
        <f>_xlfn.XLOOKUP($B27,'PEW4'!$C$6:$C$201,'PEW4'!$B$6:$B$201,"")</f>
        <v/>
      </c>
      <c r="AG27" s="79">
        <f>_xlfn.XLOOKUP(AF27,'PEW4'!$B$6:$B$201,'PEW4'!$A$6:$A$201,0)</f>
        <v>0</v>
      </c>
      <c r="AH27" s="9" t="str">
        <f>_xlfn.XLOOKUP($B27,'PEW5'!$C$6:$C$201,'PEW5'!$B$6:$B$201,"")</f>
        <v/>
      </c>
      <c r="AI27" s="79">
        <f>_xlfn.XLOOKUP(AH27,'PEW5'!$B$6:$B$201,'PEW5'!$A$6:$A$201,0)</f>
        <v>0</v>
      </c>
      <c r="AJ27" s="9" t="str">
        <f>_xlfn.XLOOKUP($B27,'PEW6'!$C$6:$C$201,'PEW6'!$B$6:$B$201,"")</f>
        <v/>
      </c>
      <c r="AK27" s="79">
        <f>_xlfn.XLOOKUP(AJ27,'PEW6'!$B$6:$B$201,'PEW6'!$A$6:$A$201,0)</f>
        <v>0</v>
      </c>
      <c r="AL27" s="9" t="str">
        <f>_xlfn.XLOOKUP($B27,'PEW7'!$C$6:$C$201,'PEW7'!$B$6:$B$201,"")</f>
        <v/>
      </c>
      <c r="AM27" s="79">
        <f>_xlfn.XLOOKUP(AL27,'PEW7'!$B$6:$B$201,'PEW7'!$A$6:$A$201,0)</f>
        <v>0</v>
      </c>
      <c r="AN27" s="9" t="str">
        <f>_xlfn.XLOOKUP($B27,'PEW8'!$C$6:$C$201,'PEW8'!$B$6:$B$201,"")</f>
        <v/>
      </c>
      <c r="AO27" s="79">
        <f>_xlfn.XLOOKUP(AN27,'PEW8'!$B$6:$B$201,'PEW8'!$A$6:$A$201,0)</f>
        <v>0</v>
      </c>
      <c r="AP27" s="9" t="str">
        <f>_xlfn.XLOOKUP($B27,'PEW9'!$C$6:$C$201,'PEW9'!$B$6:$B$201,"")</f>
        <v/>
      </c>
      <c r="AQ27" s="79">
        <f>_xlfn.XLOOKUP(AP27,'PEW9'!$B$6:$B$201,'PEW9'!$A$6:$A$201,0)</f>
        <v>0</v>
      </c>
      <c r="AR27" s="9" t="str">
        <f>_xlfn.XLOOKUP($B27,'PEW10'!$C$6:$C$201,'PEW10'!$B$6:$B$201,"")</f>
        <v/>
      </c>
      <c r="AS27" s="79">
        <f>_xlfn.XLOOKUP(AR27,'PEW10'!$B$6:$B$201,'PEW10'!$A$6:$A$201,0)</f>
        <v>0</v>
      </c>
      <c r="AT27" s="9" t="str">
        <f>_xlfn.XLOOKUP($B27,'PEW11'!$C$6:$C$201,'PEW11'!$B$6:$B$201,"")</f>
        <v/>
      </c>
      <c r="AU27" s="79">
        <f>_xlfn.XLOOKUP(AT27,'PEW11'!$B$6:$B$201,'PEW11'!$A$6:$A$201,0)</f>
        <v>0</v>
      </c>
      <c r="AV27" s="9" t="str">
        <f>_xlfn.XLOOKUP($B27,'PEW12'!$C$6:$C$201,'PEW12'!$B$6:$B$201,"")</f>
        <v/>
      </c>
      <c r="AW27" s="79">
        <f>_xlfn.XLOOKUP(AV27,'PEW12'!$B$6:$B$201,'PEW12'!$A$6:$A$201,0)</f>
        <v>0</v>
      </c>
      <c r="AX27" s="9" t="str" cm="1">
        <f t="array" ref="AX27">_xlfn.XLOOKUP($B27,IMEW!C$6:C$201,IMEW!$B$6:B$201,"")</f>
        <v/>
      </c>
      <c r="AY27" s="80">
        <f>_xlfn.XLOOKUP(AX27,IMEW!$B$6:$B$201,IMEW!$A$6:$A$201,0)</f>
        <v>0</v>
      </c>
      <c r="BA27" s="81">
        <f t="shared" si="0"/>
        <v>0</v>
      </c>
      <c r="BB27" s="81">
        <f t="shared" si="1"/>
        <v>0</v>
      </c>
      <c r="BC27" s="81">
        <f t="shared" si="2"/>
        <v>0</v>
      </c>
      <c r="BD27" s="81">
        <f t="shared" si="3"/>
        <v>0</v>
      </c>
      <c r="BE27" s="81">
        <f t="shared" si="4"/>
        <v>0</v>
      </c>
      <c r="BF27" s="81">
        <f t="shared" si="5"/>
        <v>0</v>
      </c>
      <c r="BG27" s="81">
        <f t="shared" si="6"/>
        <v>0</v>
      </c>
    </row>
    <row r="28" spans="1:59" ht="14.3" x14ac:dyDescent="0.25">
      <c r="A28" s="8">
        <f>ROW()-5</f>
        <v>23</v>
      </c>
      <c r="B28" s="10"/>
      <c r="C28" s="11"/>
      <c r="D28" s="76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9" t="str">
        <f>_xlfn.XLOOKUP($B28,'GP1'!$C$6:$C$101,'GP1'!$B$6:$B$101,"")</f>
        <v/>
      </c>
      <c r="F28" s="77">
        <f>_xlfn.XLOOKUP(E28,'GP1'!$B$6:$B$55,'GP1'!$A$6:$A$55,0)</f>
        <v>0</v>
      </c>
      <c r="G28" s="9">
        <f>_xlfn.XLOOKUP($B28,'GP2'!$C$6:$C$101,'GP2'!$B$6:$B$101,"")</f>
        <v>0</v>
      </c>
      <c r="H28" s="77">
        <f>_xlfn.XLOOKUP(G28,'GP2'!$B$6:$B$55,'GP2'!$A$6:$A$55,0)</f>
        <v>0</v>
      </c>
      <c r="I28" s="9" t="str">
        <f>_xlfn.XLOOKUP($B28,'GP3'!$C$6:$C$101,'GP3'!$B$6:$B$101,"")</f>
        <v/>
      </c>
      <c r="J28" s="77">
        <f>_xlfn.XLOOKUP(I28,'GP3'!$B$6:$B$55,'GP3'!$A$6:$A$55,0)</f>
        <v>0</v>
      </c>
      <c r="K28" s="9" t="str">
        <f>_xlfn.XLOOKUP($B28,'GP4'!$C$6:$C$101,'GP4'!$B$6:$B$101,"")</f>
        <v/>
      </c>
      <c r="L28" s="77">
        <f>_xlfn.XLOOKUP(K28,'GP4'!$B$6:$B$55,'GP4'!$A$6:$A$55,0)</f>
        <v>0</v>
      </c>
      <c r="M28" s="9" t="str">
        <f>_xlfn.XLOOKUP($B28,'GP5'!$C$6:$C$101,'GP5'!$B$6:$B$101,"")</f>
        <v/>
      </c>
      <c r="N28" s="78">
        <f>_xlfn.XLOOKUP(M28,'GP5'!$B$6:$B$55,'GP5'!$A$6:$A$55,0)</f>
        <v>0</v>
      </c>
      <c r="O28" s="9" t="str">
        <f>_xlfn.XLOOKUP($B28,'GP6'!$C$6:$C$101,'GP6'!$B$6:$B$101,"")</f>
        <v/>
      </c>
      <c r="P28" s="78">
        <f>_xlfn.XLOOKUP(O28,'GP6'!$B$6:$B$55,'GP6'!$A$6:$A$55,0)</f>
        <v>0</v>
      </c>
      <c r="Q28" s="9" t="str">
        <f>_xlfn.XLOOKUP($B28,'GP7'!$C$6:$C$101,'GP7'!$B$6:$B$101,"")</f>
        <v/>
      </c>
      <c r="R28" s="78">
        <f>_xlfn.XLOOKUP(Q28,'GP7'!$B$6:$B$55,'GP7'!$A$6:$A$55,0)</f>
        <v>0</v>
      </c>
      <c r="S28" s="9" t="str">
        <f>_xlfn.XLOOKUP($B28,'GP8'!$C$6:$C$101,'GP8'!$B$6:$B$101,"")</f>
        <v/>
      </c>
      <c r="T28" s="78">
        <f>_xlfn.XLOOKUP(S28,'GP8'!$B$6:$B$55,'GP8'!$A$6:$A$55,0)</f>
        <v>0</v>
      </c>
      <c r="U28" s="9" t="str">
        <f>_xlfn.XLOOKUP(B28,MPW!C$6:C$101,MPW!B$6:B$101,"")</f>
        <v/>
      </c>
      <c r="V28" s="78">
        <f>_xlfn.XLOOKUP(U28,MPW!B$6:B$55,MPW!A$6:A$55,0)</f>
        <v>0</v>
      </c>
      <c r="X28" s="9" t="str">
        <f>_xlfn.XLOOKUP($B28,'PEW1'!$C$6:$C$201,'PEW1'!$B$6:$B$201,"")</f>
        <v/>
      </c>
      <c r="Y28" s="79">
        <f>_xlfn.XLOOKUP(X28,'PEW1'!$B$6:$B$201,'PEW1'!$A$6:$A$201,0)</f>
        <v>0</v>
      </c>
      <c r="Z28" s="9" t="str">
        <f>_xlfn.XLOOKUP($B28,'PEW2'!$C$6:$C$201,'PEW2'!$B$6:$B$201,"")</f>
        <v/>
      </c>
      <c r="AA28" s="79">
        <f>_xlfn.XLOOKUP(Z28,'PEW2'!$B$6:$B$201,'PEW2'!$A$6:$A$201,0)</f>
        <v>0</v>
      </c>
      <c r="AB28" s="9" t="str">
        <f>_xlfn.XLOOKUP($B28,'PEW3'!$C$6:$C$201,'PEW3'!$B$6:$B$201,"")</f>
        <v/>
      </c>
      <c r="AC28" s="79">
        <f>_xlfn.XLOOKUP(AB28,'PEW3'!$B$6:$B$201,'PEW3'!$A$6:$A$201,0)</f>
        <v>0</v>
      </c>
      <c r="AD28" s="9" t="str">
        <f>_xlfn.XLOOKUP($B28,VFC!$C$6:$C$201,VFC!$B$6:$B$201,"")</f>
        <v/>
      </c>
      <c r="AE28" s="79">
        <f>_xlfn.XLOOKUP(AD28,VFC!$B$6:$B$201,VFC!$A$6:$A$201,0)</f>
        <v>0</v>
      </c>
      <c r="AF28" s="9" t="str">
        <f>_xlfn.XLOOKUP($B28,'PEW4'!$C$6:$C$201,'PEW4'!$B$6:$B$201,"")</f>
        <v/>
      </c>
      <c r="AG28" s="79">
        <f>_xlfn.XLOOKUP(AF28,'PEW4'!$B$6:$B$201,'PEW4'!$A$6:$A$201,0)</f>
        <v>0</v>
      </c>
      <c r="AH28" s="9" t="str">
        <f>_xlfn.XLOOKUP($B28,'PEW5'!$C$6:$C$201,'PEW5'!$B$6:$B$201,"")</f>
        <v/>
      </c>
      <c r="AI28" s="79">
        <f>_xlfn.XLOOKUP(AH28,'PEW5'!$B$6:$B$201,'PEW5'!$A$6:$A$201,0)</f>
        <v>0</v>
      </c>
      <c r="AJ28" s="9" t="str">
        <f>_xlfn.XLOOKUP($B28,'PEW6'!$C$6:$C$201,'PEW6'!$B$6:$B$201,"")</f>
        <v/>
      </c>
      <c r="AK28" s="79">
        <f>_xlfn.XLOOKUP(AJ28,'PEW6'!$B$6:$B$201,'PEW6'!$A$6:$A$201,0)</f>
        <v>0</v>
      </c>
      <c r="AL28" s="9" t="str">
        <f>_xlfn.XLOOKUP($B28,'PEW7'!$C$6:$C$201,'PEW7'!$B$6:$B$201,"")</f>
        <v/>
      </c>
      <c r="AM28" s="79">
        <f>_xlfn.XLOOKUP(AL28,'PEW7'!$B$6:$B$201,'PEW7'!$A$6:$A$201,0)</f>
        <v>0</v>
      </c>
      <c r="AN28" s="9" t="str">
        <f>_xlfn.XLOOKUP($B28,'PEW8'!$C$6:$C$201,'PEW8'!$B$6:$B$201,"")</f>
        <v/>
      </c>
      <c r="AO28" s="79">
        <f>_xlfn.XLOOKUP(AN28,'PEW8'!$B$6:$B$201,'PEW8'!$A$6:$A$201,0)</f>
        <v>0</v>
      </c>
      <c r="AP28" s="9" t="str">
        <f>_xlfn.XLOOKUP($B28,'PEW9'!$C$6:$C$201,'PEW9'!$B$6:$B$201,"")</f>
        <v/>
      </c>
      <c r="AQ28" s="79">
        <f>_xlfn.XLOOKUP(AP28,'PEW9'!$B$6:$B$201,'PEW9'!$A$6:$A$201,0)</f>
        <v>0</v>
      </c>
      <c r="AR28" s="9" t="str">
        <f>_xlfn.XLOOKUP($B28,'PEW10'!$C$6:$C$201,'PEW10'!$B$6:$B$201,"")</f>
        <v/>
      </c>
      <c r="AS28" s="79">
        <f>_xlfn.XLOOKUP(AR28,'PEW10'!$B$6:$B$201,'PEW10'!$A$6:$A$201,0)</f>
        <v>0</v>
      </c>
      <c r="AT28" s="9" t="str">
        <f>_xlfn.XLOOKUP($B28,'PEW11'!$C$6:$C$201,'PEW11'!$B$6:$B$201,"")</f>
        <v/>
      </c>
      <c r="AU28" s="79">
        <f>_xlfn.XLOOKUP(AT28,'PEW11'!$B$6:$B$201,'PEW11'!$A$6:$A$201,0)</f>
        <v>0</v>
      </c>
      <c r="AV28" s="9" t="str">
        <f>_xlfn.XLOOKUP($B28,'PEW12'!$C$6:$C$201,'PEW12'!$B$6:$B$201,"")</f>
        <v/>
      </c>
      <c r="AW28" s="79">
        <f>_xlfn.XLOOKUP(AV28,'PEW12'!$B$6:$B$201,'PEW12'!$A$6:$A$201,0)</f>
        <v>0</v>
      </c>
      <c r="AX28" s="9" t="str" cm="1">
        <f t="array" ref="AX28">_xlfn.XLOOKUP($B28,IMEW!C$6:C$201,IMEW!$B$6:B$201,"")</f>
        <v/>
      </c>
      <c r="AY28" s="80">
        <f>_xlfn.XLOOKUP(AX28,IMEW!$B$6:$B$201,IMEW!$A$6:$A$201,0)</f>
        <v>0</v>
      </c>
      <c r="BA28" s="81">
        <f t="shared" si="0"/>
        <v>0</v>
      </c>
      <c r="BB28" s="81">
        <f t="shared" si="1"/>
        <v>0</v>
      </c>
      <c r="BC28" s="81">
        <f t="shared" si="2"/>
        <v>0</v>
      </c>
      <c r="BD28" s="81">
        <f t="shared" si="3"/>
        <v>0</v>
      </c>
      <c r="BE28" s="81">
        <f t="shared" si="4"/>
        <v>0</v>
      </c>
      <c r="BF28" s="81">
        <f t="shared" si="5"/>
        <v>0</v>
      </c>
      <c r="BG28" s="81">
        <f t="shared" si="6"/>
        <v>0</v>
      </c>
    </row>
    <row r="29" spans="1:59" ht="14.3" x14ac:dyDescent="0.25">
      <c r="A29" s="8">
        <f>ROW()-5</f>
        <v>24</v>
      </c>
      <c r="B29" s="10"/>
      <c r="C29" s="11"/>
      <c r="D29" s="76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9" t="str">
        <f>_xlfn.XLOOKUP($B29,'GP1'!$C$6:$C$101,'GP1'!$B$6:$B$101,"")</f>
        <v/>
      </c>
      <c r="F29" s="77">
        <f>_xlfn.XLOOKUP(E29,'GP1'!$B$6:$B$55,'GP1'!$A$6:$A$55,0)</f>
        <v>0</v>
      </c>
      <c r="G29" s="9">
        <f>_xlfn.XLOOKUP($B29,'GP2'!$C$6:$C$101,'GP2'!$B$6:$B$101,"")</f>
        <v>0</v>
      </c>
      <c r="H29" s="77">
        <f>_xlfn.XLOOKUP(G29,'GP2'!$B$6:$B$55,'GP2'!$A$6:$A$55,0)</f>
        <v>0</v>
      </c>
      <c r="I29" s="9" t="str">
        <f>_xlfn.XLOOKUP($B29,'GP3'!$C$6:$C$101,'GP3'!$B$6:$B$101,"")</f>
        <v/>
      </c>
      <c r="J29" s="77">
        <f>_xlfn.XLOOKUP(I29,'GP3'!$B$6:$B$55,'GP3'!$A$6:$A$55,0)</f>
        <v>0</v>
      </c>
      <c r="K29" s="9" t="str">
        <f>_xlfn.XLOOKUP($B29,'GP4'!$C$6:$C$101,'GP4'!$B$6:$B$101,"")</f>
        <v/>
      </c>
      <c r="L29" s="77">
        <f>_xlfn.XLOOKUP(K29,'GP4'!$B$6:$B$55,'GP4'!$A$6:$A$55,0)</f>
        <v>0</v>
      </c>
      <c r="M29" s="9" t="str">
        <f>_xlfn.XLOOKUP($B29,'GP5'!$C$6:$C$101,'GP5'!$B$6:$B$101,"")</f>
        <v/>
      </c>
      <c r="N29" s="78">
        <f>_xlfn.XLOOKUP(M29,'GP5'!$B$6:$B$55,'GP5'!$A$6:$A$55,0)</f>
        <v>0</v>
      </c>
      <c r="O29" s="9" t="str">
        <f>_xlfn.XLOOKUP($B29,'GP6'!$C$6:$C$101,'GP6'!$B$6:$B$101,"")</f>
        <v/>
      </c>
      <c r="P29" s="78">
        <f>_xlfn.XLOOKUP(O29,'GP6'!$B$6:$B$55,'GP6'!$A$6:$A$55,0)</f>
        <v>0</v>
      </c>
      <c r="Q29" s="9" t="str">
        <f>_xlfn.XLOOKUP($B29,'GP7'!$C$6:$C$101,'GP7'!$B$6:$B$101,"")</f>
        <v/>
      </c>
      <c r="R29" s="78">
        <f>_xlfn.XLOOKUP(Q29,'GP7'!$B$6:$B$55,'GP7'!$A$6:$A$55,0)</f>
        <v>0</v>
      </c>
      <c r="S29" s="9" t="str">
        <f>_xlfn.XLOOKUP($B29,'GP8'!$C$6:$C$101,'GP8'!$B$6:$B$101,"")</f>
        <v/>
      </c>
      <c r="T29" s="78">
        <f>_xlfn.XLOOKUP(S29,'GP8'!$B$6:$B$55,'GP8'!$A$6:$A$55,0)</f>
        <v>0</v>
      </c>
      <c r="U29" s="9" t="str">
        <f>_xlfn.XLOOKUP(B29,MPW!C$6:C$101,MPW!B$6:B$101,"")</f>
        <v/>
      </c>
      <c r="V29" s="78">
        <f>_xlfn.XLOOKUP(U29,MPW!B$6:B$55,MPW!A$6:A$55,0)</f>
        <v>0</v>
      </c>
      <c r="X29" s="9" t="str">
        <f>_xlfn.XLOOKUP($B29,'PEW1'!$C$6:$C$201,'PEW1'!$B$6:$B$201,"")</f>
        <v/>
      </c>
      <c r="Y29" s="79">
        <f>_xlfn.XLOOKUP(X29,'PEW1'!$B$6:$B$201,'PEW1'!$A$6:$A$201,0)</f>
        <v>0</v>
      </c>
      <c r="Z29" s="9" t="str">
        <f>_xlfn.XLOOKUP($B29,'PEW2'!$C$6:$C$201,'PEW2'!$B$6:$B$201,"")</f>
        <v/>
      </c>
      <c r="AA29" s="79">
        <f>_xlfn.XLOOKUP(Z29,'PEW2'!$B$6:$B$201,'PEW2'!$A$6:$A$201,0)</f>
        <v>0</v>
      </c>
      <c r="AB29" s="9" t="str">
        <f>_xlfn.XLOOKUP($B29,'PEW3'!$C$6:$C$201,'PEW3'!$B$6:$B$201,"")</f>
        <v/>
      </c>
      <c r="AC29" s="79">
        <f>_xlfn.XLOOKUP(AB29,'PEW3'!$B$6:$B$201,'PEW3'!$A$6:$A$201,0)</f>
        <v>0</v>
      </c>
      <c r="AD29" s="9" t="str">
        <f>_xlfn.XLOOKUP($B29,VFC!$C$6:$C$201,VFC!$B$6:$B$201,"")</f>
        <v/>
      </c>
      <c r="AE29" s="79">
        <f>_xlfn.XLOOKUP(AD29,VFC!$B$6:$B$201,VFC!$A$6:$A$201,0)</f>
        <v>0</v>
      </c>
      <c r="AF29" s="9" t="str">
        <f>_xlfn.XLOOKUP($B29,'PEW4'!$C$6:$C$201,'PEW4'!$B$6:$B$201,"")</f>
        <v/>
      </c>
      <c r="AG29" s="79">
        <f>_xlfn.XLOOKUP(AF29,'PEW4'!$B$6:$B$201,'PEW4'!$A$6:$A$201,0)</f>
        <v>0</v>
      </c>
      <c r="AH29" s="9" t="str">
        <f>_xlfn.XLOOKUP($B29,'PEW5'!$C$6:$C$201,'PEW5'!$B$6:$B$201,"")</f>
        <v/>
      </c>
      <c r="AI29" s="79">
        <f>_xlfn.XLOOKUP(AH29,'PEW5'!$B$6:$B$201,'PEW5'!$A$6:$A$201,0)</f>
        <v>0</v>
      </c>
      <c r="AJ29" s="9" t="str">
        <f>_xlfn.XLOOKUP($B29,'PEW6'!$C$6:$C$201,'PEW6'!$B$6:$B$201,"")</f>
        <v/>
      </c>
      <c r="AK29" s="79">
        <f>_xlfn.XLOOKUP(AJ29,'PEW6'!$B$6:$B$201,'PEW6'!$A$6:$A$201,0)</f>
        <v>0</v>
      </c>
      <c r="AL29" s="9" t="str">
        <f>_xlfn.XLOOKUP($B29,'PEW7'!$C$6:$C$201,'PEW7'!$B$6:$B$201,"")</f>
        <v/>
      </c>
      <c r="AM29" s="79">
        <f>_xlfn.XLOOKUP(AL29,'PEW7'!$B$6:$B$201,'PEW7'!$A$6:$A$201,0)</f>
        <v>0</v>
      </c>
      <c r="AN29" s="9" t="str">
        <f>_xlfn.XLOOKUP($B29,'PEW8'!$C$6:$C$201,'PEW8'!$B$6:$B$201,"")</f>
        <v/>
      </c>
      <c r="AO29" s="79">
        <f>_xlfn.XLOOKUP(AN29,'PEW8'!$B$6:$B$201,'PEW8'!$A$6:$A$201,0)</f>
        <v>0</v>
      </c>
      <c r="AP29" s="9" t="str">
        <f>_xlfn.XLOOKUP($B29,'PEW9'!$C$6:$C$201,'PEW9'!$B$6:$B$201,"")</f>
        <v/>
      </c>
      <c r="AQ29" s="79">
        <f>_xlfn.XLOOKUP(AP29,'PEW9'!$B$6:$B$201,'PEW9'!$A$6:$A$201,0)</f>
        <v>0</v>
      </c>
      <c r="AR29" s="9" t="str">
        <f>_xlfn.XLOOKUP($B29,'PEW10'!$C$6:$C$201,'PEW10'!$B$6:$B$201,"")</f>
        <v/>
      </c>
      <c r="AS29" s="79">
        <f>_xlfn.XLOOKUP(AR29,'PEW10'!$B$6:$B$201,'PEW10'!$A$6:$A$201,0)</f>
        <v>0</v>
      </c>
      <c r="AT29" s="9" t="str">
        <f>_xlfn.XLOOKUP($B29,'PEW11'!$C$6:$C$201,'PEW11'!$B$6:$B$201,"")</f>
        <v/>
      </c>
      <c r="AU29" s="79">
        <f>_xlfn.XLOOKUP(AT29,'PEW11'!$B$6:$B$201,'PEW11'!$A$6:$A$201,0)</f>
        <v>0</v>
      </c>
      <c r="AV29" s="9" t="str">
        <f>_xlfn.XLOOKUP($B29,'PEW12'!$C$6:$C$201,'PEW12'!$B$6:$B$201,"")</f>
        <v/>
      </c>
      <c r="AW29" s="79">
        <f>_xlfn.XLOOKUP(AV29,'PEW12'!$B$6:$B$201,'PEW12'!$A$6:$A$201,0)</f>
        <v>0</v>
      </c>
      <c r="AX29" s="9" t="str" cm="1">
        <f t="array" ref="AX29">_xlfn.XLOOKUP($B29,IMEW!C$6:C$201,IMEW!$B$6:B$201,"")</f>
        <v/>
      </c>
      <c r="AY29" s="80">
        <f>_xlfn.XLOOKUP(AX29,IMEW!$B$6:$B$201,IMEW!$A$6:$A$201,0)</f>
        <v>0</v>
      </c>
      <c r="BA29" s="81">
        <f t="shared" si="0"/>
        <v>0</v>
      </c>
      <c r="BB29" s="81">
        <f t="shared" si="1"/>
        <v>0</v>
      </c>
      <c r="BC29" s="81">
        <f t="shared" si="2"/>
        <v>0</v>
      </c>
      <c r="BD29" s="81">
        <f t="shared" si="3"/>
        <v>0</v>
      </c>
      <c r="BE29" s="81">
        <f t="shared" si="4"/>
        <v>0</v>
      </c>
      <c r="BF29" s="81">
        <f t="shared" si="5"/>
        <v>0</v>
      </c>
      <c r="BG29" s="81">
        <f t="shared" si="6"/>
        <v>0</v>
      </c>
    </row>
    <row r="30" spans="1:5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5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5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169" spans="3:3" x14ac:dyDescent="0.2">
      <c r="C169" t="s">
        <v>54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X1:BA3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  <mergeCell ref="AN4:AO4"/>
    <mergeCell ref="AP4:AQ4"/>
    <mergeCell ref="AR4:AS4"/>
    <mergeCell ref="X4:Y4"/>
    <mergeCell ref="Z4:AA4"/>
    <mergeCell ref="AB4:AC4"/>
    <mergeCell ref="AF4:AG4"/>
    <mergeCell ref="AD4:AE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3943-7B98-4ADB-84B4-408355F4FEB6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129" t="s">
        <v>117</v>
      </c>
      <c r="D2" s="69"/>
      <c r="E2" s="20"/>
      <c r="F2" s="20"/>
      <c r="G2" s="20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35</v>
      </c>
      <c r="C3" s="70" t="s">
        <v>118</v>
      </c>
      <c r="D3" s="70"/>
      <c r="E3" s="25"/>
      <c r="F3" s="25"/>
      <c r="G3" s="25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3" t="str">
        <f>IF(H6&gt;$H$2,"",(ROW()-5))</f>
        <v/>
      </c>
      <c r="C6" s="34" t="s">
        <v>54</v>
      </c>
      <c r="D6" s="34"/>
      <c r="E6" s="34"/>
      <c r="F6" s="34" t="s">
        <v>50</v>
      </c>
      <c r="G6" s="27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39" t="str">
        <f>IF(H7&gt;$H$2,"",(ROW()-5))</f>
        <v/>
      </c>
      <c r="C7" s="40" t="s">
        <v>54</v>
      </c>
      <c r="D7" s="40"/>
      <c r="E7" s="40"/>
      <c r="F7" s="40" t="s">
        <v>50</v>
      </c>
      <c r="G7" s="27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3" t="str">
        <f>IF(H8&gt;$H$2,"",(ROW()-5))</f>
        <v/>
      </c>
      <c r="C8" s="34" t="s">
        <v>54</v>
      </c>
      <c r="D8" s="34"/>
      <c r="E8" s="34"/>
      <c r="F8" s="34" t="s">
        <v>50</v>
      </c>
      <c r="G8" s="27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39" t="str">
        <f>IF(H9&gt;$H$2,"",3)</f>
        <v/>
      </c>
      <c r="C9" s="40" t="s">
        <v>54</v>
      </c>
      <c r="D9" s="40"/>
      <c r="E9" s="40"/>
      <c r="F9" s="40"/>
      <c r="G9" s="27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3" t="str">
        <f t="shared" ref="B10:B65" si="5">IF(H10&gt;$H$2,"",(ROW()-5))</f>
        <v/>
      </c>
      <c r="C10" s="34" t="s">
        <v>54</v>
      </c>
      <c r="D10" s="34"/>
      <c r="E10" s="34"/>
      <c r="F10" s="34"/>
      <c r="G10" s="27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39" t="str">
        <f t="shared" si="5"/>
        <v/>
      </c>
      <c r="C11" s="40" t="s">
        <v>54</v>
      </c>
      <c r="D11" s="40"/>
      <c r="E11" s="40"/>
      <c r="F11" s="40"/>
      <c r="G11" s="27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3" t="str">
        <f t="shared" si="5"/>
        <v/>
      </c>
      <c r="C12" s="34" t="s">
        <v>54</v>
      </c>
      <c r="D12" s="34"/>
      <c r="E12" s="34"/>
      <c r="F12" s="34"/>
      <c r="G12" s="27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39" t="str">
        <f t="shared" si="5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3" t="str">
        <f t="shared" si="5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39" t="str">
        <f t="shared" si="5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15"/>
      <c r="B52" s="33" t="str">
        <f t="shared" si="5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16"/>
      <c r="B53" s="39" t="str">
        <f t="shared" si="5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15"/>
      <c r="B54" s="33" t="str">
        <f t="shared" si="5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16"/>
      <c r="B55" s="39" t="str">
        <f t="shared" si="5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15"/>
      <c r="B56" s="33" t="str">
        <f t="shared" si="5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16"/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15"/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16"/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15"/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16"/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15"/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16"/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15"/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16"/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6">IF(H70&lt;$H$2+1,($I$2-($I$2-1)*(LOG(H70)/LOG($H$2))),"")</f>
        <v/>
      </c>
      <c r="J70" s="98" t="e">
        <f t="shared" ref="J70:J133" si="7">INT(LOG($H$2,2))-ROUNDUP(LOG(H70,2),0)+IF(OR($H$2=1,$H$2=2,$H$2=4,$H$2=8,$H$2=16,$H$2=32,$H$2=64,$H$2=128,$H$2=256),0,1)</f>
        <v>#NUM!</v>
      </c>
      <c r="K70" s="98" t="e">
        <f t="shared" ref="K70:K133" si="8">J70*$J$2</f>
        <v>#NUM!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6"/>
        <v/>
      </c>
      <c r="J71" s="98" t="e">
        <f t="shared" si="7"/>
        <v>#NUM!</v>
      </c>
      <c r="K71" s="98" t="e">
        <f t="shared" si="8"/>
        <v>#NUM!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6"/>
        <v/>
      </c>
      <c r="J72" s="98" t="e">
        <f t="shared" si="7"/>
        <v>#NUM!</v>
      </c>
      <c r="K72" s="98" t="e">
        <f t="shared" si="8"/>
        <v>#NUM!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6"/>
        <v/>
      </c>
      <c r="J73" s="98" t="e">
        <f t="shared" si="7"/>
        <v>#NUM!</v>
      </c>
      <c r="K73" s="98" t="e">
        <f t="shared" si="8"/>
        <v>#NUM!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6"/>
        <v/>
      </c>
      <c r="J74" s="98" t="e">
        <f t="shared" si="7"/>
        <v>#NUM!</v>
      </c>
      <c r="K74" s="98" t="e">
        <f t="shared" si="8"/>
        <v>#NUM!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6"/>
        <v/>
      </c>
      <c r="J75" s="98" t="e">
        <f t="shared" si="7"/>
        <v>#NUM!</v>
      </c>
      <c r="K75" s="98" t="e">
        <f t="shared" si="8"/>
        <v>#NUM!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6"/>
        <v/>
      </c>
      <c r="J76" s="98" t="e">
        <f t="shared" si="7"/>
        <v>#NUM!</v>
      </c>
      <c r="K76" s="98" t="e">
        <f t="shared" si="8"/>
        <v>#NUM!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6"/>
        <v/>
      </c>
      <c r="J77" s="98" t="e">
        <f t="shared" si="7"/>
        <v>#NUM!</v>
      </c>
      <c r="K77" s="98" t="e">
        <f t="shared" si="8"/>
        <v>#NUM!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6"/>
        <v/>
      </c>
      <c r="J78" s="98" t="e">
        <f t="shared" si="7"/>
        <v>#NUM!</v>
      </c>
      <c r="K78" s="98" t="e">
        <f t="shared" si="8"/>
        <v>#NUM!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6"/>
        <v/>
      </c>
      <c r="J79" s="98" t="e">
        <f t="shared" si="7"/>
        <v>#NUM!</v>
      </c>
      <c r="K79" s="98" t="e">
        <f t="shared" si="8"/>
        <v>#NUM!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6"/>
        <v/>
      </c>
      <c r="J80" s="98" t="e">
        <f t="shared" si="7"/>
        <v>#NUM!</v>
      </c>
      <c r="K80" s="98" t="e">
        <f t="shared" si="8"/>
        <v>#NUM!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6"/>
        <v/>
      </c>
      <c r="J81" s="98" t="e">
        <f t="shared" si="7"/>
        <v>#NUM!</v>
      </c>
      <c r="K81" s="98" t="e">
        <f t="shared" si="8"/>
        <v>#NUM!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6"/>
        <v/>
      </c>
      <c r="J82" s="98" t="e">
        <f t="shared" si="7"/>
        <v>#NUM!</v>
      </c>
      <c r="K82" s="98" t="e">
        <f t="shared" si="8"/>
        <v>#NUM!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6"/>
        <v/>
      </c>
      <c r="J83" s="98" t="e">
        <f t="shared" si="7"/>
        <v>#NUM!</v>
      </c>
      <c r="K83" s="98" t="e">
        <f t="shared" si="8"/>
        <v>#NUM!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6"/>
        <v/>
      </c>
      <c r="J84" s="98" t="e">
        <f t="shared" si="7"/>
        <v>#NUM!</v>
      </c>
      <c r="K84" s="98" t="e">
        <f t="shared" si="8"/>
        <v>#NUM!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6"/>
        <v/>
      </c>
      <c r="J85" s="98" t="e">
        <f t="shared" si="7"/>
        <v>#NUM!</v>
      </c>
      <c r="K85" s="98" t="e">
        <f t="shared" si="8"/>
        <v>#NUM!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6"/>
        <v/>
      </c>
      <c r="J86" s="98" t="e">
        <f t="shared" si="7"/>
        <v>#NUM!</v>
      </c>
      <c r="K86" s="98" t="e">
        <f t="shared" si="8"/>
        <v>#NUM!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6"/>
        <v/>
      </c>
      <c r="J87" s="98" t="e">
        <f t="shared" si="7"/>
        <v>#NUM!</v>
      </c>
      <c r="K87" s="98" t="e">
        <f t="shared" si="8"/>
        <v>#NUM!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6"/>
        <v/>
      </c>
      <c r="J88" s="98" t="e">
        <f t="shared" si="7"/>
        <v>#NUM!</v>
      </c>
      <c r="K88" s="98" t="e">
        <f t="shared" si="8"/>
        <v>#NUM!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6"/>
        <v/>
      </c>
      <c r="J89" s="98" t="e">
        <f t="shared" si="7"/>
        <v>#NUM!</v>
      </c>
      <c r="K89" s="98" t="e">
        <f t="shared" si="8"/>
        <v>#NUM!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6"/>
        <v/>
      </c>
      <c r="J90" s="98" t="e">
        <f t="shared" si="7"/>
        <v>#NUM!</v>
      </c>
      <c r="K90" s="98" t="e">
        <f t="shared" si="8"/>
        <v>#NUM!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6"/>
        <v/>
      </c>
      <c r="J91" s="98" t="e">
        <f t="shared" si="7"/>
        <v>#NUM!</v>
      </c>
      <c r="K91" s="98" t="e">
        <f t="shared" si="8"/>
        <v>#NUM!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6"/>
        <v/>
      </c>
      <c r="J92" s="98" t="e">
        <f t="shared" si="7"/>
        <v>#NUM!</v>
      </c>
      <c r="K92" s="98" t="e">
        <f t="shared" si="8"/>
        <v>#NUM!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6"/>
        <v/>
      </c>
      <c r="J93" s="98" t="e">
        <f t="shared" si="7"/>
        <v>#NUM!</v>
      </c>
      <c r="K93" s="98" t="e">
        <f t="shared" si="8"/>
        <v>#NUM!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6"/>
        <v/>
      </c>
      <c r="J94" s="98" t="e">
        <f t="shared" si="7"/>
        <v>#NUM!</v>
      </c>
      <c r="K94" s="98" t="e">
        <f t="shared" si="8"/>
        <v>#NUM!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6"/>
        <v/>
      </c>
      <c r="J95" s="98" t="e">
        <f t="shared" si="7"/>
        <v>#NUM!</v>
      </c>
      <c r="K95" s="98" t="e">
        <f t="shared" si="8"/>
        <v>#NUM!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6"/>
        <v/>
      </c>
      <c r="J96" s="98" t="e">
        <f t="shared" si="7"/>
        <v>#NUM!</v>
      </c>
      <c r="K96" s="98" t="e">
        <f t="shared" si="8"/>
        <v>#NUM!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6"/>
        <v/>
      </c>
      <c r="J97" s="98" t="e">
        <f t="shared" si="7"/>
        <v>#NUM!</v>
      </c>
      <c r="K97" s="98" t="e">
        <f t="shared" si="8"/>
        <v>#NUM!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6"/>
        <v/>
      </c>
      <c r="J98" s="98" t="e">
        <f t="shared" si="7"/>
        <v>#NUM!</v>
      </c>
      <c r="K98" s="98" t="e">
        <f t="shared" si="8"/>
        <v>#NUM!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6"/>
        <v/>
      </c>
      <c r="J99" s="98" t="e">
        <f t="shared" si="7"/>
        <v>#NUM!</v>
      </c>
      <c r="K99" s="98" t="e">
        <f t="shared" si="8"/>
        <v>#NUM!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6"/>
        <v/>
      </c>
      <c r="J100" s="98" t="e">
        <f t="shared" si="7"/>
        <v>#NUM!</v>
      </c>
      <c r="K100" s="98" t="e">
        <f t="shared" si="8"/>
        <v>#NUM!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7"/>
      <c r="B101" s="118"/>
      <c r="C101" s="118"/>
      <c r="D101" s="118"/>
      <c r="E101" s="118"/>
      <c r="F101" s="118"/>
      <c r="H101" s="98">
        <v>96</v>
      </c>
      <c r="I101" s="99" t="str">
        <f t="shared" si="6"/>
        <v/>
      </c>
      <c r="J101" s="98" t="e">
        <f t="shared" si="7"/>
        <v>#NUM!</v>
      </c>
      <c r="K101" s="98" t="e">
        <f t="shared" si="8"/>
        <v>#NUM!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7"/>
      <c r="B102" s="118"/>
      <c r="C102" s="118"/>
      <c r="D102" s="118"/>
      <c r="E102" s="118"/>
      <c r="F102" s="118"/>
      <c r="H102" s="98">
        <v>97</v>
      </c>
      <c r="I102" s="99" t="str">
        <f t="shared" si="6"/>
        <v/>
      </c>
      <c r="J102" s="98" t="e">
        <f t="shared" si="7"/>
        <v>#NUM!</v>
      </c>
      <c r="K102" s="98" t="e">
        <f t="shared" si="8"/>
        <v>#NUM!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7"/>
      <c r="B103" s="118"/>
      <c r="C103" s="118"/>
      <c r="D103" s="118"/>
      <c r="E103" s="118"/>
      <c r="F103" s="118"/>
      <c r="H103" s="98">
        <v>98</v>
      </c>
      <c r="I103" s="99" t="str">
        <f t="shared" si="6"/>
        <v/>
      </c>
      <c r="J103" s="98" t="e">
        <f t="shared" si="7"/>
        <v>#NUM!</v>
      </c>
      <c r="K103" s="98" t="e">
        <f t="shared" si="8"/>
        <v>#NUM!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7"/>
      <c r="B104" s="118"/>
      <c r="C104" s="118"/>
      <c r="D104" s="118"/>
      <c r="E104" s="118"/>
      <c r="F104" s="118"/>
      <c r="H104" s="98">
        <v>99</v>
      </c>
      <c r="I104" s="99" t="str">
        <f t="shared" si="6"/>
        <v/>
      </c>
      <c r="J104" s="98" t="e">
        <f t="shared" si="7"/>
        <v>#NUM!</v>
      </c>
      <c r="K104" s="98" t="e">
        <f t="shared" si="8"/>
        <v>#NUM!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7"/>
      <c r="B105" s="118"/>
      <c r="C105" s="118"/>
      <c r="D105" s="118"/>
      <c r="E105" s="118"/>
      <c r="F105" s="118"/>
      <c r="H105" s="98">
        <v>100</v>
      </c>
      <c r="I105" s="99" t="str">
        <f t="shared" si="6"/>
        <v/>
      </c>
      <c r="J105" s="98" t="e">
        <f t="shared" si="7"/>
        <v>#NUM!</v>
      </c>
      <c r="K105" s="98" t="e">
        <f t="shared" si="8"/>
        <v>#NUM!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7"/>
      <c r="B106" s="118"/>
      <c r="C106" s="118"/>
      <c r="D106" s="118"/>
      <c r="E106" s="118"/>
      <c r="F106" s="118"/>
      <c r="H106" s="98">
        <v>101</v>
      </c>
      <c r="I106" s="99" t="str">
        <f t="shared" si="6"/>
        <v/>
      </c>
      <c r="J106" s="98" t="e">
        <f t="shared" si="7"/>
        <v>#NUM!</v>
      </c>
      <c r="K106" s="98" t="e">
        <f t="shared" si="8"/>
        <v>#NUM!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7"/>
      <c r="B107" s="118"/>
      <c r="C107" s="118"/>
      <c r="D107" s="118"/>
      <c r="E107" s="118"/>
      <c r="F107" s="118"/>
      <c r="H107" s="98">
        <v>102</v>
      </c>
      <c r="I107" s="99" t="str">
        <f t="shared" si="6"/>
        <v/>
      </c>
      <c r="J107" s="98" t="e">
        <f t="shared" si="7"/>
        <v>#NUM!</v>
      </c>
      <c r="K107" s="98" t="e">
        <f t="shared" si="8"/>
        <v>#NUM!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7"/>
      <c r="B108" s="118"/>
      <c r="C108" s="118"/>
      <c r="D108" s="118"/>
      <c r="E108" s="118"/>
      <c r="F108" s="118"/>
      <c r="H108" s="98">
        <v>103</v>
      </c>
      <c r="I108" s="99" t="str">
        <f t="shared" si="6"/>
        <v/>
      </c>
      <c r="J108" s="98" t="e">
        <f t="shared" si="7"/>
        <v>#NUM!</v>
      </c>
      <c r="K108" s="98" t="e">
        <f t="shared" si="8"/>
        <v>#NUM!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7"/>
      <c r="B109" s="118"/>
      <c r="C109" s="118"/>
      <c r="D109" s="118"/>
      <c r="E109" s="118"/>
      <c r="F109" s="118"/>
      <c r="H109" s="98">
        <v>104</v>
      </c>
      <c r="I109" s="99" t="str">
        <f t="shared" si="6"/>
        <v/>
      </c>
      <c r="J109" s="98" t="e">
        <f t="shared" si="7"/>
        <v>#NUM!</v>
      </c>
      <c r="K109" s="98" t="e">
        <f t="shared" si="8"/>
        <v>#NUM!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7"/>
      <c r="B110" s="118"/>
      <c r="C110" s="118"/>
      <c r="D110" s="118"/>
      <c r="E110" s="118"/>
      <c r="F110" s="118"/>
      <c r="H110" s="98">
        <v>105</v>
      </c>
      <c r="I110" s="99" t="str">
        <f t="shared" si="6"/>
        <v/>
      </c>
      <c r="J110" s="98" t="e">
        <f t="shared" si="7"/>
        <v>#NUM!</v>
      </c>
      <c r="K110" s="98" t="e">
        <f t="shared" si="8"/>
        <v>#NUM!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7"/>
      <c r="B111" s="118"/>
      <c r="C111" s="118"/>
      <c r="D111" s="118"/>
      <c r="E111" s="118"/>
      <c r="F111" s="118"/>
      <c r="H111" s="98">
        <v>106</v>
      </c>
      <c r="I111" s="99" t="str">
        <f t="shared" si="6"/>
        <v/>
      </c>
      <c r="J111" s="98" t="e">
        <f t="shared" si="7"/>
        <v>#NUM!</v>
      </c>
      <c r="K111" s="98" t="e">
        <f t="shared" si="8"/>
        <v>#NUM!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7"/>
      <c r="B112" s="118"/>
      <c r="C112" s="118"/>
      <c r="D112" s="118"/>
      <c r="E112" s="118"/>
      <c r="F112" s="118"/>
      <c r="H112" s="98">
        <v>107</v>
      </c>
      <c r="I112" s="99" t="str">
        <f t="shared" si="6"/>
        <v/>
      </c>
      <c r="J112" s="98" t="e">
        <f t="shared" si="7"/>
        <v>#NUM!</v>
      </c>
      <c r="K112" s="98" t="e">
        <f t="shared" si="8"/>
        <v>#NUM!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7"/>
      <c r="B113" s="118"/>
      <c r="C113" s="118"/>
      <c r="D113" s="118"/>
      <c r="E113" s="118"/>
      <c r="F113" s="118"/>
      <c r="H113" s="98">
        <v>108</v>
      </c>
      <c r="I113" s="99" t="str">
        <f t="shared" si="6"/>
        <v/>
      </c>
      <c r="J113" s="98" t="e">
        <f t="shared" si="7"/>
        <v>#NUM!</v>
      </c>
      <c r="K113" s="98" t="e">
        <f t="shared" si="8"/>
        <v>#NUM!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7"/>
      <c r="B114" s="118"/>
      <c r="C114" s="118"/>
      <c r="D114" s="118"/>
      <c r="E114" s="118"/>
      <c r="F114" s="118"/>
      <c r="H114" s="98">
        <v>109</v>
      </c>
      <c r="I114" s="99" t="str">
        <f t="shared" si="6"/>
        <v/>
      </c>
      <c r="J114" s="98" t="e">
        <f t="shared" si="7"/>
        <v>#NUM!</v>
      </c>
      <c r="K114" s="98" t="e">
        <f t="shared" si="8"/>
        <v>#NUM!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7"/>
      <c r="B115" s="118"/>
      <c r="C115" s="118"/>
      <c r="D115" s="118"/>
      <c r="E115" s="118"/>
      <c r="F115" s="118"/>
      <c r="H115" s="98">
        <v>110</v>
      </c>
      <c r="I115" s="99" t="str">
        <f t="shared" si="6"/>
        <v/>
      </c>
      <c r="J115" s="98" t="e">
        <f t="shared" si="7"/>
        <v>#NUM!</v>
      </c>
      <c r="K115" s="98" t="e">
        <f t="shared" si="8"/>
        <v>#NUM!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7"/>
      <c r="B116" s="118"/>
      <c r="C116" s="118"/>
      <c r="D116" s="118"/>
      <c r="E116" s="118"/>
      <c r="F116" s="118"/>
      <c r="H116" s="98">
        <v>111</v>
      </c>
      <c r="I116" s="99" t="str">
        <f t="shared" si="6"/>
        <v/>
      </c>
      <c r="J116" s="98" t="e">
        <f t="shared" si="7"/>
        <v>#NUM!</v>
      </c>
      <c r="K116" s="98" t="e">
        <f t="shared" si="8"/>
        <v>#NUM!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7"/>
      <c r="B117" s="118"/>
      <c r="C117" s="118"/>
      <c r="D117" s="118"/>
      <c r="E117" s="118"/>
      <c r="F117" s="118"/>
      <c r="H117" s="98">
        <v>112</v>
      </c>
      <c r="I117" s="99" t="str">
        <f t="shared" si="6"/>
        <v/>
      </c>
      <c r="J117" s="98" t="e">
        <f t="shared" si="7"/>
        <v>#NUM!</v>
      </c>
      <c r="K117" s="98" t="e">
        <f t="shared" si="8"/>
        <v>#NUM!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7"/>
      <c r="B118" s="118"/>
      <c r="C118" s="118"/>
      <c r="D118" s="118"/>
      <c r="E118" s="118"/>
      <c r="F118" s="118"/>
      <c r="H118" s="98">
        <v>113</v>
      </c>
      <c r="I118" s="99" t="str">
        <f t="shared" si="6"/>
        <v/>
      </c>
      <c r="J118" s="98" t="e">
        <f t="shared" si="7"/>
        <v>#NUM!</v>
      </c>
      <c r="K118" s="98" t="e">
        <f t="shared" si="8"/>
        <v>#NUM!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7"/>
      <c r="B119" s="118"/>
      <c r="C119" s="118"/>
      <c r="D119" s="118"/>
      <c r="E119" s="118"/>
      <c r="F119" s="118"/>
      <c r="H119" s="98">
        <v>114</v>
      </c>
      <c r="I119" s="99" t="str">
        <f t="shared" si="6"/>
        <v/>
      </c>
      <c r="J119" s="98" t="e">
        <f t="shared" si="7"/>
        <v>#NUM!</v>
      </c>
      <c r="K119" s="98" t="e">
        <f t="shared" si="8"/>
        <v>#NUM!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7"/>
      <c r="B120" s="118"/>
      <c r="C120" s="118"/>
      <c r="D120" s="118"/>
      <c r="E120" s="118"/>
      <c r="F120" s="118"/>
      <c r="H120" s="98">
        <v>115</v>
      </c>
      <c r="I120" s="99" t="str">
        <f t="shared" si="6"/>
        <v/>
      </c>
      <c r="J120" s="98" t="e">
        <f t="shared" si="7"/>
        <v>#NUM!</v>
      </c>
      <c r="K120" s="98" t="e">
        <f t="shared" si="8"/>
        <v>#NUM!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7"/>
      <c r="B121" s="118"/>
      <c r="C121" s="118"/>
      <c r="D121" s="118"/>
      <c r="E121" s="118"/>
      <c r="F121" s="118"/>
      <c r="H121" s="98">
        <v>116</v>
      </c>
      <c r="I121" s="99" t="str">
        <f t="shared" si="6"/>
        <v/>
      </c>
      <c r="J121" s="98" t="e">
        <f t="shared" si="7"/>
        <v>#NUM!</v>
      </c>
      <c r="K121" s="98" t="e">
        <f t="shared" si="8"/>
        <v>#NUM!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7"/>
      <c r="B122" s="118"/>
      <c r="C122" s="118"/>
      <c r="D122" s="118"/>
      <c r="E122" s="118"/>
      <c r="F122" s="118"/>
      <c r="H122" s="98">
        <v>117</v>
      </c>
      <c r="I122" s="99" t="str">
        <f t="shared" si="6"/>
        <v/>
      </c>
      <c r="J122" s="98" t="e">
        <f t="shared" si="7"/>
        <v>#NUM!</v>
      </c>
      <c r="K122" s="98" t="e">
        <f t="shared" si="8"/>
        <v>#NUM!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7"/>
      <c r="B123" s="118"/>
      <c r="C123" s="118"/>
      <c r="D123" s="118"/>
      <c r="E123" s="118"/>
      <c r="F123" s="118"/>
      <c r="H123" s="98">
        <v>118</v>
      </c>
      <c r="I123" s="99" t="str">
        <f t="shared" si="6"/>
        <v/>
      </c>
      <c r="J123" s="98" t="e">
        <f t="shared" si="7"/>
        <v>#NUM!</v>
      </c>
      <c r="K123" s="98" t="e">
        <f t="shared" si="8"/>
        <v>#NUM!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7"/>
      <c r="B124" s="118"/>
      <c r="C124" s="118"/>
      <c r="D124" s="118"/>
      <c r="E124" s="118"/>
      <c r="F124" s="118"/>
      <c r="H124" s="98">
        <v>119</v>
      </c>
      <c r="I124" s="99" t="str">
        <f t="shared" si="6"/>
        <v/>
      </c>
      <c r="J124" s="98" t="e">
        <f t="shared" si="7"/>
        <v>#NUM!</v>
      </c>
      <c r="K124" s="98" t="e">
        <f t="shared" si="8"/>
        <v>#NUM!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7"/>
      <c r="B125" s="118"/>
      <c r="C125" s="118"/>
      <c r="D125" s="118"/>
      <c r="E125" s="118"/>
      <c r="F125" s="118"/>
      <c r="H125" s="98">
        <v>120</v>
      </c>
      <c r="I125" s="99" t="str">
        <f t="shared" si="6"/>
        <v/>
      </c>
      <c r="J125" s="98" t="e">
        <f t="shared" si="7"/>
        <v>#NUM!</v>
      </c>
      <c r="K125" s="98" t="e">
        <f t="shared" si="8"/>
        <v>#NUM!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7"/>
      <c r="B126" s="118"/>
      <c r="C126" s="118"/>
      <c r="D126" s="118"/>
      <c r="E126" s="118"/>
      <c r="F126" s="118"/>
      <c r="H126" s="98">
        <v>121</v>
      </c>
      <c r="I126" s="99" t="str">
        <f t="shared" si="6"/>
        <v/>
      </c>
      <c r="J126" s="98" t="e">
        <f t="shared" si="7"/>
        <v>#NUM!</v>
      </c>
      <c r="K126" s="98" t="e">
        <f t="shared" si="8"/>
        <v>#NUM!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7"/>
      <c r="B127" s="118"/>
      <c r="C127" s="118"/>
      <c r="D127" s="118"/>
      <c r="E127" s="118"/>
      <c r="F127" s="118"/>
      <c r="H127" s="98">
        <v>122</v>
      </c>
      <c r="I127" s="99" t="str">
        <f t="shared" si="6"/>
        <v/>
      </c>
      <c r="J127" s="98" t="e">
        <f t="shared" si="7"/>
        <v>#NUM!</v>
      </c>
      <c r="K127" s="98" t="e">
        <f t="shared" si="8"/>
        <v>#NUM!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7"/>
      <c r="B128" s="118"/>
      <c r="C128" s="118"/>
      <c r="D128" s="118"/>
      <c r="E128" s="118"/>
      <c r="F128" s="118"/>
      <c r="H128" s="98">
        <v>123</v>
      </c>
      <c r="I128" s="99" t="str">
        <f t="shared" si="6"/>
        <v/>
      </c>
      <c r="J128" s="98" t="e">
        <f t="shared" si="7"/>
        <v>#NUM!</v>
      </c>
      <c r="K128" s="98" t="e">
        <f t="shared" si="8"/>
        <v>#NUM!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7"/>
      <c r="B129" s="118"/>
      <c r="C129" s="118"/>
      <c r="D129" s="118"/>
      <c r="E129" s="118"/>
      <c r="F129" s="118"/>
      <c r="H129" s="98">
        <v>124</v>
      </c>
      <c r="I129" s="99" t="str">
        <f t="shared" si="6"/>
        <v/>
      </c>
      <c r="J129" s="98" t="e">
        <f t="shared" si="7"/>
        <v>#NUM!</v>
      </c>
      <c r="K129" s="98" t="e">
        <f t="shared" si="8"/>
        <v>#NUM!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7"/>
      <c r="B130" s="118"/>
      <c r="C130" s="118"/>
      <c r="D130" s="118"/>
      <c r="E130" s="118"/>
      <c r="F130" s="118"/>
      <c r="H130" s="98">
        <v>125</v>
      </c>
      <c r="I130" s="99" t="str">
        <f t="shared" si="6"/>
        <v/>
      </c>
      <c r="J130" s="98" t="e">
        <f t="shared" si="7"/>
        <v>#NUM!</v>
      </c>
      <c r="K130" s="98" t="e">
        <f t="shared" si="8"/>
        <v>#NUM!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7"/>
      <c r="B131" s="118"/>
      <c r="C131" s="118"/>
      <c r="D131" s="118"/>
      <c r="E131" s="118"/>
      <c r="F131" s="118"/>
      <c r="H131" s="98">
        <v>126</v>
      </c>
      <c r="I131" s="99" t="str">
        <f t="shared" si="6"/>
        <v/>
      </c>
      <c r="J131" s="98" t="e">
        <f t="shared" si="7"/>
        <v>#NUM!</v>
      </c>
      <c r="K131" s="98" t="e">
        <f t="shared" si="8"/>
        <v>#NUM!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7"/>
      <c r="B132" s="118"/>
      <c r="C132" s="118"/>
      <c r="D132" s="118"/>
      <c r="E132" s="118"/>
      <c r="F132" s="118"/>
      <c r="H132" s="98">
        <v>127</v>
      </c>
      <c r="I132" s="99" t="str">
        <f t="shared" si="6"/>
        <v/>
      </c>
      <c r="J132" s="98" t="e">
        <f t="shared" si="7"/>
        <v>#NUM!</v>
      </c>
      <c r="K132" s="98" t="e">
        <f t="shared" si="8"/>
        <v>#NUM!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7"/>
      <c r="B133" s="118"/>
      <c r="C133" s="118"/>
      <c r="D133" s="118"/>
      <c r="E133" s="118"/>
      <c r="F133" s="118"/>
      <c r="H133" s="98">
        <v>128</v>
      </c>
      <c r="I133" s="99" t="str">
        <f t="shared" si="6"/>
        <v/>
      </c>
      <c r="J133" s="98" t="e">
        <f t="shared" si="7"/>
        <v>#NUM!</v>
      </c>
      <c r="K133" s="98" t="e">
        <f t="shared" si="8"/>
        <v>#NUM!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7"/>
      <c r="B134" s="118"/>
      <c r="C134" s="118"/>
      <c r="D134" s="118"/>
      <c r="E134" s="118"/>
      <c r="F134" s="118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ref="J134:J197" si="11">INT(LOG($H$2,2))-ROUNDUP(LOG(H134,2),0)+IF(OR($H$2=1,$H$2=2,$H$2=4,$H$2=8,$H$2=16,$H$2=32,$H$2=64,$H$2=128,$H$2=256),0,1)</f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7"/>
      <c r="B135" s="118"/>
      <c r="C135" s="118"/>
      <c r="D135" s="118"/>
      <c r="E135" s="118"/>
      <c r="F135" s="118"/>
      <c r="H135" s="98">
        <v>130</v>
      </c>
      <c r="I135" s="99" t="str">
        <f t="shared" si="10"/>
        <v/>
      </c>
      <c r="J135" s="98" t="e">
        <f t="shared" si="11"/>
        <v>#NUM!</v>
      </c>
      <c r="K135" s="98" t="e">
        <f t="shared" si="12"/>
        <v>#NUM!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7"/>
      <c r="B136" s="118"/>
      <c r="C136" s="118"/>
      <c r="D136" s="118"/>
      <c r="E136" s="118"/>
      <c r="F136" s="118"/>
      <c r="H136" s="98">
        <v>131</v>
      </c>
      <c r="I136" s="99" t="str">
        <f t="shared" si="10"/>
        <v/>
      </c>
      <c r="J136" s="98" t="e">
        <f t="shared" si="11"/>
        <v>#NUM!</v>
      </c>
      <c r="K136" s="98" t="e">
        <f t="shared" si="12"/>
        <v>#NUM!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7"/>
      <c r="B137" s="118"/>
      <c r="C137" s="118"/>
      <c r="D137" s="118"/>
      <c r="E137" s="118"/>
      <c r="F137" s="118"/>
      <c r="H137" s="98">
        <v>132</v>
      </c>
      <c r="I137" s="99" t="str">
        <f t="shared" si="10"/>
        <v/>
      </c>
      <c r="J137" s="98" t="e">
        <f t="shared" si="11"/>
        <v>#NUM!</v>
      </c>
      <c r="K137" s="98" t="e">
        <f t="shared" si="12"/>
        <v>#NUM!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7"/>
      <c r="B138" s="118"/>
      <c r="C138" s="118"/>
      <c r="D138" s="118"/>
      <c r="E138" s="118"/>
      <c r="F138" s="118"/>
      <c r="H138" s="98">
        <v>133</v>
      </c>
      <c r="I138" s="99" t="str">
        <f t="shared" si="10"/>
        <v/>
      </c>
      <c r="J138" s="98" t="e">
        <f t="shared" si="11"/>
        <v>#NUM!</v>
      </c>
      <c r="K138" s="98" t="e">
        <f t="shared" si="12"/>
        <v>#NUM!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7"/>
      <c r="B139" s="118"/>
      <c r="C139" s="118"/>
      <c r="D139" s="118"/>
      <c r="E139" s="118"/>
      <c r="F139" s="118"/>
      <c r="H139" s="98">
        <v>134</v>
      </c>
      <c r="I139" s="99" t="str">
        <f t="shared" si="10"/>
        <v/>
      </c>
      <c r="J139" s="98" t="e">
        <f t="shared" si="11"/>
        <v>#NUM!</v>
      </c>
      <c r="K139" s="98" t="e">
        <f t="shared" si="12"/>
        <v>#NUM!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7"/>
      <c r="B140" s="118"/>
      <c r="C140" s="118"/>
      <c r="D140" s="118"/>
      <c r="E140" s="118"/>
      <c r="F140" s="118"/>
      <c r="H140" s="98">
        <v>135</v>
      </c>
      <c r="I140" s="99" t="str">
        <f t="shared" si="10"/>
        <v/>
      </c>
      <c r="J140" s="98" t="e">
        <f t="shared" si="11"/>
        <v>#NUM!</v>
      </c>
      <c r="K140" s="98" t="e">
        <f t="shared" si="12"/>
        <v>#NUM!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7"/>
      <c r="B141" s="118"/>
      <c r="C141" s="118"/>
      <c r="D141" s="118"/>
      <c r="E141" s="118"/>
      <c r="F141" s="118"/>
      <c r="H141" s="98">
        <v>136</v>
      </c>
      <c r="I141" s="99" t="str">
        <f t="shared" si="10"/>
        <v/>
      </c>
      <c r="J141" s="98" t="e">
        <f t="shared" si="11"/>
        <v>#NUM!</v>
      </c>
      <c r="K141" s="98" t="e">
        <f t="shared" si="12"/>
        <v>#NUM!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7"/>
      <c r="B142" s="118"/>
      <c r="C142" s="118"/>
      <c r="D142" s="118"/>
      <c r="E142" s="118"/>
      <c r="F142" s="118"/>
      <c r="H142" s="98">
        <v>137</v>
      </c>
      <c r="I142" s="99" t="str">
        <f t="shared" si="10"/>
        <v/>
      </c>
      <c r="J142" s="98" t="e">
        <f t="shared" si="11"/>
        <v>#NUM!</v>
      </c>
      <c r="K142" s="98" t="e">
        <f t="shared" si="12"/>
        <v>#NUM!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7"/>
      <c r="B143" s="118"/>
      <c r="C143" s="118"/>
      <c r="D143" s="118"/>
      <c r="E143" s="118"/>
      <c r="F143" s="118"/>
      <c r="H143" s="98">
        <v>138</v>
      </c>
      <c r="I143" s="99" t="str">
        <f t="shared" si="10"/>
        <v/>
      </c>
      <c r="J143" s="98" t="e">
        <f t="shared" si="11"/>
        <v>#NUM!</v>
      </c>
      <c r="K143" s="98" t="e">
        <f t="shared" si="12"/>
        <v>#NUM!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7"/>
      <c r="B144" s="118"/>
      <c r="C144" s="118"/>
      <c r="D144" s="118"/>
      <c r="E144" s="118"/>
      <c r="F144" s="118"/>
      <c r="H144" s="98">
        <v>139</v>
      </c>
      <c r="I144" s="99" t="str">
        <f t="shared" si="10"/>
        <v/>
      </c>
      <c r="J144" s="98" t="e">
        <f t="shared" si="11"/>
        <v>#NUM!</v>
      </c>
      <c r="K144" s="98" t="e">
        <f t="shared" si="12"/>
        <v>#NUM!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7"/>
      <c r="B145" s="118"/>
      <c r="C145" s="118"/>
      <c r="D145" s="118"/>
      <c r="E145" s="118"/>
      <c r="F145" s="118"/>
      <c r="H145" s="98">
        <v>140</v>
      </c>
      <c r="I145" s="99" t="str">
        <f t="shared" si="10"/>
        <v/>
      </c>
      <c r="J145" s="98" t="e">
        <f t="shared" si="11"/>
        <v>#NUM!</v>
      </c>
      <c r="K145" s="98" t="e">
        <f t="shared" si="12"/>
        <v>#NUM!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7"/>
      <c r="B146" s="118"/>
      <c r="C146" s="118"/>
      <c r="D146" s="118"/>
      <c r="E146" s="118"/>
      <c r="F146" s="118"/>
      <c r="H146" s="98">
        <v>141</v>
      </c>
      <c r="I146" s="99" t="str">
        <f t="shared" si="10"/>
        <v/>
      </c>
      <c r="J146" s="98" t="e">
        <f t="shared" si="11"/>
        <v>#NUM!</v>
      </c>
      <c r="K146" s="98" t="e">
        <f t="shared" si="12"/>
        <v>#NUM!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7"/>
      <c r="B147" s="118"/>
      <c r="C147" s="118"/>
      <c r="D147" s="118"/>
      <c r="E147" s="118"/>
      <c r="F147" s="118"/>
      <c r="H147" s="98">
        <v>142</v>
      </c>
      <c r="I147" s="99" t="str">
        <f t="shared" si="10"/>
        <v/>
      </c>
      <c r="J147" s="98" t="e">
        <f t="shared" si="11"/>
        <v>#NUM!</v>
      </c>
      <c r="K147" s="98" t="e">
        <f t="shared" si="12"/>
        <v>#NUM!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7"/>
      <c r="B148" s="118"/>
      <c r="C148" s="118"/>
      <c r="D148" s="118"/>
      <c r="E148" s="118"/>
      <c r="F148" s="118"/>
      <c r="H148" s="98">
        <v>143</v>
      </c>
      <c r="I148" s="99" t="str">
        <f t="shared" si="10"/>
        <v/>
      </c>
      <c r="J148" s="98" t="e">
        <f t="shared" si="11"/>
        <v>#NUM!</v>
      </c>
      <c r="K148" s="98" t="e">
        <f t="shared" si="12"/>
        <v>#NUM!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7"/>
      <c r="B149" s="118"/>
      <c r="C149" s="118"/>
      <c r="D149" s="118"/>
      <c r="E149" s="118"/>
      <c r="F149" s="118"/>
      <c r="H149" s="98">
        <v>144</v>
      </c>
      <c r="I149" s="99" t="str">
        <f t="shared" si="10"/>
        <v/>
      </c>
      <c r="J149" s="98" t="e">
        <f t="shared" si="11"/>
        <v>#NUM!</v>
      </c>
      <c r="K149" s="98" t="e">
        <f t="shared" si="12"/>
        <v>#NUM!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7"/>
      <c r="B150" s="118"/>
      <c r="C150" s="118"/>
      <c r="D150" s="118"/>
      <c r="E150" s="118"/>
      <c r="F150" s="118"/>
      <c r="H150" s="98">
        <v>145</v>
      </c>
      <c r="I150" s="99" t="str">
        <f t="shared" si="10"/>
        <v/>
      </c>
      <c r="J150" s="98" t="e">
        <f t="shared" si="11"/>
        <v>#NUM!</v>
      </c>
      <c r="K150" s="98" t="e">
        <f t="shared" si="12"/>
        <v>#NUM!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7"/>
      <c r="B151" s="118"/>
      <c r="C151" s="118"/>
      <c r="D151" s="118"/>
      <c r="E151" s="118"/>
      <c r="F151" s="118"/>
      <c r="H151" s="98">
        <v>146</v>
      </c>
      <c r="I151" s="99" t="str">
        <f t="shared" si="10"/>
        <v/>
      </c>
      <c r="J151" s="98" t="e">
        <f t="shared" si="11"/>
        <v>#NUM!</v>
      </c>
      <c r="K151" s="98" t="e">
        <f t="shared" si="12"/>
        <v>#NUM!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7"/>
      <c r="B152" s="118"/>
      <c r="C152" s="118"/>
      <c r="D152" s="118"/>
      <c r="E152" s="118"/>
      <c r="F152" s="118"/>
      <c r="H152" s="98">
        <v>147</v>
      </c>
      <c r="I152" s="99" t="str">
        <f t="shared" si="10"/>
        <v/>
      </c>
      <c r="J152" s="98" t="e">
        <f t="shared" si="11"/>
        <v>#NUM!</v>
      </c>
      <c r="K152" s="98" t="e">
        <f t="shared" si="12"/>
        <v>#NUM!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7"/>
      <c r="B153" s="118"/>
      <c r="C153" s="118"/>
      <c r="D153" s="118"/>
      <c r="E153" s="118"/>
      <c r="F153" s="118"/>
      <c r="H153" s="98">
        <v>148</v>
      </c>
      <c r="I153" s="99" t="str">
        <f t="shared" si="10"/>
        <v/>
      </c>
      <c r="J153" s="98" t="e">
        <f t="shared" si="11"/>
        <v>#NUM!</v>
      </c>
      <c r="K153" s="98" t="e">
        <f t="shared" si="12"/>
        <v>#NUM!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7"/>
      <c r="B154" s="118"/>
      <c r="C154" s="118"/>
      <c r="D154" s="118"/>
      <c r="E154" s="118"/>
      <c r="F154" s="118"/>
      <c r="H154" s="98">
        <v>149</v>
      </c>
      <c r="I154" s="99" t="str">
        <f t="shared" si="10"/>
        <v/>
      </c>
      <c r="J154" s="98" t="e">
        <f t="shared" si="11"/>
        <v>#NUM!</v>
      </c>
      <c r="K154" s="98" t="e">
        <f t="shared" si="12"/>
        <v>#NUM!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0"/>
        <v/>
      </c>
      <c r="J155" s="98" t="e">
        <f t="shared" si="11"/>
        <v>#NUM!</v>
      </c>
      <c r="K155" s="98" t="e">
        <f t="shared" si="12"/>
        <v>#NUM!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0"/>
        <v/>
      </c>
      <c r="J156" s="98" t="e">
        <f t="shared" si="11"/>
        <v>#NUM!</v>
      </c>
      <c r="K156" s="98" t="e">
        <f t="shared" si="12"/>
        <v>#NUM!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0"/>
        <v/>
      </c>
      <c r="J157" s="98" t="e">
        <f t="shared" si="11"/>
        <v>#NUM!</v>
      </c>
      <c r="K157" s="98" t="e">
        <f t="shared" si="12"/>
        <v>#NUM!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0"/>
        <v/>
      </c>
      <c r="J158" s="98" t="e">
        <f t="shared" si="11"/>
        <v>#NUM!</v>
      </c>
      <c r="K158" s="98" t="e">
        <f t="shared" si="12"/>
        <v>#NUM!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0"/>
        <v/>
      </c>
      <c r="J159" s="98" t="e">
        <f t="shared" si="11"/>
        <v>#NUM!</v>
      </c>
      <c r="K159" s="98" t="e">
        <f t="shared" si="12"/>
        <v>#NUM!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0"/>
        <v/>
      </c>
      <c r="J160" s="98" t="e">
        <f t="shared" si="11"/>
        <v>#NUM!</v>
      </c>
      <c r="K160" s="98" t="e">
        <f t="shared" si="12"/>
        <v>#NUM!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0"/>
        <v/>
      </c>
      <c r="J161" s="98" t="e">
        <f t="shared" si="11"/>
        <v>#NUM!</v>
      </c>
      <c r="K161" s="98" t="e">
        <f t="shared" si="12"/>
        <v>#NUM!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0"/>
        <v/>
      </c>
      <c r="J162" s="98" t="e">
        <f t="shared" si="11"/>
        <v>#NUM!</v>
      </c>
      <c r="K162" s="98" t="e">
        <f t="shared" si="12"/>
        <v>#NUM!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0"/>
        <v/>
      </c>
      <c r="J163" s="98" t="e">
        <f t="shared" si="11"/>
        <v>#NUM!</v>
      </c>
      <c r="K163" s="98" t="e">
        <f t="shared" si="12"/>
        <v>#NUM!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0"/>
        <v/>
      </c>
      <c r="J164" s="98" t="e">
        <f t="shared" si="11"/>
        <v>#NUM!</v>
      </c>
      <c r="K164" s="98" t="e">
        <f t="shared" si="12"/>
        <v>#NUM!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0"/>
        <v/>
      </c>
      <c r="J165" s="98" t="e">
        <f t="shared" si="11"/>
        <v>#NUM!</v>
      </c>
      <c r="K165" s="98" t="e">
        <f t="shared" si="12"/>
        <v>#NUM!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0"/>
        <v/>
      </c>
      <c r="J166" s="98" t="e">
        <f t="shared" si="11"/>
        <v>#NUM!</v>
      </c>
      <c r="K166" s="98" t="e">
        <f t="shared" si="12"/>
        <v>#NUM!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0"/>
        <v/>
      </c>
      <c r="J167" s="98" t="e">
        <f t="shared" si="11"/>
        <v>#NUM!</v>
      </c>
      <c r="K167" s="98" t="e">
        <f t="shared" si="12"/>
        <v>#NUM!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0"/>
        <v/>
      </c>
      <c r="J168" s="98" t="e">
        <f t="shared" si="11"/>
        <v>#NUM!</v>
      </c>
      <c r="K168" s="98" t="e">
        <f t="shared" si="12"/>
        <v>#NUM!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0"/>
        <v/>
      </c>
      <c r="J169" s="98" t="e">
        <f t="shared" si="11"/>
        <v>#NUM!</v>
      </c>
      <c r="K169" s="98" t="e">
        <f t="shared" si="12"/>
        <v>#NUM!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0"/>
        <v/>
      </c>
      <c r="J170" s="98" t="e">
        <f t="shared" si="11"/>
        <v>#NUM!</v>
      </c>
      <c r="K170" s="98" t="e">
        <f t="shared" si="12"/>
        <v>#NUM!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0"/>
        <v/>
      </c>
      <c r="J171" s="98" t="e">
        <f t="shared" si="11"/>
        <v>#NUM!</v>
      </c>
      <c r="K171" s="98" t="e">
        <f t="shared" si="12"/>
        <v>#NUM!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0"/>
        <v/>
      </c>
      <c r="J172" s="98" t="e">
        <f t="shared" si="11"/>
        <v>#NUM!</v>
      </c>
      <c r="K172" s="98" t="e">
        <f t="shared" si="12"/>
        <v>#NUM!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0"/>
        <v/>
      </c>
      <c r="J173" s="98" t="e">
        <f t="shared" si="11"/>
        <v>#NUM!</v>
      </c>
      <c r="K173" s="98" t="e">
        <f t="shared" si="12"/>
        <v>#NUM!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0"/>
        <v/>
      </c>
      <c r="J174" s="98" t="e">
        <f t="shared" si="11"/>
        <v>#NUM!</v>
      </c>
      <c r="K174" s="98" t="e">
        <f t="shared" si="12"/>
        <v>#NUM!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0"/>
        <v/>
      </c>
      <c r="J175" s="98" t="e">
        <f t="shared" si="11"/>
        <v>#NUM!</v>
      </c>
      <c r="K175" s="98" t="e">
        <f t="shared" si="12"/>
        <v>#NUM!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0"/>
        <v/>
      </c>
      <c r="J176" s="98" t="e">
        <f t="shared" si="11"/>
        <v>#NUM!</v>
      </c>
      <c r="K176" s="98" t="e">
        <f t="shared" si="12"/>
        <v>#NUM!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0"/>
        <v/>
      </c>
      <c r="J177" s="98" t="e">
        <f t="shared" si="11"/>
        <v>#NUM!</v>
      </c>
      <c r="K177" s="98" t="e">
        <f t="shared" si="12"/>
        <v>#NUM!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0"/>
        <v/>
      </c>
      <c r="J178" s="98" t="e">
        <f t="shared" si="11"/>
        <v>#NUM!</v>
      </c>
      <c r="K178" s="98" t="e">
        <f t="shared" si="12"/>
        <v>#NUM!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0"/>
        <v/>
      </c>
      <c r="J179" s="98" t="e">
        <f t="shared" si="11"/>
        <v>#NUM!</v>
      </c>
      <c r="K179" s="98" t="e">
        <f t="shared" si="12"/>
        <v>#NUM!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0"/>
        <v/>
      </c>
      <c r="J180" s="98" t="e">
        <f t="shared" si="11"/>
        <v>#NUM!</v>
      </c>
      <c r="K180" s="98" t="e">
        <f t="shared" si="12"/>
        <v>#NUM!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0"/>
        <v/>
      </c>
      <c r="J181" s="98" t="e">
        <f t="shared" si="11"/>
        <v>#NUM!</v>
      </c>
      <c r="K181" s="98" t="e">
        <f t="shared" si="12"/>
        <v>#NUM!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0"/>
        <v/>
      </c>
      <c r="J182" s="98" t="e">
        <f t="shared" si="11"/>
        <v>#NUM!</v>
      </c>
      <c r="K182" s="98" t="e">
        <f t="shared" si="12"/>
        <v>#NUM!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0"/>
        <v/>
      </c>
      <c r="J183" s="98" t="e">
        <f t="shared" si="11"/>
        <v>#NUM!</v>
      </c>
      <c r="K183" s="98" t="e">
        <f t="shared" si="12"/>
        <v>#NUM!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0"/>
        <v/>
      </c>
      <c r="J184" s="98" t="e">
        <f t="shared" si="11"/>
        <v>#NUM!</v>
      </c>
      <c r="K184" s="98" t="e">
        <f t="shared" si="12"/>
        <v>#NUM!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0"/>
        <v/>
      </c>
      <c r="J185" s="98" t="e">
        <f t="shared" si="11"/>
        <v>#NUM!</v>
      </c>
      <c r="K185" s="98" t="e">
        <f t="shared" si="12"/>
        <v>#NUM!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0"/>
        <v/>
      </c>
      <c r="J186" s="98" t="e">
        <f t="shared" si="11"/>
        <v>#NUM!</v>
      </c>
      <c r="K186" s="98" t="e">
        <f t="shared" si="12"/>
        <v>#NUM!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0"/>
        <v/>
      </c>
      <c r="J187" s="98" t="e">
        <f t="shared" si="11"/>
        <v>#NUM!</v>
      </c>
      <c r="K187" s="98" t="e">
        <f t="shared" si="12"/>
        <v>#NUM!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0"/>
        <v/>
      </c>
      <c r="J188" s="98" t="e">
        <f t="shared" si="11"/>
        <v>#NUM!</v>
      </c>
      <c r="K188" s="98" t="e">
        <f t="shared" si="12"/>
        <v>#NUM!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0"/>
        <v/>
      </c>
      <c r="J189" s="98" t="e">
        <f t="shared" si="11"/>
        <v>#NUM!</v>
      </c>
      <c r="K189" s="98" t="e">
        <f t="shared" si="12"/>
        <v>#NUM!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0"/>
        <v/>
      </c>
      <c r="J190" s="98" t="e">
        <f t="shared" si="11"/>
        <v>#NUM!</v>
      </c>
      <c r="K190" s="98" t="e">
        <f t="shared" si="12"/>
        <v>#NUM!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0"/>
        <v/>
      </c>
      <c r="J191" s="98" t="e">
        <f t="shared" si="11"/>
        <v>#NUM!</v>
      </c>
      <c r="K191" s="98" t="e">
        <f t="shared" si="12"/>
        <v>#NUM!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0"/>
        <v/>
      </c>
      <c r="J192" s="98" t="e">
        <f t="shared" si="11"/>
        <v>#NUM!</v>
      </c>
      <c r="K192" s="98" t="e">
        <f t="shared" si="12"/>
        <v>#NUM!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0"/>
        <v/>
      </c>
      <c r="J193" s="98" t="e">
        <f t="shared" si="11"/>
        <v>#NUM!</v>
      </c>
      <c r="K193" s="98" t="e">
        <f t="shared" si="12"/>
        <v>#NUM!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0"/>
        <v/>
      </c>
      <c r="J194" s="98" t="e">
        <f t="shared" si="11"/>
        <v>#NUM!</v>
      </c>
      <c r="K194" s="98" t="e">
        <f t="shared" si="12"/>
        <v>#NUM!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0"/>
        <v/>
      </c>
      <c r="J195" s="98" t="e">
        <f t="shared" si="11"/>
        <v>#NUM!</v>
      </c>
      <c r="K195" s="98" t="e">
        <f t="shared" si="12"/>
        <v>#NUM!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0"/>
        <v/>
      </c>
      <c r="J196" s="98" t="e">
        <f t="shared" si="11"/>
        <v>#NUM!</v>
      </c>
      <c r="K196" s="98" t="e">
        <f t="shared" si="12"/>
        <v>#NUM!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0"/>
        <v/>
      </c>
      <c r="J197" s="98" t="e">
        <f t="shared" si="11"/>
        <v>#NUM!</v>
      </c>
      <c r="K197" s="98" t="e">
        <f t="shared" si="12"/>
        <v>#NUM!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ref="J198:J261" si="15">INT(LOG($H$2,2))-ROUNDUP(LOG(H198,2),0)+IF(OR($H$2=1,$H$2=2,$H$2=4,$H$2=8,$H$2=16,$H$2=32,$H$2=64,$H$2=128,$H$2=256),0,1)</f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4"/>
        <v/>
      </c>
      <c r="J199" s="98" t="e">
        <f t="shared" si="15"/>
        <v>#NUM!</v>
      </c>
      <c r="K199" s="98" t="e">
        <f t="shared" si="16"/>
        <v>#NUM!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4"/>
        <v/>
      </c>
      <c r="J200" s="98" t="e">
        <f t="shared" si="15"/>
        <v>#NUM!</v>
      </c>
      <c r="K200" s="98" t="e">
        <f t="shared" si="16"/>
        <v>#NUM!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4"/>
        <v/>
      </c>
      <c r="J201" s="98" t="e">
        <f t="shared" si="15"/>
        <v>#NUM!</v>
      </c>
      <c r="K201" s="98" t="e">
        <f t="shared" si="16"/>
        <v>#NUM!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4"/>
        <v/>
      </c>
      <c r="J202" s="98" t="e">
        <f t="shared" si="15"/>
        <v>#NUM!</v>
      </c>
      <c r="K202" s="98" t="e">
        <f t="shared" si="16"/>
        <v>#NUM!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4"/>
        <v/>
      </c>
      <c r="J203" s="98" t="e">
        <f t="shared" si="15"/>
        <v>#NUM!</v>
      </c>
      <c r="K203" s="98" t="e">
        <f t="shared" si="16"/>
        <v>#NUM!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4"/>
        <v/>
      </c>
      <c r="J204" s="98" t="e">
        <f t="shared" si="15"/>
        <v>#NUM!</v>
      </c>
      <c r="K204" s="98" t="e">
        <f t="shared" si="16"/>
        <v>#NUM!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4"/>
        <v/>
      </c>
      <c r="J205" s="98" t="e">
        <f t="shared" si="15"/>
        <v>#NUM!</v>
      </c>
      <c r="K205" s="98" t="e">
        <f t="shared" si="16"/>
        <v>#NUM!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4"/>
        <v/>
      </c>
      <c r="J206" s="98" t="e">
        <f t="shared" si="15"/>
        <v>#NUM!</v>
      </c>
      <c r="K206" s="98" t="e">
        <f t="shared" si="16"/>
        <v>#NUM!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4"/>
        <v/>
      </c>
      <c r="J207" s="98" t="e">
        <f t="shared" si="15"/>
        <v>#NUM!</v>
      </c>
      <c r="K207" s="98" t="e">
        <f t="shared" si="16"/>
        <v>#NUM!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4"/>
        <v/>
      </c>
      <c r="J208" s="98" t="e">
        <f t="shared" si="15"/>
        <v>#NUM!</v>
      </c>
      <c r="K208" s="98" t="e">
        <f t="shared" si="16"/>
        <v>#NUM!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4"/>
        <v/>
      </c>
      <c r="J209" s="98" t="e">
        <f t="shared" si="15"/>
        <v>#NUM!</v>
      </c>
      <c r="K209" s="98" t="e">
        <f t="shared" si="16"/>
        <v>#NUM!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4"/>
        <v/>
      </c>
      <c r="J210" s="98" t="e">
        <f t="shared" si="15"/>
        <v>#NUM!</v>
      </c>
      <c r="K210" s="98" t="e">
        <f t="shared" si="16"/>
        <v>#NUM!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4"/>
        <v/>
      </c>
      <c r="J211" s="98" t="e">
        <f t="shared" si="15"/>
        <v>#NUM!</v>
      </c>
      <c r="K211" s="98" t="e">
        <f t="shared" si="16"/>
        <v>#NUM!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4"/>
        <v/>
      </c>
      <c r="J212" s="98" t="e">
        <f t="shared" si="15"/>
        <v>#NUM!</v>
      </c>
      <c r="K212" s="98" t="e">
        <f t="shared" si="16"/>
        <v>#NUM!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4"/>
        <v/>
      </c>
      <c r="J213" s="98" t="e">
        <f t="shared" si="15"/>
        <v>#NUM!</v>
      </c>
      <c r="K213" s="98" t="e">
        <f t="shared" si="16"/>
        <v>#NUM!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4"/>
        <v/>
      </c>
      <c r="J214" s="98" t="e">
        <f t="shared" si="15"/>
        <v>#NUM!</v>
      </c>
      <c r="K214" s="98" t="e">
        <f t="shared" si="16"/>
        <v>#NUM!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4"/>
        <v/>
      </c>
      <c r="J215" s="98" t="e">
        <f t="shared" si="15"/>
        <v>#NUM!</v>
      </c>
      <c r="K215" s="98" t="e">
        <f t="shared" si="16"/>
        <v>#NUM!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4"/>
        <v/>
      </c>
      <c r="J216" s="98" t="e">
        <f t="shared" si="15"/>
        <v>#NUM!</v>
      </c>
      <c r="K216" s="98" t="e">
        <f t="shared" si="16"/>
        <v>#NUM!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4"/>
        <v/>
      </c>
      <c r="J217" s="98" t="e">
        <f t="shared" si="15"/>
        <v>#NUM!</v>
      </c>
      <c r="K217" s="98" t="e">
        <f t="shared" si="16"/>
        <v>#NUM!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4"/>
        <v/>
      </c>
      <c r="J218" s="98" t="e">
        <f t="shared" si="15"/>
        <v>#NUM!</v>
      </c>
      <c r="K218" s="98" t="e">
        <f t="shared" si="16"/>
        <v>#NUM!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4"/>
        <v/>
      </c>
      <c r="J219" s="98" t="e">
        <f t="shared" si="15"/>
        <v>#NUM!</v>
      </c>
      <c r="K219" s="98" t="e">
        <f t="shared" si="16"/>
        <v>#NUM!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4"/>
        <v/>
      </c>
      <c r="J220" s="98" t="e">
        <f t="shared" si="15"/>
        <v>#NUM!</v>
      </c>
      <c r="K220" s="98" t="e">
        <f t="shared" si="16"/>
        <v>#NUM!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4"/>
        <v/>
      </c>
      <c r="J221" s="98" t="e">
        <f t="shared" si="15"/>
        <v>#NUM!</v>
      </c>
      <c r="K221" s="98" t="e">
        <f t="shared" si="16"/>
        <v>#NUM!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4"/>
        <v/>
      </c>
      <c r="J222" s="98" t="e">
        <f t="shared" si="15"/>
        <v>#NUM!</v>
      </c>
      <c r="K222" s="98" t="e">
        <f t="shared" si="16"/>
        <v>#NUM!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4"/>
        <v/>
      </c>
      <c r="J223" s="98" t="e">
        <f t="shared" si="15"/>
        <v>#NUM!</v>
      </c>
      <c r="K223" s="98" t="e">
        <f t="shared" si="16"/>
        <v>#NUM!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4"/>
        <v/>
      </c>
      <c r="J224" s="98" t="e">
        <f t="shared" si="15"/>
        <v>#NUM!</v>
      </c>
      <c r="K224" s="98" t="e">
        <f t="shared" si="16"/>
        <v>#NUM!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4"/>
        <v/>
      </c>
      <c r="J225" s="98" t="e">
        <f t="shared" si="15"/>
        <v>#NUM!</v>
      </c>
      <c r="K225" s="98" t="e">
        <f t="shared" si="16"/>
        <v>#NUM!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4"/>
        <v/>
      </c>
      <c r="J226" s="98" t="e">
        <f t="shared" si="15"/>
        <v>#NUM!</v>
      </c>
      <c r="K226" s="98" t="e">
        <f t="shared" si="16"/>
        <v>#NUM!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4"/>
        <v/>
      </c>
      <c r="J227" s="98" t="e">
        <f t="shared" si="15"/>
        <v>#NUM!</v>
      </c>
      <c r="K227" s="98" t="e">
        <f t="shared" si="16"/>
        <v>#NUM!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4"/>
        <v/>
      </c>
      <c r="J228" s="98" t="e">
        <f t="shared" si="15"/>
        <v>#NUM!</v>
      </c>
      <c r="K228" s="98" t="e">
        <f t="shared" si="16"/>
        <v>#NUM!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4"/>
        <v/>
      </c>
      <c r="J229" s="98" t="e">
        <f t="shared" si="15"/>
        <v>#NUM!</v>
      </c>
      <c r="K229" s="98" t="e">
        <f t="shared" si="16"/>
        <v>#NUM!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4"/>
        <v/>
      </c>
      <c r="J230" s="98" t="e">
        <f t="shared" si="15"/>
        <v>#NUM!</v>
      </c>
      <c r="K230" s="98" t="e">
        <f t="shared" si="16"/>
        <v>#NUM!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4"/>
        <v/>
      </c>
      <c r="J231" s="98" t="e">
        <f t="shared" si="15"/>
        <v>#NUM!</v>
      </c>
      <c r="K231" s="98" t="e">
        <f t="shared" si="16"/>
        <v>#NUM!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4"/>
        <v/>
      </c>
      <c r="J232" s="98" t="e">
        <f t="shared" si="15"/>
        <v>#NUM!</v>
      </c>
      <c r="K232" s="98" t="e">
        <f t="shared" si="16"/>
        <v>#NUM!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4"/>
        <v/>
      </c>
      <c r="J233" s="98" t="e">
        <f t="shared" si="15"/>
        <v>#NUM!</v>
      </c>
      <c r="K233" s="98" t="e">
        <f t="shared" si="16"/>
        <v>#NUM!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4"/>
        <v/>
      </c>
      <c r="J234" s="98" t="e">
        <f t="shared" si="15"/>
        <v>#NUM!</v>
      </c>
      <c r="K234" s="98" t="e">
        <f t="shared" si="16"/>
        <v>#NUM!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4"/>
        <v/>
      </c>
      <c r="J235" s="98" t="e">
        <f t="shared" si="15"/>
        <v>#NUM!</v>
      </c>
      <c r="K235" s="98" t="e">
        <f t="shared" si="16"/>
        <v>#NUM!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4"/>
        <v/>
      </c>
      <c r="J236" s="98" t="e">
        <f t="shared" si="15"/>
        <v>#NUM!</v>
      </c>
      <c r="K236" s="98" t="e">
        <f t="shared" si="16"/>
        <v>#NUM!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4"/>
        <v/>
      </c>
      <c r="J237" s="98" t="e">
        <f t="shared" si="15"/>
        <v>#NUM!</v>
      </c>
      <c r="K237" s="98" t="e">
        <f t="shared" si="16"/>
        <v>#NUM!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4"/>
        <v/>
      </c>
      <c r="J238" s="98" t="e">
        <f t="shared" si="15"/>
        <v>#NUM!</v>
      </c>
      <c r="K238" s="98" t="e">
        <f t="shared" si="16"/>
        <v>#NUM!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4"/>
        <v/>
      </c>
      <c r="J239" s="98" t="e">
        <f t="shared" si="15"/>
        <v>#NUM!</v>
      </c>
      <c r="K239" s="98" t="e">
        <f t="shared" si="16"/>
        <v>#NUM!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4"/>
        <v/>
      </c>
      <c r="J240" s="98" t="e">
        <f t="shared" si="15"/>
        <v>#NUM!</v>
      </c>
      <c r="K240" s="98" t="e">
        <f t="shared" si="16"/>
        <v>#NUM!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4"/>
        <v/>
      </c>
      <c r="J241" s="98" t="e">
        <f t="shared" si="15"/>
        <v>#NUM!</v>
      </c>
      <c r="K241" s="98" t="e">
        <f t="shared" si="16"/>
        <v>#NUM!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4"/>
        <v/>
      </c>
      <c r="J242" s="98" t="e">
        <f t="shared" si="15"/>
        <v>#NUM!</v>
      </c>
      <c r="K242" s="98" t="e">
        <f t="shared" si="16"/>
        <v>#NUM!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4"/>
        <v/>
      </c>
      <c r="J243" s="98" t="e">
        <f t="shared" si="15"/>
        <v>#NUM!</v>
      </c>
      <c r="K243" s="98" t="e">
        <f t="shared" si="16"/>
        <v>#NUM!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4"/>
        <v/>
      </c>
      <c r="J244" s="98" t="e">
        <f t="shared" si="15"/>
        <v>#NUM!</v>
      </c>
      <c r="K244" s="98" t="e">
        <f t="shared" si="16"/>
        <v>#NUM!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4"/>
        <v/>
      </c>
      <c r="J245" s="98" t="e">
        <f t="shared" si="15"/>
        <v>#NUM!</v>
      </c>
      <c r="K245" s="98" t="e">
        <f t="shared" si="16"/>
        <v>#NUM!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4"/>
        <v/>
      </c>
      <c r="J246" s="98" t="e">
        <f t="shared" si="15"/>
        <v>#NUM!</v>
      </c>
      <c r="K246" s="98" t="e">
        <f t="shared" si="16"/>
        <v>#NUM!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4"/>
        <v/>
      </c>
      <c r="J247" s="98" t="e">
        <f t="shared" si="15"/>
        <v>#NUM!</v>
      </c>
      <c r="K247" s="98" t="e">
        <f t="shared" si="16"/>
        <v>#NUM!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4"/>
        <v/>
      </c>
      <c r="J248" s="98" t="e">
        <f t="shared" si="15"/>
        <v>#NUM!</v>
      </c>
      <c r="K248" s="98" t="e">
        <f t="shared" si="16"/>
        <v>#NUM!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4"/>
        <v/>
      </c>
      <c r="J249" s="98" t="e">
        <f t="shared" si="15"/>
        <v>#NUM!</v>
      </c>
      <c r="K249" s="98" t="e">
        <f t="shared" si="16"/>
        <v>#NUM!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4"/>
        <v/>
      </c>
      <c r="J250" s="98" t="e">
        <f t="shared" si="15"/>
        <v>#NUM!</v>
      </c>
      <c r="K250" s="98" t="e">
        <f t="shared" si="16"/>
        <v>#NUM!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4"/>
        <v/>
      </c>
      <c r="J251" s="98" t="e">
        <f t="shared" si="15"/>
        <v>#NUM!</v>
      </c>
      <c r="K251" s="98" t="e">
        <f t="shared" si="16"/>
        <v>#NUM!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4"/>
        <v/>
      </c>
      <c r="J252" s="98" t="e">
        <f t="shared" si="15"/>
        <v>#NUM!</v>
      </c>
      <c r="K252" s="98" t="e">
        <f t="shared" si="16"/>
        <v>#NUM!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4"/>
        <v/>
      </c>
      <c r="J253" s="98" t="e">
        <f t="shared" si="15"/>
        <v>#NUM!</v>
      </c>
      <c r="K253" s="98" t="e">
        <f t="shared" si="16"/>
        <v>#NUM!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4"/>
        <v/>
      </c>
      <c r="J254" s="98" t="e">
        <f t="shared" si="15"/>
        <v>#NUM!</v>
      </c>
      <c r="K254" s="98" t="e">
        <f t="shared" si="16"/>
        <v>#NUM!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4"/>
        <v/>
      </c>
      <c r="J255" s="98" t="e">
        <f t="shared" si="15"/>
        <v>#NUM!</v>
      </c>
      <c r="K255" s="98" t="e">
        <f t="shared" si="16"/>
        <v>#NUM!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4"/>
        <v/>
      </c>
      <c r="J256" s="98" t="e">
        <f t="shared" si="15"/>
        <v>#NUM!</v>
      </c>
      <c r="K256" s="98" t="e">
        <f t="shared" si="16"/>
        <v>#NUM!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4"/>
        <v/>
      </c>
      <c r="J257" s="98" t="e">
        <f t="shared" si="15"/>
        <v>#NUM!</v>
      </c>
      <c r="K257" s="98" t="e">
        <f t="shared" si="16"/>
        <v>#NUM!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4"/>
        <v/>
      </c>
      <c r="J258" s="98" t="e">
        <f t="shared" si="15"/>
        <v>#NUM!</v>
      </c>
      <c r="K258" s="98" t="e">
        <f t="shared" si="16"/>
        <v>#NUM!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4"/>
        <v/>
      </c>
      <c r="J259" s="98" t="e">
        <f t="shared" si="15"/>
        <v>#NUM!</v>
      </c>
      <c r="K259" s="98" t="e">
        <f t="shared" si="16"/>
        <v>#NUM!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4"/>
        <v/>
      </c>
      <c r="J260" s="98" t="e">
        <f t="shared" si="15"/>
        <v>#NUM!</v>
      </c>
      <c r="K260" s="98" t="e">
        <f t="shared" si="16"/>
        <v>#NUM!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4"/>
        <v/>
      </c>
      <c r="J261" s="98" t="e">
        <f t="shared" si="15"/>
        <v>#NUM!</v>
      </c>
      <c r="K261" s="98" t="e">
        <f t="shared" si="16"/>
        <v>#NUM!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ref="J262:J325" si="19">INT(LOG($H$2,2))-ROUNDUP(LOG(H262,2),0)+IF(OR($H$2=1,$H$2=2,$H$2=4,$H$2=8,$H$2=16,$H$2=32,$H$2=64,$H$2=128,$H$2=256),0,1)</f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8"/>
        <v/>
      </c>
      <c r="J263" s="98" t="e">
        <f t="shared" si="19"/>
        <v>#NUM!</v>
      </c>
      <c r="K263" s="98" t="e">
        <f t="shared" si="20"/>
        <v>#NUM!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8"/>
        <v/>
      </c>
      <c r="J264" s="98" t="e">
        <f t="shared" si="19"/>
        <v>#NUM!</v>
      </c>
      <c r="K264" s="98" t="e">
        <f t="shared" si="20"/>
        <v>#NUM!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8"/>
        <v/>
      </c>
      <c r="J265" s="98" t="e">
        <f t="shared" si="19"/>
        <v>#NUM!</v>
      </c>
      <c r="K265" s="98" t="e">
        <f t="shared" si="20"/>
        <v>#NUM!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8"/>
        <v/>
      </c>
      <c r="J266" s="98" t="e">
        <f t="shared" si="19"/>
        <v>#NUM!</v>
      </c>
      <c r="K266" s="98" t="e">
        <f t="shared" si="20"/>
        <v>#NUM!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8"/>
        <v/>
      </c>
      <c r="J267" s="98" t="e">
        <f t="shared" si="19"/>
        <v>#NUM!</v>
      </c>
      <c r="K267" s="98" t="e">
        <f t="shared" si="20"/>
        <v>#NUM!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8"/>
        <v/>
      </c>
      <c r="J268" s="98" t="e">
        <f t="shared" si="19"/>
        <v>#NUM!</v>
      </c>
      <c r="K268" s="98" t="e">
        <f t="shared" si="20"/>
        <v>#NUM!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8"/>
        <v/>
      </c>
      <c r="J269" s="98" t="e">
        <f t="shared" si="19"/>
        <v>#NUM!</v>
      </c>
      <c r="K269" s="98" t="e">
        <f t="shared" si="20"/>
        <v>#NUM!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8"/>
        <v/>
      </c>
      <c r="J270" s="98" t="e">
        <f t="shared" si="19"/>
        <v>#NUM!</v>
      </c>
      <c r="K270" s="98" t="e">
        <f t="shared" si="20"/>
        <v>#NUM!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8"/>
        <v/>
      </c>
      <c r="J271" s="98" t="e">
        <f t="shared" si="19"/>
        <v>#NUM!</v>
      </c>
      <c r="K271" s="98" t="e">
        <f t="shared" si="20"/>
        <v>#NUM!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8"/>
        <v/>
      </c>
      <c r="J272" s="98" t="e">
        <f t="shared" si="19"/>
        <v>#NUM!</v>
      </c>
      <c r="K272" s="98" t="e">
        <f t="shared" si="20"/>
        <v>#NUM!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8"/>
        <v/>
      </c>
      <c r="J273" s="98" t="e">
        <f t="shared" si="19"/>
        <v>#NUM!</v>
      </c>
      <c r="K273" s="98" t="e">
        <f t="shared" si="20"/>
        <v>#NUM!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8"/>
        <v/>
      </c>
      <c r="J274" s="98" t="e">
        <f t="shared" si="19"/>
        <v>#NUM!</v>
      </c>
      <c r="K274" s="98" t="e">
        <f t="shared" si="20"/>
        <v>#NUM!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8"/>
        <v/>
      </c>
      <c r="J275" s="98" t="e">
        <f t="shared" si="19"/>
        <v>#NUM!</v>
      </c>
      <c r="K275" s="98" t="e">
        <f t="shared" si="20"/>
        <v>#NUM!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8"/>
        <v/>
      </c>
      <c r="J276" s="98" t="e">
        <f t="shared" si="19"/>
        <v>#NUM!</v>
      </c>
      <c r="K276" s="98" t="e">
        <f t="shared" si="20"/>
        <v>#NUM!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8"/>
        <v/>
      </c>
      <c r="J277" s="98" t="e">
        <f t="shared" si="19"/>
        <v>#NUM!</v>
      </c>
      <c r="K277" s="98" t="e">
        <f t="shared" si="20"/>
        <v>#NUM!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8"/>
        <v/>
      </c>
      <c r="J278" s="98" t="e">
        <f t="shared" si="19"/>
        <v>#NUM!</v>
      </c>
      <c r="K278" s="98" t="e">
        <f t="shared" si="20"/>
        <v>#NUM!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8"/>
        <v/>
      </c>
      <c r="J279" s="98" t="e">
        <f t="shared" si="19"/>
        <v>#NUM!</v>
      </c>
      <c r="K279" s="98" t="e">
        <f t="shared" si="20"/>
        <v>#NUM!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8"/>
        <v/>
      </c>
      <c r="J280" s="98" t="e">
        <f t="shared" si="19"/>
        <v>#NUM!</v>
      </c>
      <c r="K280" s="98" t="e">
        <f t="shared" si="20"/>
        <v>#NUM!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8"/>
        <v/>
      </c>
      <c r="J281" s="98" t="e">
        <f t="shared" si="19"/>
        <v>#NUM!</v>
      </c>
      <c r="K281" s="98" t="e">
        <f t="shared" si="20"/>
        <v>#NUM!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8"/>
        <v/>
      </c>
      <c r="J282" s="98" t="e">
        <f t="shared" si="19"/>
        <v>#NUM!</v>
      </c>
      <c r="K282" s="98" t="e">
        <f t="shared" si="20"/>
        <v>#NUM!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8"/>
        <v/>
      </c>
      <c r="J283" s="98" t="e">
        <f t="shared" si="19"/>
        <v>#NUM!</v>
      </c>
      <c r="K283" s="98" t="e">
        <f t="shared" si="20"/>
        <v>#NUM!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8"/>
        <v/>
      </c>
      <c r="J284" s="98" t="e">
        <f t="shared" si="19"/>
        <v>#NUM!</v>
      </c>
      <c r="K284" s="98" t="e">
        <f t="shared" si="20"/>
        <v>#NUM!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8"/>
        <v/>
      </c>
      <c r="J285" s="98" t="e">
        <f t="shared" si="19"/>
        <v>#NUM!</v>
      </c>
      <c r="K285" s="98" t="e">
        <f t="shared" si="20"/>
        <v>#NUM!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8"/>
        <v/>
      </c>
      <c r="J286" s="98" t="e">
        <f t="shared" si="19"/>
        <v>#NUM!</v>
      </c>
      <c r="K286" s="98" t="e">
        <f t="shared" si="20"/>
        <v>#NUM!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8"/>
        <v/>
      </c>
      <c r="J287" s="98" t="e">
        <f t="shared" si="19"/>
        <v>#NUM!</v>
      </c>
      <c r="K287" s="98" t="e">
        <f t="shared" si="20"/>
        <v>#NUM!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8"/>
        <v/>
      </c>
      <c r="J288" s="98" t="e">
        <f t="shared" si="19"/>
        <v>#NUM!</v>
      </c>
      <c r="K288" s="98" t="e">
        <f t="shared" si="20"/>
        <v>#NUM!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8"/>
        <v/>
      </c>
      <c r="J289" s="98" t="e">
        <f t="shared" si="19"/>
        <v>#NUM!</v>
      </c>
      <c r="K289" s="98" t="e">
        <f t="shared" si="20"/>
        <v>#NUM!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8"/>
        <v/>
      </c>
      <c r="J290" s="98" t="e">
        <f t="shared" si="19"/>
        <v>#NUM!</v>
      </c>
      <c r="K290" s="98" t="e">
        <f t="shared" si="20"/>
        <v>#NUM!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8"/>
        <v/>
      </c>
      <c r="J291" s="98" t="e">
        <f t="shared" si="19"/>
        <v>#NUM!</v>
      </c>
      <c r="K291" s="98" t="e">
        <f t="shared" si="20"/>
        <v>#NUM!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8"/>
        <v/>
      </c>
      <c r="J292" s="98" t="e">
        <f t="shared" si="19"/>
        <v>#NUM!</v>
      </c>
      <c r="K292" s="98" t="e">
        <f t="shared" si="20"/>
        <v>#NUM!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8"/>
        <v/>
      </c>
      <c r="J293" s="98" t="e">
        <f t="shared" si="19"/>
        <v>#NUM!</v>
      </c>
      <c r="K293" s="98" t="e">
        <f t="shared" si="20"/>
        <v>#NUM!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8"/>
        <v/>
      </c>
      <c r="J294" s="98" t="e">
        <f t="shared" si="19"/>
        <v>#NUM!</v>
      </c>
      <c r="K294" s="98" t="e">
        <f t="shared" si="20"/>
        <v>#NUM!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8"/>
        <v/>
      </c>
      <c r="J295" s="98" t="e">
        <f t="shared" si="19"/>
        <v>#NUM!</v>
      </c>
      <c r="K295" s="98" t="e">
        <f t="shared" si="20"/>
        <v>#NUM!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8"/>
        <v/>
      </c>
      <c r="J296" s="98" t="e">
        <f t="shared" si="19"/>
        <v>#NUM!</v>
      </c>
      <c r="K296" s="98" t="e">
        <f t="shared" si="20"/>
        <v>#NUM!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8"/>
        <v/>
      </c>
      <c r="J297" s="98" t="e">
        <f t="shared" si="19"/>
        <v>#NUM!</v>
      </c>
      <c r="K297" s="98" t="e">
        <f t="shared" si="20"/>
        <v>#NUM!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8"/>
        <v/>
      </c>
      <c r="J298" s="98" t="e">
        <f t="shared" si="19"/>
        <v>#NUM!</v>
      </c>
      <c r="K298" s="98" t="e">
        <f t="shared" si="20"/>
        <v>#NUM!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8"/>
        <v/>
      </c>
      <c r="J299" s="98" t="e">
        <f t="shared" si="19"/>
        <v>#NUM!</v>
      </c>
      <c r="K299" s="98" t="e">
        <f t="shared" si="20"/>
        <v>#NUM!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8"/>
        <v/>
      </c>
      <c r="J300" s="98" t="e">
        <f t="shared" si="19"/>
        <v>#NUM!</v>
      </c>
      <c r="K300" s="98" t="e">
        <f t="shared" si="20"/>
        <v>#NUM!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8"/>
        <v/>
      </c>
      <c r="J301" s="98" t="e">
        <f t="shared" si="19"/>
        <v>#NUM!</v>
      </c>
      <c r="K301" s="98" t="e">
        <f t="shared" si="20"/>
        <v>#NUM!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8"/>
        <v/>
      </c>
      <c r="J302" s="98" t="e">
        <f t="shared" si="19"/>
        <v>#NUM!</v>
      </c>
      <c r="K302" s="98" t="e">
        <f t="shared" si="20"/>
        <v>#NUM!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8"/>
        <v/>
      </c>
      <c r="J303" s="98" t="e">
        <f t="shared" si="19"/>
        <v>#NUM!</v>
      </c>
      <c r="K303" s="98" t="e">
        <f t="shared" si="20"/>
        <v>#NUM!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8"/>
        <v/>
      </c>
      <c r="J304" s="98" t="e">
        <f t="shared" si="19"/>
        <v>#NUM!</v>
      </c>
      <c r="K304" s="98" t="e">
        <f t="shared" si="20"/>
        <v>#NUM!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8"/>
        <v/>
      </c>
      <c r="J305" s="98" t="e">
        <f t="shared" si="19"/>
        <v>#NUM!</v>
      </c>
      <c r="K305" s="98" t="e">
        <f t="shared" si="20"/>
        <v>#NUM!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19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19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19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19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19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19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19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19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19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19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19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19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19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19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19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19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19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19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19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19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2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2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2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2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2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2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2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2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2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2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2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2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2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2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2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2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2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2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2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2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2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2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2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2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2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2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2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2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2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2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2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2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2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2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2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2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2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2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2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2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2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2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2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2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2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2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2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2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2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9" priority="1" operator="lessThanOrEqual">
      <formula>0</formula>
    </cfRule>
  </conditionalFormatting>
  <hyperlinks>
    <hyperlink ref="C2" r:id="rId1" xr:uid="{D4282DB5-A26E-403E-8B19-B90FAE2E1494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257C-A6DC-44ED-9873-73CB70610D20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70" t="s">
        <v>119</v>
      </c>
      <c r="D2" s="69"/>
      <c r="E2" s="20"/>
      <c r="F2" s="20"/>
      <c r="G2" s="20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35</v>
      </c>
      <c r="C3" s="70" t="s">
        <v>120</v>
      </c>
      <c r="D3" s="70"/>
      <c r="E3" s="25"/>
      <c r="F3" s="25"/>
      <c r="G3" s="25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3" t="str">
        <f>IF(H6&gt;$H$2,"",(ROW()-5))</f>
        <v/>
      </c>
      <c r="C6" s="34" t="s">
        <v>54</v>
      </c>
      <c r="D6" s="34"/>
      <c r="E6" s="34"/>
      <c r="F6" s="34" t="s">
        <v>50</v>
      </c>
      <c r="G6" s="27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39" t="str">
        <f>IF(H7&gt;$H$2,"",(ROW()-5))</f>
        <v/>
      </c>
      <c r="C7" s="40" t="s">
        <v>54</v>
      </c>
      <c r="D7" s="40"/>
      <c r="E7" s="40"/>
      <c r="F7" s="40" t="s">
        <v>50</v>
      </c>
      <c r="G7" s="27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3" t="str">
        <f>IF(H8&gt;$H$2,"",(ROW()-5))</f>
        <v/>
      </c>
      <c r="C8" s="34" t="s">
        <v>54</v>
      </c>
      <c r="D8" s="34"/>
      <c r="E8" s="34"/>
      <c r="F8" s="34" t="s">
        <v>50</v>
      </c>
      <c r="G8" s="27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39" t="str">
        <f>IF(H9&gt;$H$2,"",3)</f>
        <v/>
      </c>
      <c r="C9" s="40" t="s">
        <v>54</v>
      </c>
      <c r="D9" s="40"/>
      <c r="E9" s="40"/>
      <c r="F9" s="40"/>
      <c r="G9" s="27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3" t="str">
        <f t="shared" ref="B10:B65" si="5">IF(H10&gt;$H$2,"",(ROW()-5))</f>
        <v/>
      </c>
      <c r="C10" s="34" t="s">
        <v>54</v>
      </c>
      <c r="D10" s="34"/>
      <c r="E10" s="34"/>
      <c r="F10" s="34"/>
      <c r="G10" s="27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39" t="str">
        <f t="shared" si="5"/>
        <v/>
      </c>
      <c r="C11" s="40" t="s">
        <v>54</v>
      </c>
      <c r="D11" s="40"/>
      <c r="E11" s="40"/>
      <c r="F11" s="40"/>
      <c r="G11" s="27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3" t="str">
        <f t="shared" si="5"/>
        <v/>
      </c>
      <c r="C12" s="34" t="s">
        <v>54</v>
      </c>
      <c r="D12" s="34"/>
      <c r="E12" s="34"/>
      <c r="F12" s="34"/>
      <c r="G12" s="27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39" t="str">
        <f t="shared" si="5"/>
        <v/>
      </c>
      <c r="C13" s="40" t="s">
        <v>54</v>
      </c>
      <c r="D13" s="40"/>
      <c r="E13" s="40"/>
      <c r="F13" s="40"/>
      <c r="G13" s="27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3" t="str">
        <f t="shared" si="5"/>
        <v/>
      </c>
      <c r="C14" s="34" t="s">
        <v>54</v>
      </c>
      <c r="D14" s="34"/>
      <c r="E14" s="34"/>
      <c r="F14" s="34"/>
      <c r="G14" s="27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39" t="str">
        <f t="shared" si="5"/>
        <v/>
      </c>
      <c r="C15" s="40" t="s">
        <v>54</v>
      </c>
      <c r="D15" s="40"/>
      <c r="E15" s="40"/>
      <c r="F15" s="40"/>
      <c r="G15" s="27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3" t="str">
        <f t="shared" si="5"/>
        <v/>
      </c>
      <c r="C16" s="34" t="s">
        <v>54</v>
      </c>
      <c r="D16" s="34"/>
      <c r="E16" s="34"/>
      <c r="F16" s="34"/>
      <c r="G16" s="27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39" t="str">
        <f t="shared" si="5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3" t="str">
        <f t="shared" si="5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39" t="str">
        <f t="shared" si="5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3" t="str">
        <f t="shared" si="5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39" t="str">
        <f t="shared" si="5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3" t="str">
        <f t="shared" si="5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39" t="str">
        <f t="shared" si="5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3" t="str">
        <f t="shared" si="5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6">IF(H70&lt;$H$2+1,($I$2-($I$2-1)*(LOG(H70)/LOG($H$2))),"")</f>
        <v/>
      </c>
      <c r="J70" s="98" t="e">
        <f t="shared" ref="J70:J133" si="7">INT(LOG($H$2,2))-ROUNDUP(LOG(H70,2),0)+IF(OR($H$2=1,$H$2=2,$H$2=4,$H$2=8,$H$2=16,$H$2=32,$H$2=64,$H$2=128,$H$2=256),0,1)</f>
        <v>#NUM!</v>
      </c>
      <c r="K70" s="98" t="e">
        <f t="shared" ref="K70:K133" si="8">J70*$J$2</f>
        <v>#NUM!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6"/>
        <v/>
      </c>
      <c r="J71" s="98" t="e">
        <f t="shared" si="7"/>
        <v>#NUM!</v>
      </c>
      <c r="K71" s="98" t="e">
        <f t="shared" si="8"/>
        <v>#NUM!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6"/>
        <v/>
      </c>
      <c r="J72" s="98" t="e">
        <f t="shared" si="7"/>
        <v>#NUM!</v>
      </c>
      <c r="K72" s="98" t="e">
        <f t="shared" si="8"/>
        <v>#NUM!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6"/>
        <v/>
      </c>
      <c r="J73" s="98" t="e">
        <f t="shared" si="7"/>
        <v>#NUM!</v>
      </c>
      <c r="K73" s="98" t="e">
        <f t="shared" si="8"/>
        <v>#NUM!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6"/>
        <v/>
      </c>
      <c r="J74" s="98" t="e">
        <f t="shared" si="7"/>
        <v>#NUM!</v>
      </c>
      <c r="K74" s="98" t="e">
        <f t="shared" si="8"/>
        <v>#NUM!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6"/>
        <v/>
      </c>
      <c r="J75" s="98" t="e">
        <f t="shared" si="7"/>
        <v>#NUM!</v>
      </c>
      <c r="K75" s="98" t="e">
        <f t="shared" si="8"/>
        <v>#NUM!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6"/>
        <v/>
      </c>
      <c r="J76" s="98" t="e">
        <f t="shared" si="7"/>
        <v>#NUM!</v>
      </c>
      <c r="K76" s="98" t="e">
        <f t="shared" si="8"/>
        <v>#NUM!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6"/>
        <v/>
      </c>
      <c r="J77" s="98" t="e">
        <f t="shared" si="7"/>
        <v>#NUM!</v>
      </c>
      <c r="K77" s="98" t="e">
        <f t="shared" si="8"/>
        <v>#NUM!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6"/>
        <v/>
      </c>
      <c r="J78" s="98" t="e">
        <f t="shared" si="7"/>
        <v>#NUM!</v>
      </c>
      <c r="K78" s="98" t="e">
        <f t="shared" si="8"/>
        <v>#NUM!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6"/>
        <v/>
      </c>
      <c r="J79" s="98" t="e">
        <f t="shared" si="7"/>
        <v>#NUM!</v>
      </c>
      <c r="K79" s="98" t="e">
        <f t="shared" si="8"/>
        <v>#NUM!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6"/>
        <v/>
      </c>
      <c r="J80" s="98" t="e">
        <f t="shared" si="7"/>
        <v>#NUM!</v>
      </c>
      <c r="K80" s="98" t="e">
        <f t="shared" si="8"/>
        <v>#NUM!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6"/>
        <v/>
      </c>
      <c r="J81" s="98" t="e">
        <f t="shared" si="7"/>
        <v>#NUM!</v>
      </c>
      <c r="K81" s="98" t="e">
        <f t="shared" si="8"/>
        <v>#NUM!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6"/>
        <v/>
      </c>
      <c r="J82" s="98" t="e">
        <f t="shared" si="7"/>
        <v>#NUM!</v>
      </c>
      <c r="K82" s="98" t="e">
        <f t="shared" si="8"/>
        <v>#NUM!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6"/>
        <v/>
      </c>
      <c r="J83" s="98" t="e">
        <f t="shared" si="7"/>
        <v>#NUM!</v>
      </c>
      <c r="K83" s="98" t="e">
        <f t="shared" si="8"/>
        <v>#NUM!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6"/>
        <v/>
      </c>
      <c r="J84" s="98" t="e">
        <f t="shared" si="7"/>
        <v>#NUM!</v>
      </c>
      <c r="K84" s="98" t="e">
        <f t="shared" si="8"/>
        <v>#NUM!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6"/>
        <v/>
      </c>
      <c r="J85" s="98" t="e">
        <f t="shared" si="7"/>
        <v>#NUM!</v>
      </c>
      <c r="K85" s="98" t="e">
        <f t="shared" si="8"/>
        <v>#NUM!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6"/>
        <v/>
      </c>
      <c r="J86" s="98" t="e">
        <f t="shared" si="7"/>
        <v>#NUM!</v>
      </c>
      <c r="K86" s="98" t="e">
        <f t="shared" si="8"/>
        <v>#NUM!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6"/>
        <v/>
      </c>
      <c r="J87" s="98" t="e">
        <f t="shared" si="7"/>
        <v>#NUM!</v>
      </c>
      <c r="K87" s="98" t="e">
        <f t="shared" si="8"/>
        <v>#NUM!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6"/>
        <v/>
      </c>
      <c r="J88" s="98" t="e">
        <f t="shared" si="7"/>
        <v>#NUM!</v>
      </c>
      <c r="K88" s="98" t="e">
        <f t="shared" si="8"/>
        <v>#NUM!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6"/>
        <v/>
      </c>
      <c r="J89" s="98" t="e">
        <f t="shared" si="7"/>
        <v>#NUM!</v>
      </c>
      <c r="K89" s="98" t="e">
        <f t="shared" si="8"/>
        <v>#NUM!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6"/>
        <v/>
      </c>
      <c r="J90" s="98" t="e">
        <f t="shared" si="7"/>
        <v>#NUM!</v>
      </c>
      <c r="K90" s="98" t="e">
        <f t="shared" si="8"/>
        <v>#NUM!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6"/>
        <v/>
      </c>
      <c r="J91" s="98" t="e">
        <f t="shared" si="7"/>
        <v>#NUM!</v>
      </c>
      <c r="K91" s="98" t="e">
        <f t="shared" si="8"/>
        <v>#NUM!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6"/>
        <v/>
      </c>
      <c r="J92" s="98" t="e">
        <f t="shared" si="7"/>
        <v>#NUM!</v>
      </c>
      <c r="K92" s="98" t="e">
        <f t="shared" si="8"/>
        <v>#NUM!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6"/>
        <v/>
      </c>
      <c r="J93" s="98" t="e">
        <f t="shared" si="7"/>
        <v>#NUM!</v>
      </c>
      <c r="K93" s="98" t="e">
        <f t="shared" si="8"/>
        <v>#NUM!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6"/>
        <v/>
      </c>
      <c r="J94" s="98" t="e">
        <f t="shared" si="7"/>
        <v>#NUM!</v>
      </c>
      <c r="K94" s="98" t="e">
        <f t="shared" si="8"/>
        <v>#NUM!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6"/>
        <v/>
      </c>
      <c r="J95" s="98" t="e">
        <f t="shared" si="7"/>
        <v>#NUM!</v>
      </c>
      <c r="K95" s="98" t="e">
        <f t="shared" si="8"/>
        <v>#NUM!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6"/>
        <v/>
      </c>
      <c r="J96" s="98" t="e">
        <f t="shared" si="7"/>
        <v>#NUM!</v>
      </c>
      <c r="K96" s="98" t="e">
        <f t="shared" si="8"/>
        <v>#NUM!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6"/>
        <v/>
      </c>
      <c r="J97" s="98" t="e">
        <f t="shared" si="7"/>
        <v>#NUM!</v>
      </c>
      <c r="K97" s="98" t="e">
        <f t="shared" si="8"/>
        <v>#NUM!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6"/>
        <v/>
      </c>
      <c r="J98" s="98" t="e">
        <f t="shared" si="7"/>
        <v>#NUM!</v>
      </c>
      <c r="K98" s="98" t="e">
        <f t="shared" si="8"/>
        <v>#NUM!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6"/>
        <v/>
      </c>
      <c r="J99" s="98" t="e">
        <f t="shared" si="7"/>
        <v>#NUM!</v>
      </c>
      <c r="K99" s="98" t="e">
        <f t="shared" si="8"/>
        <v>#NUM!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6"/>
        <v/>
      </c>
      <c r="J100" s="98" t="e">
        <f t="shared" si="7"/>
        <v>#NUM!</v>
      </c>
      <c r="K100" s="98" t="e">
        <f t="shared" si="8"/>
        <v>#NUM!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6"/>
        <v/>
      </c>
      <c r="J101" s="98" t="e">
        <f t="shared" si="7"/>
        <v>#NUM!</v>
      </c>
      <c r="K101" s="98" t="e">
        <f t="shared" si="8"/>
        <v>#NUM!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6"/>
        <v/>
      </c>
      <c r="J102" s="98" t="e">
        <f t="shared" si="7"/>
        <v>#NUM!</v>
      </c>
      <c r="K102" s="98" t="e">
        <f t="shared" si="8"/>
        <v>#NUM!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6"/>
        <v/>
      </c>
      <c r="J103" s="98" t="e">
        <f t="shared" si="7"/>
        <v>#NUM!</v>
      </c>
      <c r="K103" s="98" t="e">
        <f t="shared" si="8"/>
        <v>#NUM!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6"/>
        <v/>
      </c>
      <c r="J104" s="98" t="e">
        <f t="shared" si="7"/>
        <v>#NUM!</v>
      </c>
      <c r="K104" s="98" t="e">
        <f t="shared" si="8"/>
        <v>#NUM!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6"/>
        <v/>
      </c>
      <c r="J105" s="98" t="e">
        <f t="shared" si="7"/>
        <v>#NUM!</v>
      </c>
      <c r="K105" s="98" t="e">
        <f t="shared" si="8"/>
        <v>#NUM!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6"/>
        <v/>
      </c>
      <c r="J106" s="98" t="e">
        <f t="shared" si="7"/>
        <v>#NUM!</v>
      </c>
      <c r="K106" s="98" t="e">
        <f t="shared" si="8"/>
        <v>#NUM!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6"/>
        <v/>
      </c>
      <c r="J107" s="98" t="e">
        <f t="shared" si="7"/>
        <v>#NUM!</v>
      </c>
      <c r="K107" s="98" t="e">
        <f t="shared" si="8"/>
        <v>#NUM!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6"/>
        <v/>
      </c>
      <c r="J108" s="98" t="e">
        <f t="shared" si="7"/>
        <v>#NUM!</v>
      </c>
      <c r="K108" s="98" t="e">
        <f t="shared" si="8"/>
        <v>#NUM!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6"/>
        <v/>
      </c>
      <c r="J109" s="98" t="e">
        <f t="shared" si="7"/>
        <v>#NUM!</v>
      </c>
      <c r="K109" s="98" t="e">
        <f t="shared" si="8"/>
        <v>#NUM!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6"/>
        <v/>
      </c>
      <c r="J110" s="98" t="e">
        <f t="shared" si="7"/>
        <v>#NUM!</v>
      </c>
      <c r="K110" s="98" t="e">
        <f t="shared" si="8"/>
        <v>#NUM!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6"/>
        <v/>
      </c>
      <c r="J111" s="98" t="e">
        <f t="shared" si="7"/>
        <v>#NUM!</v>
      </c>
      <c r="K111" s="98" t="e">
        <f t="shared" si="8"/>
        <v>#NUM!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6"/>
        <v/>
      </c>
      <c r="J112" s="98" t="e">
        <f t="shared" si="7"/>
        <v>#NUM!</v>
      </c>
      <c r="K112" s="98" t="e">
        <f t="shared" si="8"/>
        <v>#NUM!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6"/>
        <v/>
      </c>
      <c r="J113" s="98" t="e">
        <f t="shared" si="7"/>
        <v>#NUM!</v>
      </c>
      <c r="K113" s="98" t="e">
        <f t="shared" si="8"/>
        <v>#NUM!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6"/>
        <v/>
      </c>
      <c r="J114" s="98" t="e">
        <f t="shared" si="7"/>
        <v>#NUM!</v>
      </c>
      <c r="K114" s="98" t="e">
        <f t="shared" si="8"/>
        <v>#NUM!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6"/>
        <v/>
      </c>
      <c r="J115" s="98" t="e">
        <f t="shared" si="7"/>
        <v>#NUM!</v>
      </c>
      <c r="K115" s="98" t="e">
        <f t="shared" si="8"/>
        <v>#NUM!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6"/>
        <v/>
      </c>
      <c r="J116" s="98" t="e">
        <f t="shared" si="7"/>
        <v>#NUM!</v>
      </c>
      <c r="K116" s="98" t="e">
        <f t="shared" si="8"/>
        <v>#NUM!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6"/>
        <v/>
      </c>
      <c r="J117" s="98" t="e">
        <f t="shared" si="7"/>
        <v>#NUM!</v>
      </c>
      <c r="K117" s="98" t="e">
        <f t="shared" si="8"/>
        <v>#NUM!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6"/>
        <v/>
      </c>
      <c r="J118" s="98" t="e">
        <f t="shared" si="7"/>
        <v>#NUM!</v>
      </c>
      <c r="K118" s="98" t="e">
        <f t="shared" si="8"/>
        <v>#NUM!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6"/>
        <v/>
      </c>
      <c r="J119" s="98" t="e">
        <f t="shared" si="7"/>
        <v>#NUM!</v>
      </c>
      <c r="K119" s="98" t="e">
        <f t="shared" si="8"/>
        <v>#NUM!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6"/>
        <v/>
      </c>
      <c r="J120" s="98" t="e">
        <f t="shared" si="7"/>
        <v>#NUM!</v>
      </c>
      <c r="K120" s="98" t="e">
        <f t="shared" si="8"/>
        <v>#NUM!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6"/>
        <v/>
      </c>
      <c r="J121" s="98" t="e">
        <f t="shared" si="7"/>
        <v>#NUM!</v>
      </c>
      <c r="K121" s="98" t="e">
        <f t="shared" si="8"/>
        <v>#NUM!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6"/>
        <v/>
      </c>
      <c r="J122" s="98" t="e">
        <f t="shared" si="7"/>
        <v>#NUM!</v>
      </c>
      <c r="K122" s="98" t="e">
        <f t="shared" si="8"/>
        <v>#NUM!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6"/>
        <v/>
      </c>
      <c r="J123" s="98" t="e">
        <f t="shared" si="7"/>
        <v>#NUM!</v>
      </c>
      <c r="K123" s="98" t="e">
        <f t="shared" si="8"/>
        <v>#NUM!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6"/>
        <v/>
      </c>
      <c r="J124" s="98" t="e">
        <f t="shared" si="7"/>
        <v>#NUM!</v>
      </c>
      <c r="K124" s="98" t="e">
        <f t="shared" si="8"/>
        <v>#NUM!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6"/>
        <v/>
      </c>
      <c r="J125" s="98" t="e">
        <f t="shared" si="7"/>
        <v>#NUM!</v>
      </c>
      <c r="K125" s="98" t="e">
        <f t="shared" si="8"/>
        <v>#NUM!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6"/>
        <v/>
      </c>
      <c r="J126" s="98" t="e">
        <f t="shared" si="7"/>
        <v>#NUM!</v>
      </c>
      <c r="K126" s="98" t="e">
        <f t="shared" si="8"/>
        <v>#NUM!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6"/>
        <v/>
      </c>
      <c r="J127" s="98" t="e">
        <f t="shared" si="7"/>
        <v>#NUM!</v>
      </c>
      <c r="K127" s="98" t="e">
        <f t="shared" si="8"/>
        <v>#NUM!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6"/>
        <v/>
      </c>
      <c r="J128" s="98" t="e">
        <f t="shared" si="7"/>
        <v>#NUM!</v>
      </c>
      <c r="K128" s="98" t="e">
        <f t="shared" si="8"/>
        <v>#NUM!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6"/>
        <v/>
      </c>
      <c r="J129" s="98" t="e">
        <f t="shared" si="7"/>
        <v>#NUM!</v>
      </c>
      <c r="K129" s="98" t="e">
        <f t="shared" si="8"/>
        <v>#NUM!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6"/>
        <v/>
      </c>
      <c r="J130" s="98" t="e">
        <f t="shared" si="7"/>
        <v>#NUM!</v>
      </c>
      <c r="K130" s="98" t="e">
        <f t="shared" si="8"/>
        <v>#NUM!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6"/>
        <v/>
      </c>
      <c r="J131" s="98" t="e">
        <f t="shared" si="7"/>
        <v>#NUM!</v>
      </c>
      <c r="K131" s="98" t="e">
        <f t="shared" si="8"/>
        <v>#NUM!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6"/>
        <v/>
      </c>
      <c r="J132" s="98" t="e">
        <f t="shared" si="7"/>
        <v>#NUM!</v>
      </c>
      <c r="K132" s="98" t="e">
        <f t="shared" si="8"/>
        <v>#NUM!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6"/>
        <v/>
      </c>
      <c r="J133" s="98" t="e">
        <f t="shared" si="7"/>
        <v>#NUM!</v>
      </c>
      <c r="K133" s="98" t="e">
        <f t="shared" si="8"/>
        <v>#NUM!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ref="J134:J197" si="11">INT(LOG($H$2,2))-ROUNDUP(LOG(H134,2),0)+IF(OR($H$2=1,$H$2=2,$H$2=4,$H$2=8,$H$2=16,$H$2=32,$H$2=64,$H$2=128,$H$2=256),0,1)</f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0"/>
        <v/>
      </c>
      <c r="J135" s="98" t="e">
        <f t="shared" si="11"/>
        <v>#NUM!</v>
      </c>
      <c r="K135" s="98" t="e">
        <f t="shared" si="12"/>
        <v>#NUM!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0"/>
        <v/>
      </c>
      <c r="J136" s="98" t="e">
        <f t="shared" si="11"/>
        <v>#NUM!</v>
      </c>
      <c r="K136" s="98" t="e">
        <f t="shared" si="12"/>
        <v>#NUM!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0"/>
        <v/>
      </c>
      <c r="J137" s="98" t="e">
        <f t="shared" si="11"/>
        <v>#NUM!</v>
      </c>
      <c r="K137" s="98" t="e">
        <f t="shared" si="12"/>
        <v>#NUM!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0"/>
        <v/>
      </c>
      <c r="J138" s="98" t="e">
        <f t="shared" si="11"/>
        <v>#NUM!</v>
      </c>
      <c r="K138" s="98" t="e">
        <f t="shared" si="12"/>
        <v>#NUM!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0"/>
        <v/>
      </c>
      <c r="J139" s="98" t="e">
        <f t="shared" si="11"/>
        <v>#NUM!</v>
      </c>
      <c r="K139" s="98" t="e">
        <f t="shared" si="12"/>
        <v>#NUM!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0"/>
        <v/>
      </c>
      <c r="J140" s="98" t="e">
        <f t="shared" si="11"/>
        <v>#NUM!</v>
      </c>
      <c r="K140" s="98" t="e">
        <f t="shared" si="12"/>
        <v>#NUM!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0"/>
        <v/>
      </c>
      <c r="J141" s="98" t="e">
        <f t="shared" si="11"/>
        <v>#NUM!</v>
      </c>
      <c r="K141" s="98" t="e">
        <f t="shared" si="12"/>
        <v>#NUM!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0"/>
        <v/>
      </c>
      <c r="J142" s="98" t="e">
        <f t="shared" si="11"/>
        <v>#NUM!</v>
      </c>
      <c r="K142" s="98" t="e">
        <f t="shared" si="12"/>
        <v>#NUM!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0"/>
        <v/>
      </c>
      <c r="J143" s="98" t="e">
        <f t="shared" si="11"/>
        <v>#NUM!</v>
      </c>
      <c r="K143" s="98" t="e">
        <f t="shared" si="12"/>
        <v>#NUM!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0"/>
        <v/>
      </c>
      <c r="J144" s="98" t="e">
        <f t="shared" si="11"/>
        <v>#NUM!</v>
      </c>
      <c r="K144" s="98" t="e">
        <f t="shared" si="12"/>
        <v>#NUM!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0"/>
        <v/>
      </c>
      <c r="J145" s="98" t="e">
        <f t="shared" si="11"/>
        <v>#NUM!</v>
      </c>
      <c r="K145" s="98" t="e">
        <f t="shared" si="12"/>
        <v>#NUM!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0"/>
        <v/>
      </c>
      <c r="J146" s="98" t="e">
        <f t="shared" si="11"/>
        <v>#NUM!</v>
      </c>
      <c r="K146" s="98" t="e">
        <f t="shared" si="12"/>
        <v>#NUM!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0"/>
        <v/>
      </c>
      <c r="J147" s="98" t="e">
        <f t="shared" si="11"/>
        <v>#NUM!</v>
      </c>
      <c r="K147" s="98" t="e">
        <f t="shared" si="12"/>
        <v>#NUM!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0"/>
        <v/>
      </c>
      <c r="J148" s="98" t="e">
        <f t="shared" si="11"/>
        <v>#NUM!</v>
      </c>
      <c r="K148" s="98" t="e">
        <f t="shared" si="12"/>
        <v>#NUM!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0"/>
        <v/>
      </c>
      <c r="J149" s="98" t="e">
        <f t="shared" si="11"/>
        <v>#NUM!</v>
      </c>
      <c r="K149" s="98" t="e">
        <f t="shared" si="12"/>
        <v>#NUM!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0"/>
        <v/>
      </c>
      <c r="J150" s="98" t="e">
        <f t="shared" si="11"/>
        <v>#NUM!</v>
      </c>
      <c r="K150" s="98" t="e">
        <f t="shared" si="12"/>
        <v>#NUM!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0"/>
        <v/>
      </c>
      <c r="J151" s="98" t="e">
        <f t="shared" si="11"/>
        <v>#NUM!</v>
      </c>
      <c r="K151" s="98" t="e">
        <f t="shared" si="12"/>
        <v>#NUM!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0"/>
        <v/>
      </c>
      <c r="J152" s="98" t="e">
        <f t="shared" si="11"/>
        <v>#NUM!</v>
      </c>
      <c r="K152" s="98" t="e">
        <f t="shared" si="12"/>
        <v>#NUM!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0"/>
        <v/>
      </c>
      <c r="J153" s="98" t="e">
        <f t="shared" si="11"/>
        <v>#NUM!</v>
      </c>
      <c r="K153" s="98" t="e">
        <f t="shared" si="12"/>
        <v>#NUM!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0"/>
        <v/>
      </c>
      <c r="J154" s="98" t="e">
        <f t="shared" si="11"/>
        <v>#NUM!</v>
      </c>
      <c r="K154" s="98" t="e">
        <f t="shared" si="12"/>
        <v>#NUM!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0"/>
        <v/>
      </c>
      <c r="J155" s="98" t="e">
        <f t="shared" si="11"/>
        <v>#NUM!</v>
      </c>
      <c r="K155" s="98" t="e">
        <f t="shared" si="12"/>
        <v>#NUM!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0"/>
        <v/>
      </c>
      <c r="J156" s="98" t="e">
        <f t="shared" si="11"/>
        <v>#NUM!</v>
      </c>
      <c r="K156" s="98" t="e">
        <f t="shared" si="12"/>
        <v>#NUM!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0"/>
        <v/>
      </c>
      <c r="J157" s="98" t="e">
        <f t="shared" si="11"/>
        <v>#NUM!</v>
      </c>
      <c r="K157" s="98" t="e">
        <f t="shared" si="12"/>
        <v>#NUM!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0"/>
        <v/>
      </c>
      <c r="J158" s="98" t="e">
        <f t="shared" si="11"/>
        <v>#NUM!</v>
      </c>
      <c r="K158" s="98" t="e">
        <f t="shared" si="12"/>
        <v>#NUM!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0"/>
        <v/>
      </c>
      <c r="J159" s="98" t="e">
        <f t="shared" si="11"/>
        <v>#NUM!</v>
      </c>
      <c r="K159" s="98" t="e">
        <f t="shared" si="12"/>
        <v>#NUM!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0"/>
        <v/>
      </c>
      <c r="J160" s="98" t="e">
        <f t="shared" si="11"/>
        <v>#NUM!</v>
      </c>
      <c r="K160" s="98" t="e">
        <f t="shared" si="12"/>
        <v>#NUM!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0"/>
        <v/>
      </c>
      <c r="J161" s="98" t="e">
        <f t="shared" si="11"/>
        <v>#NUM!</v>
      </c>
      <c r="K161" s="98" t="e">
        <f t="shared" si="12"/>
        <v>#NUM!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0"/>
        <v/>
      </c>
      <c r="J162" s="98" t="e">
        <f t="shared" si="11"/>
        <v>#NUM!</v>
      </c>
      <c r="K162" s="98" t="e">
        <f t="shared" si="12"/>
        <v>#NUM!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0"/>
        <v/>
      </c>
      <c r="J163" s="98" t="e">
        <f t="shared" si="11"/>
        <v>#NUM!</v>
      </c>
      <c r="K163" s="98" t="e">
        <f t="shared" si="12"/>
        <v>#NUM!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0"/>
        <v/>
      </c>
      <c r="J164" s="98" t="e">
        <f t="shared" si="11"/>
        <v>#NUM!</v>
      </c>
      <c r="K164" s="98" t="e">
        <f t="shared" si="12"/>
        <v>#NUM!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0"/>
        <v/>
      </c>
      <c r="J165" s="98" t="e">
        <f t="shared" si="11"/>
        <v>#NUM!</v>
      </c>
      <c r="K165" s="98" t="e">
        <f t="shared" si="12"/>
        <v>#NUM!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0"/>
        <v/>
      </c>
      <c r="J166" s="98" t="e">
        <f t="shared" si="11"/>
        <v>#NUM!</v>
      </c>
      <c r="K166" s="98" t="e">
        <f t="shared" si="12"/>
        <v>#NUM!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0"/>
        <v/>
      </c>
      <c r="J167" s="98" t="e">
        <f t="shared" si="11"/>
        <v>#NUM!</v>
      </c>
      <c r="K167" s="98" t="e">
        <f t="shared" si="12"/>
        <v>#NUM!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0"/>
        <v/>
      </c>
      <c r="J168" s="98" t="e">
        <f t="shared" si="11"/>
        <v>#NUM!</v>
      </c>
      <c r="K168" s="98" t="e">
        <f t="shared" si="12"/>
        <v>#NUM!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0"/>
        <v/>
      </c>
      <c r="J169" s="98" t="e">
        <f t="shared" si="11"/>
        <v>#NUM!</v>
      </c>
      <c r="K169" s="98" t="e">
        <f t="shared" si="12"/>
        <v>#NUM!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0"/>
        <v/>
      </c>
      <c r="J170" s="98" t="e">
        <f t="shared" si="11"/>
        <v>#NUM!</v>
      </c>
      <c r="K170" s="98" t="e">
        <f t="shared" si="12"/>
        <v>#NUM!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0"/>
        <v/>
      </c>
      <c r="J171" s="98" t="e">
        <f t="shared" si="11"/>
        <v>#NUM!</v>
      </c>
      <c r="K171" s="98" t="e">
        <f t="shared" si="12"/>
        <v>#NUM!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0"/>
        <v/>
      </c>
      <c r="J172" s="98" t="e">
        <f t="shared" si="11"/>
        <v>#NUM!</v>
      </c>
      <c r="K172" s="98" t="e">
        <f t="shared" si="12"/>
        <v>#NUM!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0"/>
        <v/>
      </c>
      <c r="J173" s="98" t="e">
        <f t="shared" si="11"/>
        <v>#NUM!</v>
      </c>
      <c r="K173" s="98" t="e">
        <f t="shared" si="12"/>
        <v>#NUM!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0"/>
        <v/>
      </c>
      <c r="J174" s="98" t="e">
        <f t="shared" si="11"/>
        <v>#NUM!</v>
      </c>
      <c r="K174" s="98" t="e">
        <f t="shared" si="12"/>
        <v>#NUM!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0"/>
        <v/>
      </c>
      <c r="J175" s="98" t="e">
        <f t="shared" si="11"/>
        <v>#NUM!</v>
      </c>
      <c r="K175" s="98" t="e">
        <f t="shared" si="12"/>
        <v>#NUM!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0"/>
        <v/>
      </c>
      <c r="J176" s="98" t="e">
        <f t="shared" si="11"/>
        <v>#NUM!</v>
      </c>
      <c r="K176" s="98" t="e">
        <f t="shared" si="12"/>
        <v>#NUM!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0"/>
        <v/>
      </c>
      <c r="J177" s="98" t="e">
        <f t="shared" si="11"/>
        <v>#NUM!</v>
      </c>
      <c r="K177" s="98" t="e">
        <f t="shared" si="12"/>
        <v>#NUM!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0"/>
        <v/>
      </c>
      <c r="J178" s="98" t="e">
        <f t="shared" si="11"/>
        <v>#NUM!</v>
      </c>
      <c r="K178" s="98" t="e">
        <f t="shared" si="12"/>
        <v>#NUM!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0"/>
        <v/>
      </c>
      <c r="J179" s="98" t="e">
        <f t="shared" si="11"/>
        <v>#NUM!</v>
      </c>
      <c r="K179" s="98" t="e">
        <f t="shared" si="12"/>
        <v>#NUM!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0"/>
        <v/>
      </c>
      <c r="J180" s="98" t="e">
        <f t="shared" si="11"/>
        <v>#NUM!</v>
      </c>
      <c r="K180" s="98" t="e">
        <f t="shared" si="12"/>
        <v>#NUM!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0"/>
        <v/>
      </c>
      <c r="J181" s="98" t="e">
        <f t="shared" si="11"/>
        <v>#NUM!</v>
      </c>
      <c r="K181" s="98" t="e">
        <f t="shared" si="12"/>
        <v>#NUM!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0"/>
        <v/>
      </c>
      <c r="J182" s="98" t="e">
        <f t="shared" si="11"/>
        <v>#NUM!</v>
      </c>
      <c r="K182" s="98" t="e">
        <f t="shared" si="12"/>
        <v>#NUM!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0"/>
        <v/>
      </c>
      <c r="J183" s="98" t="e">
        <f t="shared" si="11"/>
        <v>#NUM!</v>
      </c>
      <c r="K183" s="98" t="e">
        <f t="shared" si="12"/>
        <v>#NUM!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0"/>
        <v/>
      </c>
      <c r="J184" s="98" t="e">
        <f t="shared" si="11"/>
        <v>#NUM!</v>
      </c>
      <c r="K184" s="98" t="e">
        <f t="shared" si="12"/>
        <v>#NUM!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0"/>
        <v/>
      </c>
      <c r="J185" s="98" t="e">
        <f t="shared" si="11"/>
        <v>#NUM!</v>
      </c>
      <c r="K185" s="98" t="e">
        <f t="shared" si="12"/>
        <v>#NUM!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0"/>
        <v/>
      </c>
      <c r="J186" s="98" t="e">
        <f t="shared" si="11"/>
        <v>#NUM!</v>
      </c>
      <c r="K186" s="98" t="e">
        <f t="shared" si="12"/>
        <v>#NUM!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0"/>
        <v/>
      </c>
      <c r="J187" s="98" t="e">
        <f t="shared" si="11"/>
        <v>#NUM!</v>
      </c>
      <c r="K187" s="98" t="e">
        <f t="shared" si="12"/>
        <v>#NUM!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0"/>
        <v/>
      </c>
      <c r="J188" s="98" t="e">
        <f t="shared" si="11"/>
        <v>#NUM!</v>
      </c>
      <c r="K188" s="98" t="e">
        <f t="shared" si="12"/>
        <v>#NUM!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0"/>
        <v/>
      </c>
      <c r="J189" s="98" t="e">
        <f t="shared" si="11"/>
        <v>#NUM!</v>
      </c>
      <c r="K189" s="98" t="e">
        <f t="shared" si="12"/>
        <v>#NUM!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0"/>
        <v/>
      </c>
      <c r="J190" s="98" t="e">
        <f t="shared" si="11"/>
        <v>#NUM!</v>
      </c>
      <c r="K190" s="98" t="e">
        <f t="shared" si="12"/>
        <v>#NUM!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0"/>
        <v/>
      </c>
      <c r="J191" s="98" t="e">
        <f t="shared" si="11"/>
        <v>#NUM!</v>
      </c>
      <c r="K191" s="98" t="e">
        <f t="shared" si="12"/>
        <v>#NUM!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0"/>
        <v/>
      </c>
      <c r="J192" s="98" t="e">
        <f t="shared" si="11"/>
        <v>#NUM!</v>
      </c>
      <c r="K192" s="98" t="e">
        <f t="shared" si="12"/>
        <v>#NUM!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0"/>
        <v/>
      </c>
      <c r="J193" s="98" t="e">
        <f t="shared" si="11"/>
        <v>#NUM!</v>
      </c>
      <c r="K193" s="98" t="e">
        <f t="shared" si="12"/>
        <v>#NUM!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0"/>
        <v/>
      </c>
      <c r="J194" s="98" t="e">
        <f t="shared" si="11"/>
        <v>#NUM!</v>
      </c>
      <c r="K194" s="98" t="e">
        <f t="shared" si="12"/>
        <v>#NUM!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0"/>
        <v/>
      </c>
      <c r="J195" s="98" t="e">
        <f t="shared" si="11"/>
        <v>#NUM!</v>
      </c>
      <c r="K195" s="98" t="e">
        <f t="shared" si="12"/>
        <v>#NUM!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0"/>
        <v/>
      </c>
      <c r="J196" s="98" t="e">
        <f t="shared" si="11"/>
        <v>#NUM!</v>
      </c>
      <c r="K196" s="98" t="e">
        <f t="shared" si="12"/>
        <v>#NUM!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0"/>
        <v/>
      </c>
      <c r="J197" s="98" t="e">
        <f t="shared" si="11"/>
        <v>#NUM!</v>
      </c>
      <c r="K197" s="98" t="e">
        <f t="shared" si="12"/>
        <v>#NUM!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ref="J198:J261" si="15">INT(LOG($H$2,2))-ROUNDUP(LOG(H198,2),0)+IF(OR($H$2=1,$H$2=2,$H$2=4,$H$2=8,$H$2=16,$H$2=32,$H$2=64,$H$2=128,$H$2=256),0,1)</f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4"/>
        <v/>
      </c>
      <c r="J199" s="98" t="e">
        <f t="shared" si="15"/>
        <v>#NUM!</v>
      </c>
      <c r="K199" s="98" t="e">
        <f t="shared" si="16"/>
        <v>#NUM!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4"/>
        <v/>
      </c>
      <c r="J200" s="98" t="e">
        <f t="shared" si="15"/>
        <v>#NUM!</v>
      </c>
      <c r="K200" s="98" t="e">
        <f t="shared" si="16"/>
        <v>#NUM!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4"/>
        <v/>
      </c>
      <c r="J201" s="98" t="e">
        <f t="shared" si="15"/>
        <v>#NUM!</v>
      </c>
      <c r="K201" s="98" t="e">
        <f t="shared" si="16"/>
        <v>#NUM!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4"/>
        <v/>
      </c>
      <c r="J202" s="98" t="e">
        <f t="shared" si="15"/>
        <v>#NUM!</v>
      </c>
      <c r="K202" s="98" t="e">
        <f t="shared" si="16"/>
        <v>#NUM!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4"/>
        <v/>
      </c>
      <c r="J203" s="98" t="e">
        <f t="shared" si="15"/>
        <v>#NUM!</v>
      </c>
      <c r="K203" s="98" t="e">
        <f t="shared" si="16"/>
        <v>#NUM!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4"/>
        <v/>
      </c>
      <c r="J204" s="98" t="e">
        <f t="shared" si="15"/>
        <v>#NUM!</v>
      </c>
      <c r="K204" s="98" t="e">
        <f t="shared" si="16"/>
        <v>#NUM!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4"/>
        <v/>
      </c>
      <c r="J205" s="98" t="e">
        <f t="shared" si="15"/>
        <v>#NUM!</v>
      </c>
      <c r="K205" s="98" t="e">
        <f t="shared" si="16"/>
        <v>#NUM!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4"/>
        <v/>
      </c>
      <c r="J206" s="98" t="e">
        <f t="shared" si="15"/>
        <v>#NUM!</v>
      </c>
      <c r="K206" s="98" t="e">
        <f t="shared" si="16"/>
        <v>#NUM!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4"/>
        <v/>
      </c>
      <c r="J207" s="98" t="e">
        <f t="shared" si="15"/>
        <v>#NUM!</v>
      </c>
      <c r="K207" s="98" t="e">
        <f t="shared" si="16"/>
        <v>#NUM!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4"/>
        <v/>
      </c>
      <c r="J208" s="98" t="e">
        <f t="shared" si="15"/>
        <v>#NUM!</v>
      </c>
      <c r="K208" s="98" t="e">
        <f t="shared" si="16"/>
        <v>#NUM!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4"/>
        <v/>
      </c>
      <c r="J209" s="98" t="e">
        <f t="shared" si="15"/>
        <v>#NUM!</v>
      </c>
      <c r="K209" s="98" t="e">
        <f t="shared" si="16"/>
        <v>#NUM!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4"/>
        <v/>
      </c>
      <c r="J210" s="98" t="e">
        <f t="shared" si="15"/>
        <v>#NUM!</v>
      </c>
      <c r="K210" s="98" t="e">
        <f t="shared" si="16"/>
        <v>#NUM!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4"/>
        <v/>
      </c>
      <c r="J211" s="98" t="e">
        <f t="shared" si="15"/>
        <v>#NUM!</v>
      </c>
      <c r="K211" s="98" t="e">
        <f t="shared" si="16"/>
        <v>#NUM!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4"/>
        <v/>
      </c>
      <c r="J212" s="98" t="e">
        <f t="shared" si="15"/>
        <v>#NUM!</v>
      </c>
      <c r="K212" s="98" t="e">
        <f t="shared" si="16"/>
        <v>#NUM!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4"/>
        <v/>
      </c>
      <c r="J213" s="98" t="e">
        <f t="shared" si="15"/>
        <v>#NUM!</v>
      </c>
      <c r="K213" s="98" t="e">
        <f t="shared" si="16"/>
        <v>#NUM!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4"/>
        <v/>
      </c>
      <c r="J214" s="98" t="e">
        <f t="shared" si="15"/>
        <v>#NUM!</v>
      </c>
      <c r="K214" s="98" t="e">
        <f t="shared" si="16"/>
        <v>#NUM!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4"/>
        <v/>
      </c>
      <c r="J215" s="98" t="e">
        <f t="shared" si="15"/>
        <v>#NUM!</v>
      </c>
      <c r="K215" s="98" t="e">
        <f t="shared" si="16"/>
        <v>#NUM!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4"/>
        <v/>
      </c>
      <c r="J216" s="98" t="e">
        <f t="shared" si="15"/>
        <v>#NUM!</v>
      </c>
      <c r="K216" s="98" t="e">
        <f t="shared" si="16"/>
        <v>#NUM!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4"/>
        <v/>
      </c>
      <c r="J217" s="98" t="e">
        <f t="shared" si="15"/>
        <v>#NUM!</v>
      </c>
      <c r="K217" s="98" t="e">
        <f t="shared" si="16"/>
        <v>#NUM!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4"/>
        <v/>
      </c>
      <c r="J218" s="98" t="e">
        <f t="shared" si="15"/>
        <v>#NUM!</v>
      </c>
      <c r="K218" s="98" t="e">
        <f t="shared" si="16"/>
        <v>#NUM!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4"/>
        <v/>
      </c>
      <c r="J219" s="98" t="e">
        <f t="shared" si="15"/>
        <v>#NUM!</v>
      </c>
      <c r="K219" s="98" t="e">
        <f t="shared" si="16"/>
        <v>#NUM!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4"/>
        <v/>
      </c>
      <c r="J220" s="98" t="e">
        <f t="shared" si="15"/>
        <v>#NUM!</v>
      </c>
      <c r="K220" s="98" t="e">
        <f t="shared" si="16"/>
        <v>#NUM!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4"/>
        <v/>
      </c>
      <c r="J221" s="98" t="e">
        <f t="shared" si="15"/>
        <v>#NUM!</v>
      </c>
      <c r="K221" s="98" t="e">
        <f t="shared" si="16"/>
        <v>#NUM!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4"/>
        <v/>
      </c>
      <c r="J222" s="98" t="e">
        <f t="shared" si="15"/>
        <v>#NUM!</v>
      </c>
      <c r="K222" s="98" t="e">
        <f t="shared" si="16"/>
        <v>#NUM!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4"/>
        <v/>
      </c>
      <c r="J223" s="98" t="e">
        <f t="shared" si="15"/>
        <v>#NUM!</v>
      </c>
      <c r="K223" s="98" t="e">
        <f t="shared" si="16"/>
        <v>#NUM!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4"/>
        <v/>
      </c>
      <c r="J224" s="98" t="e">
        <f t="shared" si="15"/>
        <v>#NUM!</v>
      </c>
      <c r="K224" s="98" t="e">
        <f t="shared" si="16"/>
        <v>#NUM!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4"/>
        <v/>
      </c>
      <c r="J225" s="98" t="e">
        <f t="shared" si="15"/>
        <v>#NUM!</v>
      </c>
      <c r="K225" s="98" t="e">
        <f t="shared" si="16"/>
        <v>#NUM!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4"/>
        <v/>
      </c>
      <c r="J226" s="98" t="e">
        <f t="shared" si="15"/>
        <v>#NUM!</v>
      </c>
      <c r="K226" s="98" t="e">
        <f t="shared" si="16"/>
        <v>#NUM!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4"/>
        <v/>
      </c>
      <c r="J227" s="98" t="e">
        <f t="shared" si="15"/>
        <v>#NUM!</v>
      </c>
      <c r="K227" s="98" t="e">
        <f t="shared" si="16"/>
        <v>#NUM!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4"/>
        <v/>
      </c>
      <c r="J228" s="98" t="e">
        <f t="shared" si="15"/>
        <v>#NUM!</v>
      </c>
      <c r="K228" s="98" t="e">
        <f t="shared" si="16"/>
        <v>#NUM!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4"/>
        <v/>
      </c>
      <c r="J229" s="98" t="e">
        <f t="shared" si="15"/>
        <v>#NUM!</v>
      </c>
      <c r="K229" s="98" t="e">
        <f t="shared" si="16"/>
        <v>#NUM!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4"/>
        <v/>
      </c>
      <c r="J230" s="98" t="e">
        <f t="shared" si="15"/>
        <v>#NUM!</v>
      </c>
      <c r="K230" s="98" t="e">
        <f t="shared" si="16"/>
        <v>#NUM!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4"/>
        <v/>
      </c>
      <c r="J231" s="98" t="e">
        <f t="shared" si="15"/>
        <v>#NUM!</v>
      </c>
      <c r="K231" s="98" t="e">
        <f t="shared" si="16"/>
        <v>#NUM!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4"/>
        <v/>
      </c>
      <c r="J232" s="98" t="e">
        <f t="shared" si="15"/>
        <v>#NUM!</v>
      </c>
      <c r="K232" s="98" t="e">
        <f t="shared" si="16"/>
        <v>#NUM!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4"/>
        <v/>
      </c>
      <c r="J233" s="98" t="e">
        <f t="shared" si="15"/>
        <v>#NUM!</v>
      </c>
      <c r="K233" s="98" t="e">
        <f t="shared" si="16"/>
        <v>#NUM!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4"/>
        <v/>
      </c>
      <c r="J234" s="98" t="e">
        <f t="shared" si="15"/>
        <v>#NUM!</v>
      </c>
      <c r="K234" s="98" t="e">
        <f t="shared" si="16"/>
        <v>#NUM!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4"/>
        <v/>
      </c>
      <c r="J235" s="98" t="e">
        <f t="shared" si="15"/>
        <v>#NUM!</v>
      </c>
      <c r="K235" s="98" t="e">
        <f t="shared" si="16"/>
        <v>#NUM!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4"/>
        <v/>
      </c>
      <c r="J236" s="98" t="e">
        <f t="shared" si="15"/>
        <v>#NUM!</v>
      </c>
      <c r="K236" s="98" t="e">
        <f t="shared" si="16"/>
        <v>#NUM!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4"/>
        <v/>
      </c>
      <c r="J237" s="98" t="e">
        <f t="shared" si="15"/>
        <v>#NUM!</v>
      </c>
      <c r="K237" s="98" t="e">
        <f t="shared" si="16"/>
        <v>#NUM!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4"/>
        <v/>
      </c>
      <c r="J238" s="98" t="e">
        <f t="shared" si="15"/>
        <v>#NUM!</v>
      </c>
      <c r="K238" s="98" t="e">
        <f t="shared" si="16"/>
        <v>#NUM!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4"/>
        <v/>
      </c>
      <c r="J239" s="98" t="e">
        <f t="shared" si="15"/>
        <v>#NUM!</v>
      </c>
      <c r="K239" s="98" t="e">
        <f t="shared" si="16"/>
        <v>#NUM!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4"/>
        <v/>
      </c>
      <c r="J240" s="98" t="e">
        <f t="shared" si="15"/>
        <v>#NUM!</v>
      </c>
      <c r="K240" s="98" t="e">
        <f t="shared" si="16"/>
        <v>#NUM!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4"/>
        <v/>
      </c>
      <c r="J241" s="98" t="e">
        <f t="shared" si="15"/>
        <v>#NUM!</v>
      </c>
      <c r="K241" s="98" t="e">
        <f t="shared" si="16"/>
        <v>#NUM!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4"/>
        <v/>
      </c>
      <c r="J242" s="98" t="e">
        <f t="shared" si="15"/>
        <v>#NUM!</v>
      </c>
      <c r="K242" s="98" t="e">
        <f t="shared" si="16"/>
        <v>#NUM!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4"/>
        <v/>
      </c>
      <c r="J243" s="98" t="e">
        <f t="shared" si="15"/>
        <v>#NUM!</v>
      </c>
      <c r="K243" s="98" t="e">
        <f t="shared" si="16"/>
        <v>#NUM!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4"/>
        <v/>
      </c>
      <c r="J244" s="98" t="e">
        <f t="shared" si="15"/>
        <v>#NUM!</v>
      </c>
      <c r="K244" s="98" t="e">
        <f t="shared" si="16"/>
        <v>#NUM!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4"/>
        <v/>
      </c>
      <c r="J245" s="98" t="e">
        <f t="shared" si="15"/>
        <v>#NUM!</v>
      </c>
      <c r="K245" s="98" t="e">
        <f t="shared" si="16"/>
        <v>#NUM!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4"/>
        <v/>
      </c>
      <c r="J246" s="98" t="e">
        <f t="shared" si="15"/>
        <v>#NUM!</v>
      </c>
      <c r="K246" s="98" t="e">
        <f t="shared" si="16"/>
        <v>#NUM!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4"/>
        <v/>
      </c>
      <c r="J247" s="98" t="e">
        <f t="shared" si="15"/>
        <v>#NUM!</v>
      </c>
      <c r="K247" s="98" t="e">
        <f t="shared" si="16"/>
        <v>#NUM!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4"/>
        <v/>
      </c>
      <c r="J248" s="98" t="e">
        <f t="shared" si="15"/>
        <v>#NUM!</v>
      </c>
      <c r="K248" s="98" t="e">
        <f t="shared" si="16"/>
        <v>#NUM!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4"/>
        <v/>
      </c>
      <c r="J249" s="98" t="e">
        <f t="shared" si="15"/>
        <v>#NUM!</v>
      </c>
      <c r="K249" s="98" t="e">
        <f t="shared" si="16"/>
        <v>#NUM!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4"/>
        <v/>
      </c>
      <c r="J250" s="98" t="e">
        <f t="shared" si="15"/>
        <v>#NUM!</v>
      </c>
      <c r="K250" s="98" t="e">
        <f t="shared" si="16"/>
        <v>#NUM!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4"/>
        <v/>
      </c>
      <c r="J251" s="98" t="e">
        <f t="shared" si="15"/>
        <v>#NUM!</v>
      </c>
      <c r="K251" s="98" t="e">
        <f t="shared" si="16"/>
        <v>#NUM!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4"/>
        <v/>
      </c>
      <c r="J252" s="98" t="e">
        <f t="shared" si="15"/>
        <v>#NUM!</v>
      </c>
      <c r="K252" s="98" t="e">
        <f t="shared" si="16"/>
        <v>#NUM!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4"/>
        <v/>
      </c>
      <c r="J253" s="98" t="e">
        <f t="shared" si="15"/>
        <v>#NUM!</v>
      </c>
      <c r="K253" s="98" t="e">
        <f t="shared" si="16"/>
        <v>#NUM!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4"/>
        <v/>
      </c>
      <c r="J254" s="98" t="e">
        <f t="shared" si="15"/>
        <v>#NUM!</v>
      </c>
      <c r="K254" s="98" t="e">
        <f t="shared" si="16"/>
        <v>#NUM!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4"/>
        <v/>
      </c>
      <c r="J255" s="98" t="e">
        <f t="shared" si="15"/>
        <v>#NUM!</v>
      </c>
      <c r="K255" s="98" t="e">
        <f t="shared" si="16"/>
        <v>#NUM!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4"/>
        <v/>
      </c>
      <c r="J256" s="98" t="e">
        <f t="shared" si="15"/>
        <v>#NUM!</v>
      </c>
      <c r="K256" s="98" t="e">
        <f t="shared" si="16"/>
        <v>#NUM!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4"/>
        <v/>
      </c>
      <c r="J257" s="98" t="e">
        <f t="shared" si="15"/>
        <v>#NUM!</v>
      </c>
      <c r="K257" s="98" t="e">
        <f t="shared" si="16"/>
        <v>#NUM!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4"/>
        <v/>
      </c>
      <c r="J258" s="98" t="e">
        <f t="shared" si="15"/>
        <v>#NUM!</v>
      </c>
      <c r="K258" s="98" t="e">
        <f t="shared" si="16"/>
        <v>#NUM!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4"/>
        <v/>
      </c>
      <c r="J259" s="98" t="e">
        <f t="shared" si="15"/>
        <v>#NUM!</v>
      </c>
      <c r="K259" s="98" t="e">
        <f t="shared" si="16"/>
        <v>#NUM!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4"/>
        <v/>
      </c>
      <c r="J260" s="98" t="e">
        <f t="shared" si="15"/>
        <v>#NUM!</v>
      </c>
      <c r="K260" s="98" t="e">
        <f t="shared" si="16"/>
        <v>#NUM!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4"/>
        <v/>
      </c>
      <c r="J261" s="98" t="e">
        <f t="shared" si="15"/>
        <v>#NUM!</v>
      </c>
      <c r="K261" s="98" t="e">
        <f t="shared" si="16"/>
        <v>#NUM!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ref="J262:J325" si="19">INT(LOG($H$2,2))-ROUNDUP(LOG(H262,2),0)+IF(OR($H$2=1,$H$2=2,$H$2=4,$H$2=8,$H$2=16,$H$2=32,$H$2=64,$H$2=128,$H$2=256),0,1)</f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8"/>
        <v/>
      </c>
      <c r="J263" s="98" t="e">
        <f t="shared" si="19"/>
        <v>#NUM!</v>
      </c>
      <c r="K263" s="98" t="e">
        <f t="shared" si="20"/>
        <v>#NUM!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8"/>
        <v/>
      </c>
      <c r="J264" s="98" t="e">
        <f t="shared" si="19"/>
        <v>#NUM!</v>
      </c>
      <c r="K264" s="98" t="e">
        <f t="shared" si="20"/>
        <v>#NUM!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8"/>
        <v/>
      </c>
      <c r="J265" s="98" t="e">
        <f t="shared" si="19"/>
        <v>#NUM!</v>
      </c>
      <c r="K265" s="98" t="e">
        <f t="shared" si="20"/>
        <v>#NUM!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8"/>
        <v/>
      </c>
      <c r="J266" s="98" t="e">
        <f t="shared" si="19"/>
        <v>#NUM!</v>
      </c>
      <c r="K266" s="98" t="e">
        <f t="shared" si="20"/>
        <v>#NUM!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8"/>
        <v/>
      </c>
      <c r="J267" s="98" t="e">
        <f t="shared" si="19"/>
        <v>#NUM!</v>
      </c>
      <c r="K267" s="98" t="e">
        <f t="shared" si="20"/>
        <v>#NUM!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8"/>
        <v/>
      </c>
      <c r="J268" s="98" t="e">
        <f t="shared" si="19"/>
        <v>#NUM!</v>
      </c>
      <c r="K268" s="98" t="e">
        <f t="shared" si="20"/>
        <v>#NUM!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8"/>
        <v/>
      </c>
      <c r="J269" s="98" t="e">
        <f t="shared" si="19"/>
        <v>#NUM!</v>
      </c>
      <c r="K269" s="98" t="e">
        <f t="shared" si="20"/>
        <v>#NUM!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8"/>
        <v/>
      </c>
      <c r="J270" s="98" t="e">
        <f t="shared" si="19"/>
        <v>#NUM!</v>
      </c>
      <c r="K270" s="98" t="e">
        <f t="shared" si="20"/>
        <v>#NUM!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8"/>
        <v/>
      </c>
      <c r="J271" s="98" t="e">
        <f t="shared" si="19"/>
        <v>#NUM!</v>
      </c>
      <c r="K271" s="98" t="e">
        <f t="shared" si="20"/>
        <v>#NUM!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8"/>
        <v/>
      </c>
      <c r="J272" s="98" t="e">
        <f t="shared" si="19"/>
        <v>#NUM!</v>
      </c>
      <c r="K272" s="98" t="e">
        <f t="shared" si="20"/>
        <v>#NUM!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8"/>
        <v/>
      </c>
      <c r="J273" s="98" t="e">
        <f t="shared" si="19"/>
        <v>#NUM!</v>
      </c>
      <c r="K273" s="98" t="e">
        <f t="shared" si="20"/>
        <v>#NUM!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8"/>
        <v/>
      </c>
      <c r="J274" s="98" t="e">
        <f t="shared" si="19"/>
        <v>#NUM!</v>
      </c>
      <c r="K274" s="98" t="e">
        <f t="shared" si="20"/>
        <v>#NUM!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8"/>
        <v/>
      </c>
      <c r="J275" s="98" t="e">
        <f t="shared" si="19"/>
        <v>#NUM!</v>
      </c>
      <c r="K275" s="98" t="e">
        <f t="shared" si="20"/>
        <v>#NUM!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8"/>
        <v/>
      </c>
      <c r="J276" s="98" t="e">
        <f t="shared" si="19"/>
        <v>#NUM!</v>
      </c>
      <c r="K276" s="98" t="e">
        <f t="shared" si="20"/>
        <v>#NUM!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8"/>
        <v/>
      </c>
      <c r="J277" s="98" t="e">
        <f t="shared" si="19"/>
        <v>#NUM!</v>
      </c>
      <c r="K277" s="98" t="e">
        <f t="shared" si="20"/>
        <v>#NUM!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8"/>
        <v/>
      </c>
      <c r="J278" s="98" t="e">
        <f t="shared" si="19"/>
        <v>#NUM!</v>
      </c>
      <c r="K278" s="98" t="e">
        <f t="shared" si="20"/>
        <v>#NUM!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8"/>
        <v/>
      </c>
      <c r="J279" s="98" t="e">
        <f t="shared" si="19"/>
        <v>#NUM!</v>
      </c>
      <c r="K279" s="98" t="e">
        <f t="shared" si="20"/>
        <v>#NUM!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8"/>
        <v/>
      </c>
      <c r="J280" s="98" t="e">
        <f t="shared" si="19"/>
        <v>#NUM!</v>
      </c>
      <c r="K280" s="98" t="e">
        <f t="shared" si="20"/>
        <v>#NUM!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8"/>
        <v/>
      </c>
      <c r="J281" s="98" t="e">
        <f t="shared" si="19"/>
        <v>#NUM!</v>
      </c>
      <c r="K281" s="98" t="e">
        <f t="shared" si="20"/>
        <v>#NUM!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8"/>
        <v/>
      </c>
      <c r="J282" s="98" t="e">
        <f t="shared" si="19"/>
        <v>#NUM!</v>
      </c>
      <c r="K282" s="98" t="e">
        <f t="shared" si="20"/>
        <v>#NUM!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8"/>
        <v/>
      </c>
      <c r="J283" s="98" t="e">
        <f t="shared" si="19"/>
        <v>#NUM!</v>
      </c>
      <c r="K283" s="98" t="e">
        <f t="shared" si="20"/>
        <v>#NUM!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8"/>
        <v/>
      </c>
      <c r="J284" s="98" t="e">
        <f t="shared" si="19"/>
        <v>#NUM!</v>
      </c>
      <c r="K284" s="98" t="e">
        <f t="shared" si="20"/>
        <v>#NUM!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8"/>
        <v/>
      </c>
      <c r="J285" s="98" t="e">
        <f t="shared" si="19"/>
        <v>#NUM!</v>
      </c>
      <c r="K285" s="98" t="e">
        <f t="shared" si="20"/>
        <v>#NUM!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8"/>
        <v/>
      </c>
      <c r="J286" s="98" t="e">
        <f t="shared" si="19"/>
        <v>#NUM!</v>
      </c>
      <c r="K286" s="98" t="e">
        <f t="shared" si="20"/>
        <v>#NUM!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8"/>
        <v/>
      </c>
      <c r="J287" s="98" t="e">
        <f t="shared" si="19"/>
        <v>#NUM!</v>
      </c>
      <c r="K287" s="98" t="e">
        <f t="shared" si="20"/>
        <v>#NUM!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8"/>
        <v/>
      </c>
      <c r="J288" s="98" t="e">
        <f t="shared" si="19"/>
        <v>#NUM!</v>
      </c>
      <c r="K288" s="98" t="e">
        <f t="shared" si="20"/>
        <v>#NUM!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8"/>
        <v/>
      </c>
      <c r="J289" s="98" t="e">
        <f t="shared" si="19"/>
        <v>#NUM!</v>
      </c>
      <c r="K289" s="98" t="e">
        <f t="shared" si="20"/>
        <v>#NUM!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8"/>
        <v/>
      </c>
      <c r="J290" s="98" t="e">
        <f t="shared" si="19"/>
        <v>#NUM!</v>
      </c>
      <c r="K290" s="98" t="e">
        <f t="shared" si="20"/>
        <v>#NUM!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8"/>
        <v/>
      </c>
      <c r="J291" s="98" t="e">
        <f t="shared" si="19"/>
        <v>#NUM!</v>
      </c>
      <c r="K291" s="98" t="e">
        <f t="shared" si="20"/>
        <v>#NUM!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8"/>
        <v/>
      </c>
      <c r="J292" s="98" t="e">
        <f t="shared" si="19"/>
        <v>#NUM!</v>
      </c>
      <c r="K292" s="98" t="e">
        <f t="shared" si="20"/>
        <v>#NUM!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8"/>
        <v/>
      </c>
      <c r="J293" s="98" t="e">
        <f t="shared" si="19"/>
        <v>#NUM!</v>
      </c>
      <c r="K293" s="98" t="e">
        <f t="shared" si="20"/>
        <v>#NUM!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8"/>
        <v/>
      </c>
      <c r="J294" s="98" t="e">
        <f t="shared" si="19"/>
        <v>#NUM!</v>
      </c>
      <c r="K294" s="98" t="e">
        <f t="shared" si="20"/>
        <v>#NUM!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8"/>
        <v/>
      </c>
      <c r="J295" s="98" t="e">
        <f t="shared" si="19"/>
        <v>#NUM!</v>
      </c>
      <c r="K295" s="98" t="e">
        <f t="shared" si="20"/>
        <v>#NUM!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8"/>
        <v/>
      </c>
      <c r="J296" s="98" t="e">
        <f t="shared" si="19"/>
        <v>#NUM!</v>
      </c>
      <c r="K296" s="98" t="e">
        <f t="shared" si="20"/>
        <v>#NUM!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8"/>
        <v/>
      </c>
      <c r="J297" s="98" t="e">
        <f t="shared" si="19"/>
        <v>#NUM!</v>
      </c>
      <c r="K297" s="98" t="e">
        <f t="shared" si="20"/>
        <v>#NUM!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8"/>
        <v/>
      </c>
      <c r="J298" s="98" t="e">
        <f t="shared" si="19"/>
        <v>#NUM!</v>
      </c>
      <c r="K298" s="98" t="e">
        <f t="shared" si="20"/>
        <v>#NUM!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8"/>
        <v/>
      </c>
      <c r="J299" s="98" t="e">
        <f t="shared" si="19"/>
        <v>#NUM!</v>
      </c>
      <c r="K299" s="98" t="e">
        <f t="shared" si="20"/>
        <v>#NUM!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8"/>
        <v/>
      </c>
      <c r="J300" s="98" t="e">
        <f t="shared" si="19"/>
        <v>#NUM!</v>
      </c>
      <c r="K300" s="98" t="e">
        <f t="shared" si="20"/>
        <v>#NUM!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8"/>
        <v/>
      </c>
      <c r="J301" s="98" t="e">
        <f t="shared" si="19"/>
        <v>#NUM!</v>
      </c>
      <c r="K301" s="98" t="e">
        <f t="shared" si="20"/>
        <v>#NUM!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8"/>
        <v/>
      </c>
      <c r="J302" s="98" t="e">
        <f t="shared" si="19"/>
        <v>#NUM!</v>
      </c>
      <c r="K302" s="98" t="e">
        <f t="shared" si="20"/>
        <v>#NUM!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8"/>
        <v/>
      </c>
      <c r="J303" s="98" t="e">
        <f t="shared" si="19"/>
        <v>#NUM!</v>
      </c>
      <c r="K303" s="98" t="e">
        <f t="shared" si="20"/>
        <v>#NUM!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8"/>
        <v/>
      </c>
      <c r="J304" s="98" t="e">
        <f t="shared" si="19"/>
        <v>#NUM!</v>
      </c>
      <c r="K304" s="98" t="e">
        <f t="shared" si="20"/>
        <v>#NUM!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8"/>
        <v/>
      </c>
      <c r="J305" s="98" t="e">
        <f t="shared" si="19"/>
        <v>#NUM!</v>
      </c>
      <c r="K305" s="98" t="e">
        <f t="shared" si="20"/>
        <v>#NUM!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19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19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19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19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19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19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19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19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19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19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19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19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19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19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19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19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19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19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19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19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2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2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2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2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2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2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2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2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2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2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2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2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2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2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2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2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2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2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2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2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2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2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2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2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2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2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2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2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2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2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2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2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2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2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2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2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2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2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2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2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2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2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2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2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2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2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2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2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2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A18F-8EB9-43B9-81D7-A80A0A4795AA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43.7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70" t="s">
        <v>121</v>
      </c>
      <c r="D2" s="69"/>
      <c r="E2" s="20"/>
      <c r="F2" s="20"/>
      <c r="G2" s="20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35</v>
      </c>
      <c r="C3" s="70" t="s">
        <v>122</v>
      </c>
      <c r="D3" s="70"/>
      <c r="E3" s="25"/>
      <c r="F3" s="25"/>
      <c r="G3" s="25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98">
        <v>1</v>
      </c>
      <c r="I6" s="99" t="str">
        <f t="shared" ref="I6:I69" si="1">IF(H6&lt;$H$2+1,($I$2-($I$2-1)*(LOG(H6)/LOG($H$2))),"")</f>
        <v/>
      </c>
      <c r="J6" s="98">
        <v>4</v>
      </c>
      <c r="K6" s="98">
        <f t="shared" ref="K6:K69" si="2">J6*$J$2</f>
        <v>40</v>
      </c>
      <c r="L6" s="100">
        <f>3*K2</f>
        <v>0</v>
      </c>
      <c r="M6" s="100">
        <f t="shared" ref="M6:M69" si="3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102">
        <v>2</v>
      </c>
      <c r="I7" s="103" t="str">
        <f t="shared" si="1"/>
        <v/>
      </c>
      <c r="J7" s="102">
        <v>3</v>
      </c>
      <c r="K7" s="102">
        <f t="shared" si="2"/>
        <v>30</v>
      </c>
      <c r="L7" s="104">
        <f>2*K2</f>
        <v>0</v>
      </c>
      <c r="M7" s="104">
        <f t="shared" si="3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98">
        <v>3</v>
      </c>
      <c r="I8" s="99" t="str">
        <f t="shared" si="1"/>
        <v/>
      </c>
      <c r="J8" s="98">
        <v>2</v>
      </c>
      <c r="K8" s="98">
        <f t="shared" si="2"/>
        <v>20</v>
      </c>
      <c r="L8" s="100">
        <f>K2</f>
        <v>0</v>
      </c>
      <c r="M8" s="100">
        <f t="shared" si="3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102">
        <v>3</v>
      </c>
      <c r="I9" s="103" t="str">
        <f t="shared" si="1"/>
        <v/>
      </c>
      <c r="J9" s="102">
        <v>2</v>
      </c>
      <c r="K9" s="102">
        <f t="shared" si="2"/>
        <v>20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3" t="str">
        <f t="shared" ref="B10:B65" si="4">IF(H10&gt;$H$2,"",(ROW()-5))</f>
        <v/>
      </c>
      <c r="C10" s="34"/>
      <c r="D10" s="34"/>
      <c r="E10" s="34"/>
      <c r="F10" s="34"/>
      <c r="G10" s="27"/>
      <c r="H10" s="98">
        <v>5</v>
      </c>
      <c r="I10" s="99" t="str">
        <f t="shared" si="1"/>
        <v/>
      </c>
      <c r="J10" s="98" t="e">
        <f t="shared" ref="J10:J73" si="5">INT(LOG($H$2,2))-ROUNDUP(LOG(H10,2),0)+IF(OR($H$2=1,$H$2=2,$H$2=4,$H$2=8,$H$2=16,$H$2=32,$H$2=64,$H$2=128,$H$2=256),0,1)</f>
        <v>#NUM!</v>
      </c>
      <c r="K10" s="98" t="e">
        <f t="shared" si="2"/>
        <v>#NUM!</v>
      </c>
      <c r="L10" s="98"/>
      <c r="M10" s="100">
        <f t="shared" si="3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39" t="str">
        <f t="shared" si="4"/>
        <v/>
      </c>
      <c r="C11" s="40"/>
      <c r="D11" s="40"/>
      <c r="E11" s="40"/>
      <c r="F11" s="40"/>
      <c r="G11" s="27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3" t="str">
        <f t="shared" si="4"/>
        <v/>
      </c>
      <c r="C12" s="34"/>
      <c r="D12" s="34"/>
      <c r="E12" s="34"/>
      <c r="F12" s="34"/>
      <c r="G12" s="27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39" t="str">
        <f t="shared" si="4"/>
        <v/>
      </c>
      <c r="C13" s="40"/>
      <c r="D13" s="40"/>
      <c r="E13" s="40"/>
      <c r="F13" s="40"/>
      <c r="G13" s="27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3" t="str">
        <f t="shared" si="4"/>
        <v/>
      </c>
      <c r="C14" s="34"/>
      <c r="D14" s="34"/>
      <c r="E14" s="34"/>
      <c r="F14" s="34"/>
      <c r="G14" s="27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39" t="str">
        <f t="shared" si="4"/>
        <v/>
      </c>
      <c r="C15" s="40"/>
      <c r="D15" s="40"/>
      <c r="E15" s="40"/>
      <c r="F15" s="40"/>
      <c r="G15" s="27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3" t="str">
        <f t="shared" si="4"/>
        <v/>
      </c>
      <c r="C16" s="34"/>
      <c r="D16" s="34"/>
      <c r="E16" s="34"/>
      <c r="F16" s="34"/>
      <c r="G16" s="27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0</v>
      </c>
      <c r="B17" s="39" t="str">
        <f t="shared" si="4"/>
        <v/>
      </c>
      <c r="C17" s="40"/>
      <c r="D17" s="40"/>
      <c r="E17" s="40"/>
      <c r="F17" s="40"/>
      <c r="G17" s="27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3" t="str">
        <f t="shared" si="4"/>
        <v/>
      </c>
      <c r="C18" s="125"/>
      <c r="D18" s="34"/>
      <c r="E18" s="34"/>
      <c r="F18" s="34"/>
      <c r="G18" s="27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4"/>
        <v/>
      </c>
      <c r="C19" s="40"/>
      <c r="D19" s="40"/>
      <c r="E19" s="40"/>
      <c r="F19" s="40"/>
      <c r="G19" s="27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4"/>
        <v/>
      </c>
      <c r="C20" s="34"/>
      <c r="D20" s="34"/>
      <c r="E20" s="34"/>
      <c r="F20" s="34"/>
      <c r="G20" s="27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4"/>
        <v/>
      </c>
      <c r="C21" s="40"/>
      <c r="D21" s="40"/>
      <c r="E21" s="40"/>
      <c r="F21" s="40"/>
      <c r="G21" s="27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4"/>
        <v/>
      </c>
      <c r="C22" s="34"/>
      <c r="D22" s="34"/>
      <c r="E22" s="34"/>
      <c r="F22" s="34"/>
      <c r="G22" s="27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4"/>
        <v/>
      </c>
      <c r="C23" s="40"/>
      <c r="D23" s="40"/>
      <c r="E23" s="40"/>
      <c r="F23" s="40"/>
      <c r="G23" s="27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4"/>
        <v/>
      </c>
      <c r="C24" s="34"/>
      <c r="D24" s="34"/>
      <c r="E24" s="34"/>
      <c r="F24" s="34"/>
      <c r="G24" s="27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4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4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4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4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4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4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4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4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4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4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4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4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4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3" t="str">
        <f t="shared" si="4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39" t="str">
        <f t="shared" si="4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3" t="str">
        <f t="shared" si="4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39" t="str">
        <f t="shared" si="4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3" t="str">
        <f t="shared" si="4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39" t="str">
        <f t="shared" si="4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3" t="str">
        <f t="shared" si="4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39" t="str">
        <f t="shared" si="4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3" t="str">
        <f t="shared" si="4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39" t="str">
        <f t="shared" si="4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3" t="str">
        <f t="shared" si="4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39" t="str">
        <f t="shared" si="4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3" t="str">
        <f t="shared" si="4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39" t="str">
        <f t="shared" si="4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3" t="str">
        <f t="shared" si="4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39" t="str">
        <f t="shared" si="4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3" t="str">
        <f t="shared" si="4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39" t="str">
        <f t="shared" si="4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3" t="str">
        <f t="shared" si="4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39" t="str">
        <f t="shared" si="4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3" t="str">
        <f t="shared" si="4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39" t="str">
        <f t="shared" si="4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3" t="str">
        <f t="shared" si="4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39" t="str">
        <f t="shared" si="4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3" t="str">
        <f t="shared" si="4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39" t="str">
        <f t="shared" si="4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3" t="str">
        <f t="shared" si="4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39" t="str">
        <f t="shared" si="4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6">IF(H70&lt;$H$2+1,($I$2-($I$2-1)*(LOG(H70)/LOG($H$2))),"")</f>
        <v/>
      </c>
      <c r="J70" s="98" t="e">
        <f t="shared" si="5"/>
        <v>#NUM!</v>
      </c>
      <c r="K70" s="98" t="e">
        <f t="shared" ref="K70:K133" si="7">J70*$J$2</f>
        <v>#NUM!</v>
      </c>
      <c r="L70" s="98"/>
      <c r="M70" s="100">
        <f t="shared" ref="M70:M133" si="8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6"/>
        <v/>
      </c>
      <c r="J71" s="98" t="e">
        <f t="shared" si="5"/>
        <v>#NUM!</v>
      </c>
      <c r="K71" s="98" t="e">
        <f t="shared" si="7"/>
        <v>#NUM!</v>
      </c>
      <c r="L71" s="98"/>
      <c r="M71" s="100">
        <f t="shared" si="8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6"/>
        <v/>
      </c>
      <c r="J72" s="98" t="e">
        <f t="shared" si="5"/>
        <v>#NUM!</v>
      </c>
      <c r="K72" s="98" t="e">
        <f t="shared" si="7"/>
        <v>#NUM!</v>
      </c>
      <c r="L72" s="98"/>
      <c r="M72" s="100">
        <f t="shared" si="8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6"/>
        <v/>
      </c>
      <c r="J73" s="98" t="e">
        <f t="shared" si="5"/>
        <v>#NUM!</v>
      </c>
      <c r="K73" s="98" t="e">
        <f t="shared" si="7"/>
        <v>#NUM!</v>
      </c>
      <c r="L73" s="98"/>
      <c r="M73" s="100">
        <f t="shared" si="8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6"/>
        <v/>
      </c>
      <c r="J74" s="98" t="e">
        <f t="shared" ref="J74:J137" si="9">INT(LOG($H$2,2))-ROUNDUP(LOG(H74,2),0)+IF(OR($H$2=1,$H$2=2,$H$2=4,$H$2=8,$H$2=16,$H$2=32,$H$2=64,$H$2=128,$H$2=256),0,1)</f>
        <v>#NUM!</v>
      </c>
      <c r="K74" s="98" t="e">
        <f t="shared" si="7"/>
        <v>#NUM!</v>
      </c>
      <c r="L74" s="98"/>
      <c r="M74" s="100">
        <f t="shared" si="8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6"/>
        <v/>
      </c>
      <c r="J75" s="98" t="e">
        <f t="shared" si="9"/>
        <v>#NUM!</v>
      </c>
      <c r="K75" s="98" t="e">
        <f t="shared" si="7"/>
        <v>#NUM!</v>
      </c>
      <c r="L75" s="98"/>
      <c r="M75" s="100">
        <f t="shared" si="8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6"/>
        <v/>
      </c>
      <c r="J76" s="98" t="e">
        <f t="shared" si="9"/>
        <v>#NUM!</v>
      </c>
      <c r="K76" s="98" t="e">
        <f t="shared" si="7"/>
        <v>#NUM!</v>
      </c>
      <c r="L76" s="98"/>
      <c r="M76" s="100">
        <f t="shared" si="8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6"/>
        <v/>
      </c>
      <c r="J77" s="98" t="e">
        <f t="shared" si="9"/>
        <v>#NUM!</v>
      </c>
      <c r="K77" s="98" t="e">
        <f t="shared" si="7"/>
        <v>#NUM!</v>
      </c>
      <c r="L77" s="98"/>
      <c r="M77" s="100">
        <f t="shared" si="8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6"/>
        <v/>
      </c>
      <c r="J78" s="98" t="e">
        <f t="shared" si="9"/>
        <v>#NUM!</v>
      </c>
      <c r="K78" s="98" t="e">
        <f t="shared" si="7"/>
        <v>#NUM!</v>
      </c>
      <c r="L78" s="98"/>
      <c r="M78" s="100">
        <f t="shared" si="8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6"/>
        <v/>
      </c>
      <c r="J79" s="98" t="e">
        <f t="shared" si="9"/>
        <v>#NUM!</v>
      </c>
      <c r="K79" s="98" t="e">
        <f t="shared" si="7"/>
        <v>#NUM!</v>
      </c>
      <c r="L79" s="98"/>
      <c r="M79" s="100">
        <f t="shared" si="8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6"/>
        <v/>
      </c>
      <c r="J80" s="98" t="e">
        <f t="shared" si="9"/>
        <v>#NUM!</v>
      </c>
      <c r="K80" s="98" t="e">
        <f t="shared" si="7"/>
        <v>#NUM!</v>
      </c>
      <c r="L80" s="98"/>
      <c r="M80" s="100">
        <f t="shared" si="8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6"/>
        <v/>
      </c>
      <c r="J81" s="98" t="e">
        <f t="shared" si="9"/>
        <v>#NUM!</v>
      </c>
      <c r="K81" s="98" t="e">
        <f t="shared" si="7"/>
        <v>#NUM!</v>
      </c>
      <c r="L81" s="98"/>
      <c r="M81" s="100">
        <f t="shared" si="8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6"/>
        <v/>
      </c>
      <c r="J82" s="98" t="e">
        <f t="shared" si="9"/>
        <v>#NUM!</v>
      </c>
      <c r="K82" s="98" t="e">
        <f t="shared" si="7"/>
        <v>#NUM!</v>
      </c>
      <c r="L82" s="98"/>
      <c r="M82" s="100">
        <f t="shared" si="8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6"/>
        <v/>
      </c>
      <c r="J83" s="98" t="e">
        <f t="shared" si="9"/>
        <v>#NUM!</v>
      </c>
      <c r="K83" s="98" t="e">
        <f t="shared" si="7"/>
        <v>#NUM!</v>
      </c>
      <c r="L83" s="98"/>
      <c r="M83" s="100">
        <f t="shared" si="8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6"/>
        <v/>
      </c>
      <c r="J84" s="98" t="e">
        <f t="shared" si="9"/>
        <v>#NUM!</v>
      </c>
      <c r="K84" s="98" t="e">
        <f t="shared" si="7"/>
        <v>#NUM!</v>
      </c>
      <c r="L84" s="98"/>
      <c r="M84" s="100">
        <f t="shared" si="8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6"/>
        <v/>
      </c>
      <c r="J85" s="98" t="e">
        <f t="shared" si="9"/>
        <v>#NUM!</v>
      </c>
      <c r="K85" s="98" t="e">
        <f t="shared" si="7"/>
        <v>#NUM!</v>
      </c>
      <c r="L85" s="98"/>
      <c r="M85" s="100">
        <f t="shared" si="8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6"/>
        <v/>
      </c>
      <c r="J86" s="98" t="e">
        <f t="shared" si="9"/>
        <v>#NUM!</v>
      </c>
      <c r="K86" s="98" t="e">
        <f t="shared" si="7"/>
        <v>#NUM!</v>
      </c>
      <c r="L86" s="98"/>
      <c r="M86" s="100">
        <f t="shared" si="8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6"/>
        <v/>
      </c>
      <c r="J87" s="98" t="e">
        <f t="shared" si="9"/>
        <v>#NUM!</v>
      </c>
      <c r="K87" s="98" t="e">
        <f t="shared" si="7"/>
        <v>#NUM!</v>
      </c>
      <c r="L87" s="98"/>
      <c r="M87" s="100">
        <f t="shared" si="8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6"/>
        <v/>
      </c>
      <c r="J88" s="98" t="e">
        <f t="shared" si="9"/>
        <v>#NUM!</v>
      </c>
      <c r="K88" s="98" t="e">
        <f t="shared" si="7"/>
        <v>#NUM!</v>
      </c>
      <c r="L88" s="98"/>
      <c r="M88" s="100">
        <f t="shared" si="8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6"/>
        <v/>
      </c>
      <c r="J89" s="98" t="e">
        <f t="shared" si="9"/>
        <v>#NUM!</v>
      </c>
      <c r="K89" s="98" t="e">
        <f t="shared" si="7"/>
        <v>#NUM!</v>
      </c>
      <c r="L89" s="98"/>
      <c r="M89" s="100">
        <f t="shared" si="8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6"/>
        <v/>
      </c>
      <c r="J90" s="98" t="e">
        <f t="shared" si="9"/>
        <v>#NUM!</v>
      </c>
      <c r="K90" s="98" t="e">
        <f t="shared" si="7"/>
        <v>#NUM!</v>
      </c>
      <c r="L90" s="98"/>
      <c r="M90" s="100">
        <f t="shared" si="8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6"/>
        <v/>
      </c>
      <c r="J91" s="98" t="e">
        <f t="shared" si="9"/>
        <v>#NUM!</v>
      </c>
      <c r="K91" s="98" t="e">
        <f t="shared" si="7"/>
        <v>#NUM!</v>
      </c>
      <c r="L91" s="98"/>
      <c r="M91" s="100">
        <f t="shared" si="8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6"/>
        <v/>
      </c>
      <c r="J92" s="98" t="e">
        <f t="shared" si="9"/>
        <v>#NUM!</v>
      </c>
      <c r="K92" s="98" t="e">
        <f t="shared" si="7"/>
        <v>#NUM!</v>
      </c>
      <c r="L92" s="98"/>
      <c r="M92" s="100">
        <f t="shared" si="8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6"/>
        <v/>
      </c>
      <c r="J93" s="98" t="e">
        <f t="shared" si="9"/>
        <v>#NUM!</v>
      </c>
      <c r="K93" s="98" t="e">
        <f t="shared" si="7"/>
        <v>#NUM!</v>
      </c>
      <c r="L93" s="98"/>
      <c r="M93" s="100">
        <f t="shared" si="8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6"/>
        <v/>
      </c>
      <c r="J94" s="98" t="e">
        <f t="shared" si="9"/>
        <v>#NUM!</v>
      </c>
      <c r="K94" s="98" t="e">
        <f t="shared" si="7"/>
        <v>#NUM!</v>
      </c>
      <c r="L94" s="98"/>
      <c r="M94" s="100">
        <f t="shared" si="8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6"/>
        <v/>
      </c>
      <c r="J95" s="98" t="e">
        <f t="shared" si="9"/>
        <v>#NUM!</v>
      </c>
      <c r="K95" s="98" t="e">
        <f t="shared" si="7"/>
        <v>#NUM!</v>
      </c>
      <c r="L95" s="98"/>
      <c r="M95" s="100">
        <f t="shared" si="8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6"/>
        <v/>
      </c>
      <c r="J96" s="98" t="e">
        <f t="shared" si="9"/>
        <v>#NUM!</v>
      </c>
      <c r="K96" s="98" t="e">
        <f t="shared" si="7"/>
        <v>#NUM!</v>
      </c>
      <c r="L96" s="98"/>
      <c r="M96" s="100">
        <f t="shared" si="8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6"/>
        <v/>
      </c>
      <c r="J97" s="98" t="e">
        <f t="shared" si="9"/>
        <v>#NUM!</v>
      </c>
      <c r="K97" s="98" t="e">
        <f t="shared" si="7"/>
        <v>#NUM!</v>
      </c>
      <c r="L97" s="98"/>
      <c r="M97" s="100">
        <f t="shared" si="8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6"/>
        <v/>
      </c>
      <c r="J98" s="98" t="e">
        <f t="shared" si="9"/>
        <v>#NUM!</v>
      </c>
      <c r="K98" s="98" t="e">
        <f t="shared" si="7"/>
        <v>#NUM!</v>
      </c>
      <c r="L98" s="98"/>
      <c r="M98" s="100">
        <f t="shared" si="8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6"/>
        <v/>
      </c>
      <c r="J99" s="98" t="e">
        <f t="shared" si="9"/>
        <v>#NUM!</v>
      </c>
      <c r="K99" s="98" t="e">
        <f t="shared" si="7"/>
        <v>#NUM!</v>
      </c>
      <c r="L99" s="98"/>
      <c r="M99" s="100">
        <f t="shared" si="8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6"/>
        <v/>
      </c>
      <c r="J100" s="98" t="e">
        <f t="shared" si="9"/>
        <v>#NUM!</v>
      </c>
      <c r="K100" s="98" t="e">
        <f t="shared" si="7"/>
        <v>#NUM!</v>
      </c>
      <c r="L100" s="98"/>
      <c r="M100" s="100">
        <f t="shared" si="8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6"/>
        <v/>
      </c>
      <c r="J101" s="98" t="e">
        <f t="shared" si="9"/>
        <v>#NUM!</v>
      </c>
      <c r="K101" s="98" t="e">
        <f t="shared" si="7"/>
        <v>#NUM!</v>
      </c>
      <c r="L101" s="98"/>
      <c r="M101" s="100">
        <f t="shared" si="8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6"/>
        <v/>
      </c>
      <c r="J102" s="98" t="e">
        <f t="shared" si="9"/>
        <v>#NUM!</v>
      </c>
      <c r="K102" s="98" t="e">
        <f t="shared" si="7"/>
        <v>#NUM!</v>
      </c>
      <c r="L102" s="98"/>
      <c r="M102" s="100">
        <f t="shared" si="8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6"/>
        <v/>
      </c>
      <c r="J103" s="98" t="e">
        <f t="shared" si="9"/>
        <v>#NUM!</v>
      </c>
      <c r="K103" s="98" t="e">
        <f t="shared" si="7"/>
        <v>#NUM!</v>
      </c>
      <c r="L103" s="98"/>
      <c r="M103" s="100">
        <f t="shared" si="8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6"/>
        <v/>
      </c>
      <c r="J104" s="98" t="e">
        <f t="shared" si="9"/>
        <v>#NUM!</v>
      </c>
      <c r="K104" s="98" t="e">
        <f t="shared" si="7"/>
        <v>#NUM!</v>
      </c>
      <c r="L104" s="98"/>
      <c r="M104" s="100">
        <f t="shared" si="8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6"/>
        <v/>
      </c>
      <c r="J105" s="98" t="e">
        <f t="shared" si="9"/>
        <v>#NUM!</v>
      </c>
      <c r="K105" s="98" t="e">
        <f t="shared" si="7"/>
        <v>#NUM!</v>
      </c>
      <c r="L105" s="98"/>
      <c r="M105" s="100">
        <f t="shared" si="8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6"/>
        <v/>
      </c>
      <c r="J106" s="98" t="e">
        <f t="shared" si="9"/>
        <v>#NUM!</v>
      </c>
      <c r="K106" s="98" t="e">
        <f t="shared" si="7"/>
        <v>#NUM!</v>
      </c>
      <c r="L106" s="98"/>
      <c r="M106" s="100">
        <f t="shared" si="8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6"/>
        <v/>
      </c>
      <c r="J107" s="98" t="e">
        <f t="shared" si="9"/>
        <v>#NUM!</v>
      </c>
      <c r="K107" s="98" t="e">
        <f t="shared" si="7"/>
        <v>#NUM!</v>
      </c>
      <c r="L107" s="98"/>
      <c r="M107" s="100">
        <f t="shared" si="8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6"/>
        <v/>
      </c>
      <c r="J108" s="98" t="e">
        <f t="shared" si="9"/>
        <v>#NUM!</v>
      </c>
      <c r="K108" s="98" t="e">
        <f t="shared" si="7"/>
        <v>#NUM!</v>
      </c>
      <c r="L108" s="98"/>
      <c r="M108" s="100">
        <f t="shared" si="8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6"/>
        <v/>
      </c>
      <c r="J109" s="98" t="e">
        <f t="shared" si="9"/>
        <v>#NUM!</v>
      </c>
      <c r="K109" s="98" t="e">
        <f t="shared" si="7"/>
        <v>#NUM!</v>
      </c>
      <c r="L109" s="98"/>
      <c r="M109" s="100">
        <f t="shared" si="8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6"/>
        <v/>
      </c>
      <c r="J110" s="98" t="e">
        <f t="shared" si="9"/>
        <v>#NUM!</v>
      </c>
      <c r="K110" s="98" t="e">
        <f t="shared" si="7"/>
        <v>#NUM!</v>
      </c>
      <c r="L110" s="98"/>
      <c r="M110" s="100">
        <f t="shared" si="8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6"/>
        <v/>
      </c>
      <c r="J111" s="98" t="e">
        <f t="shared" si="9"/>
        <v>#NUM!</v>
      </c>
      <c r="K111" s="98" t="e">
        <f t="shared" si="7"/>
        <v>#NUM!</v>
      </c>
      <c r="L111" s="98"/>
      <c r="M111" s="100">
        <f t="shared" si="8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6"/>
        <v/>
      </c>
      <c r="J112" s="98" t="e">
        <f t="shared" si="9"/>
        <v>#NUM!</v>
      </c>
      <c r="K112" s="98" t="e">
        <f t="shared" si="7"/>
        <v>#NUM!</v>
      </c>
      <c r="L112" s="98"/>
      <c r="M112" s="100">
        <f t="shared" si="8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6"/>
        <v/>
      </c>
      <c r="J113" s="98" t="e">
        <f t="shared" si="9"/>
        <v>#NUM!</v>
      </c>
      <c r="K113" s="98" t="e">
        <f t="shared" si="7"/>
        <v>#NUM!</v>
      </c>
      <c r="L113" s="98"/>
      <c r="M113" s="100">
        <f t="shared" si="8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6"/>
        <v/>
      </c>
      <c r="J114" s="98" t="e">
        <f t="shared" si="9"/>
        <v>#NUM!</v>
      </c>
      <c r="K114" s="98" t="e">
        <f t="shared" si="7"/>
        <v>#NUM!</v>
      </c>
      <c r="L114" s="98"/>
      <c r="M114" s="100">
        <f t="shared" si="8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6"/>
        <v/>
      </c>
      <c r="J115" s="98" t="e">
        <f t="shared" si="9"/>
        <v>#NUM!</v>
      </c>
      <c r="K115" s="98" t="e">
        <f t="shared" si="7"/>
        <v>#NUM!</v>
      </c>
      <c r="L115" s="98"/>
      <c r="M115" s="100">
        <f t="shared" si="8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6"/>
        <v/>
      </c>
      <c r="J116" s="98" t="e">
        <f t="shared" si="9"/>
        <v>#NUM!</v>
      </c>
      <c r="K116" s="98" t="e">
        <f t="shared" si="7"/>
        <v>#NUM!</v>
      </c>
      <c r="L116" s="98"/>
      <c r="M116" s="100">
        <f t="shared" si="8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6"/>
        <v/>
      </c>
      <c r="J117" s="98" t="e">
        <f t="shared" si="9"/>
        <v>#NUM!</v>
      </c>
      <c r="K117" s="98" t="e">
        <f t="shared" si="7"/>
        <v>#NUM!</v>
      </c>
      <c r="L117" s="98"/>
      <c r="M117" s="100">
        <f t="shared" si="8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6"/>
        <v/>
      </c>
      <c r="J118" s="98" t="e">
        <f t="shared" si="9"/>
        <v>#NUM!</v>
      </c>
      <c r="K118" s="98" t="e">
        <f t="shared" si="7"/>
        <v>#NUM!</v>
      </c>
      <c r="L118" s="98"/>
      <c r="M118" s="100">
        <f t="shared" si="8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6"/>
        <v/>
      </c>
      <c r="J119" s="98" t="e">
        <f t="shared" si="9"/>
        <v>#NUM!</v>
      </c>
      <c r="K119" s="98" t="e">
        <f t="shared" si="7"/>
        <v>#NUM!</v>
      </c>
      <c r="L119" s="98"/>
      <c r="M119" s="100">
        <f t="shared" si="8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6"/>
        <v/>
      </c>
      <c r="J120" s="98" t="e">
        <f t="shared" si="9"/>
        <v>#NUM!</v>
      </c>
      <c r="K120" s="98" t="e">
        <f t="shared" si="7"/>
        <v>#NUM!</v>
      </c>
      <c r="L120" s="98"/>
      <c r="M120" s="100">
        <f t="shared" si="8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6"/>
        <v/>
      </c>
      <c r="J121" s="98" t="e">
        <f t="shared" si="9"/>
        <v>#NUM!</v>
      </c>
      <c r="K121" s="98" t="e">
        <f t="shared" si="7"/>
        <v>#NUM!</v>
      </c>
      <c r="L121" s="98"/>
      <c r="M121" s="100">
        <f t="shared" si="8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6"/>
        <v/>
      </c>
      <c r="J122" s="98" t="e">
        <f t="shared" si="9"/>
        <v>#NUM!</v>
      </c>
      <c r="K122" s="98" t="e">
        <f t="shared" si="7"/>
        <v>#NUM!</v>
      </c>
      <c r="L122" s="98"/>
      <c r="M122" s="100">
        <f t="shared" si="8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6"/>
        <v/>
      </c>
      <c r="J123" s="98" t="e">
        <f t="shared" si="9"/>
        <v>#NUM!</v>
      </c>
      <c r="K123" s="98" t="e">
        <f t="shared" si="7"/>
        <v>#NUM!</v>
      </c>
      <c r="L123" s="98"/>
      <c r="M123" s="100">
        <f t="shared" si="8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6"/>
        <v/>
      </c>
      <c r="J124" s="98" t="e">
        <f t="shared" si="9"/>
        <v>#NUM!</v>
      </c>
      <c r="K124" s="98" t="e">
        <f t="shared" si="7"/>
        <v>#NUM!</v>
      </c>
      <c r="L124" s="98"/>
      <c r="M124" s="100">
        <f t="shared" si="8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6"/>
        <v/>
      </c>
      <c r="J125" s="98" t="e">
        <f t="shared" si="9"/>
        <v>#NUM!</v>
      </c>
      <c r="K125" s="98" t="e">
        <f t="shared" si="7"/>
        <v>#NUM!</v>
      </c>
      <c r="L125" s="98"/>
      <c r="M125" s="100">
        <f t="shared" si="8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6"/>
        <v/>
      </c>
      <c r="J126" s="98" t="e">
        <f t="shared" si="9"/>
        <v>#NUM!</v>
      </c>
      <c r="K126" s="98" t="e">
        <f t="shared" si="7"/>
        <v>#NUM!</v>
      </c>
      <c r="L126" s="98"/>
      <c r="M126" s="100">
        <f t="shared" si="8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6"/>
        <v/>
      </c>
      <c r="J127" s="98" t="e">
        <f t="shared" si="9"/>
        <v>#NUM!</v>
      </c>
      <c r="K127" s="98" t="e">
        <f t="shared" si="7"/>
        <v>#NUM!</v>
      </c>
      <c r="L127" s="98"/>
      <c r="M127" s="100">
        <f t="shared" si="8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6"/>
        <v/>
      </c>
      <c r="J128" s="98" t="e">
        <f t="shared" si="9"/>
        <v>#NUM!</v>
      </c>
      <c r="K128" s="98" t="e">
        <f t="shared" si="7"/>
        <v>#NUM!</v>
      </c>
      <c r="L128" s="98"/>
      <c r="M128" s="100">
        <f t="shared" si="8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6"/>
        <v/>
      </c>
      <c r="J129" s="98" t="e">
        <f t="shared" si="9"/>
        <v>#NUM!</v>
      </c>
      <c r="K129" s="98" t="e">
        <f t="shared" si="7"/>
        <v>#NUM!</v>
      </c>
      <c r="L129" s="98"/>
      <c r="M129" s="100">
        <f t="shared" si="8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6"/>
        <v/>
      </c>
      <c r="J130" s="98" t="e">
        <f t="shared" si="9"/>
        <v>#NUM!</v>
      </c>
      <c r="K130" s="98" t="e">
        <f t="shared" si="7"/>
        <v>#NUM!</v>
      </c>
      <c r="L130" s="98"/>
      <c r="M130" s="100">
        <f t="shared" si="8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6"/>
        <v/>
      </c>
      <c r="J131" s="98" t="e">
        <f t="shared" si="9"/>
        <v>#NUM!</v>
      </c>
      <c r="K131" s="98" t="e">
        <f t="shared" si="7"/>
        <v>#NUM!</v>
      </c>
      <c r="L131" s="98"/>
      <c r="M131" s="100">
        <f t="shared" si="8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6"/>
        <v/>
      </c>
      <c r="J132" s="98" t="e">
        <f t="shared" si="9"/>
        <v>#NUM!</v>
      </c>
      <c r="K132" s="98" t="e">
        <f t="shared" si="7"/>
        <v>#NUM!</v>
      </c>
      <c r="L132" s="98"/>
      <c r="M132" s="100">
        <f t="shared" si="8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6"/>
        <v/>
      </c>
      <c r="J133" s="98" t="e">
        <f t="shared" si="9"/>
        <v>#NUM!</v>
      </c>
      <c r="K133" s="98" t="e">
        <f t="shared" si="7"/>
        <v>#NUM!</v>
      </c>
      <c r="L133" s="98"/>
      <c r="M133" s="100">
        <f t="shared" si="8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0">IF(H134&lt;$H$2+1,($I$2-($I$2-1)*(LOG(H134)/LOG($H$2))),"")</f>
        <v/>
      </c>
      <c r="J134" s="98" t="e">
        <f t="shared" si="9"/>
        <v>#NUM!</v>
      </c>
      <c r="K134" s="98" t="e">
        <f t="shared" ref="K134:K197" si="11">J134*$J$2</f>
        <v>#NUM!</v>
      </c>
      <c r="L134" s="98"/>
      <c r="M134" s="100">
        <f t="shared" ref="M134:M197" si="12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0"/>
        <v/>
      </c>
      <c r="J135" s="98" t="e">
        <f t="shared" si="9"/>
        <v>#NUM!</v>
      </c>
      <c r="K135" s="98" t="e">
        <f t="shared" si="11"/>
        <v>#NUM!</v>
      </c>
      <c r="L135" s="98"/>
      <c r="M135" s="100">
        <f t="shared" si="12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0"/>
        <v/>
      </c>
      <c r="J136" s="98" t="e">
        <f t="shared" si="9"/>
        <v>#NUM!</v>
      </c>
      <c r="K136" s="98" t="e">
        <f t="shared" si="11"/>
        <v>#NUM!</v>
      </c>
      <c r="L136" s="98"/>
      <c r="M136" s="100">
        <f t="shared" si="12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0"/>
        <v/>
      </c>
      <c r="J137" s="98" t="e">
        <f t="shared" si="9"/>
        <v>#NUM!</v>
      </c>
      <c r="K137" s="98" t="e">
        <f t="shared" si="11"/>
        <v>#NUM!</v>
      </c>
      <c r="L137" s="98"/>
      <c r="M137" s="100">
        <f t="shared" si="12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0"/>
        <v/>
      </c>
      <c r="J138" s="98" t="e">
        <f t="shared" ref="J138:J201" si="13">INT(LOG($H$2,2))-ROUNDUP(LOG(H138,2),0)+IF(OR($H$2=1,$H$2=2,$H$2=4,$H$2=8,$H$2=16,$H$2=32,$H$2=64,$H$2=128,$H$2=256),0,1)</f>
        <v>#NUM!</v>
      </c>
      <c r="K138" s="98" t="e">
        <f t="shared" si="11"/>
        <v>#NUM!</v>
      </c>
      <c r="L138" s="98"/>
      <c r="M138" s="100">
        <f t="shared" si="12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0"/>
        <v/>
      </c>
      <c r="J139" s="98" t="e">
        <f t="shared" si="13"/>
        <v>#NUM!</v>
      </c>
      <c r="K139" s="98" t="e">
        <f t="shared" si="11"/>
        <v>#NUM!</v>
      </c>
      <c r="L139" s="98"/>
      <c r="M139" s="100">
        <f t="shared" si="12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0"/>
        <v/>
      </c>
      <c r="J140" s="98" t="e">
        <f t="shared" si="13"/>
        <v>#NUM!</v>
      </c>
      <c r="K140" s="98" t="e">
        <f t="shared" si="11"/>
        <v>#NUM!</v>
      </c>
      <c r="L140" s="98"/>
      <c r="M140" s="100">
        <f t="shared" si="12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0"/>
        <v/>
      </c>
      <c r="J141" s="98" t="e">
        <f t="shared" si="13"/>
        <v>#NUM!</v>
      </c>
      <c r="K141" s="98" t="e">
        <f t="shared" si="11"/>
        <v>#NUM!</v>
      </c>
      <c r="L141" s="98"/>
      <c r="M141" s="100">
        <f t="shared" si="12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0"/>
        <v/>
      </c>
      <c r="J142" s="98" t="e">
        <f t="shared" si="13"/>
        <v>#NUM!</v>
      </c>
      <c r="K142" s="98" t="e">
        <f t="shared" si="11"/>
        <v>#NUM!</v>
      </c>
      <c r="L142" s="98"/>
      <c r="M142" s="100">
        <f t="shared" si="12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0"/>
        <v/>
      </c>
      <c r="J143" s="98" t="e">
        <f t="shared" si="13"/>
        <v>#NUM!</v>
      </c>
      <c r="K143" s="98" t="e">
        <f t="shared" si="11"/>
        <v>#NUM!</v>
      </c>
      <c r="L143" s="98"/>
      <c r="M143" s="100">
        <f t="shared" si="12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0"/>
        <v/>
      </c>
      <c r="J144" s="98" t="e">
        <f t="shared" si="13"/>
        <v>#NUM!</v>
      </c>
      <c r="K144" s="98" t="e">
        <f t="shared" si="11"/>
        <v>#NUM!</v>
      </c>
      <c r="L144" s="98"/>
      <c r="M144" s="100">
        <f t="shared" si="12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0"/>
        <v/>
      </c>
      <c r="J145" s="98" t="e">
        <f t="shared" si="13"/>
        <v>#NUM!</v>
      </c>
      <c r="K145" s="98" t="e">
        <f t="shared" si="11"/>
        <v>#NUM!</v>
      </c>
      <c r="L145" s="98"/>
      <c r="M145" s="100">
        <f t="shared" si="12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0"/>
        <v/>
      </c>
      <c r="J146" s="98" t="e">
        <f t="shared" si="13"/>
        <v>#NUM!</v>
      </c>
      <c r="K146" s="98" t="e">
        <f t="shared" si="11"/>
        <v>#NUM!</v>
      </c>
      <c r="L146" s="98"/>
      <c r="M146" s="100">
        <f t="shared" si="12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0"/>
        <v/>
      </c>
      <c r="J147" s="98" t="e">
        <f t="shared" si="13"/>
        <v>#NUM!</v>
      </c>
      <c r="K147" s="98" t="e">
        <f t="shared" si="11"/>
        <v>#NUM!</v>
      </c>
      <c r="L147" s="98"/>
      <c r="M147" s="100">
        <f t="shared" si="12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0"/>
        <v/>
      </c>
      <c r="J148" s="98" t="e">
        <f t="shared" si="13"/>
        <v>#NUM!</v>
      </c>
      <c r="K148" s="98" t="e">
        <f t="shared" si="11"/>
        <v>#NUM!</v>
      </c>
      <c r="L148" s="98"/>
      <c r="M148" s="100">
        <f t="shared" si="12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0"/>
        <v/>
      </c>
      <c r="J149" s="98" t="e">
        <f t="shared" si="13"/>
        <v>#NUM!</v>
      </c>
      <c r="K149" s="98" t="e">
        <f t="shared" si="11"/>
        <v>#NUM!</v>
      </c>
      <c r="L149" s="98"/>
      <c r="M149" s="100">
        <f t="shared" si="12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0"/>
        <v/>
      </c>
      <c r="J150" s="98" t="e">
        <f t="shared" si="13"/>
        <v>#NUM!</v>
      </c>
      <c r="K150" s="98" t="e">
        <f t="shared" si="11"/>
        <v>#NUM!</v>
      </c>
      <c r="L150" s="98"/>
      <c r="M150" s="100">
        <f t="shared" si="12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0"/>
        <v/>
      </c>
      <c r="J151" s="98" t="e">
        <f t="shared" si="13"/>
        <v>#NUM!</v>
      </c>
      <c r="K151" s="98" t="e">
        <f t="shared" si="11"/>
        <v>#NUM!</v>
      </c>
      <c r="L151" s="98"/>
      <c r="M151" s="100">
        <f t="shared" si="12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0"/>
        <v/>
      </c>
      <c r="J152" s="98" t="e">
        <f t="shared" si="13"/>
        <v>#NUM!</v>
      </c>
      <c r="K152" s="98" t="e">
        <f t="shared" si="11"/>
        <v>#NUM!</v>
      </c>
      <c r="L152" s="98"/>
      <c r="M152" s="100">
        <f t="shared" si="12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0"/>
        <v/>
      </c>
      <c r="J153" s="98" t="e">
        <f t="shared" si="13"/>
        <v>#NUM!</v>
      </c>
      <c r="K153" s="98" t="e">
        <f t="shared" si="11"/>
        <v>#NUM!</v>
      </c>
      <c r="L153" s="98"/>
      <c r="M153" s="100">
        <f t="shared" si="12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0"/>
        <v/>
      </c>
      <c r="J154" s="98" t="e">
        <f t="shared" si="13"/>
        <v>#NUM!</v>
      </c>
      <c r="K154" s="98" t="e">
        <f t="shared" si="11"/>
        <v>#NUM!</v>
      </c>
      <c r="L154" s="98"/>
      <c r="M154" s="100">
        <f t="shared" si="12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0"/>
        <v/>
      </c>
      <c r="J155" s="98" t="e">
        <f t="shared" si="13"/>
        <v>#NUM!</v>
      </c>
      <c r="K155" s="98" t="e">
        <f t="shared" si="11"/>
        <v>#NUM!</v>
      </c>
      <c r="L155" s="98"/>
      <c r="M155" s="100">
        <f t="shared" si="12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0"/>
        <v/>
      </c>
      <c r="J156" s="98" t="e">
        <f t="shared" si="13"/>
        <v>#NUM!</v>
      </c>
      <c r="K156" s="98" t="e">
        <f t="shared" si="11"/>
        <v>#NUM!</v>
      </c>
      <c r="L156" s="98"/>
      <c r="M156" s="100">
        <f t="shared" si="12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0"/>
        <v/>
      </c>
      <c r="J157" s="98" t="e">
        <f t="shared" si="13"/>
        <v>#NUM!</v>
      </c>
      <c r="K157" s="98" t="e">
        <f t="shared" si="11"/>
        <v>#NUM!</v>
      </c>
      <c r="L157" s="98"/>
      <c r="M157" s="100">
        <f t="shared" si="12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0"/>
        <v/>
      </c>
      <c r="J158" s="98" t="e">
        <f t="shared" si="13"/>
        <v>#NUM!</v>
      </c>
      <c r="K158" s="98" t="e">
        <f t="shared" si="11"/>
        <v>#NUM!</v>
      </c>
      <c r="L158" s="98"/>
      <c r="M158" s="100">
        <f t="shared" si="12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0"/>
        <v/>
      </c>
      <c r="J159" s="98" t="e">
        <f t="shared" si="13"/>
        <v>#NUM!</v>
      </c>
      <c r="K159" s="98" t="e">
        <f t="shared" si="11"/>
        <v>#NUM!</v>
      </c>
      <c r="L159" s="98"/>
      <c r="M159" s="100">
        <f t="shared" si="12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0"/>
        <v/>
      </c>
      <c r="J160" s="98" t="e">
        <f t="shared" si="13"/>
        <v>#NUM!</v>
      </c>
      <c r="K160" s="98" t="e">
        <f t="shared" si="11"/>
        <v>#NUM!</v>
      </c>
      <c r="L160" s="98"/>
      <c r="M160" s="100">
        <f t="shared" si="12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0"/>
        <v/>
      </c>
      <c r="J161" s="98" t="e">
        <f t="shared" si="13"/>
        <v>#NUM!</v>
      </c>
      <c r="K161" s="98" t="e">
        <f t="shared" si="11"/>
        <v>#NUM!</v>
      </c>
      <c r="L161" s="98"/>
      <c r="M161" s="100">
        <f t="shared" si="12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0"/>
        <v/>
      </c>
      <c r="J162" s="98" t="e">
        <f t="shared" si="13"/>
        <v>#NUM!</v>
      </c>
      <c r="K162" s="98" t="e">
        <f t="shared" si="11"/>
        <v>#NUM!</v>
      </c>
      <c r="L162" s="98"/>
      <c r="M162" s="100">
        <f t="shared" si="12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0"/>
        <v/>
      </c>
      <c r="J163" s="98" t="e">
        <f t="shared" si="13"/>
        <v>#NUM!</v>
      </c>
      <c r="K163" s="98" t="e">
        <f t="shared" si="11"/>
        <v>#NUM!</v>
      </c>
      <c r="L163" s="98"/>
      <c r="M163" s="100">
        <f t="shared" si="12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0"/>
        <v/>
      </c>
      <c r="J164" s="98" t="e">
        <f t="shared" si="13"/>
        <v>#NUM!</v>
      </c>
      <c r="K164" s="98" t="e">
        <f t="shared" si="11"/>
        <v>#NUM!</v>
      </c>
      <c r="L164" s="98"/>
      <c r="M164" s="100">
        <f t="shared" si="12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0"/>
        <v/>
      </c>
      <c r="J165" s="98" t="e">
        <f t="shared" si="13"/>
        <v>#NUM!</v>
      </c>
      <c r="K165" s="98" t="e">
        <f t="shared" si="11"/>
        <v>#NUM!</v>
      </c>
      <c r="L165" s="98"/>
      <c r="M165" s="100">
        <f t="shared" si="12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0"/>
        <v/>
      </c>
      <c r="J166" s="98" t="e">
        <f t="shared" si="13"/>
        <v>#NUM!</v>
      </c>
      <c r="K166" s="98" t="e">
        <f t="shared" si="11"/>
        <v>#NUM!</v>
      </c>
      <c r="L166" s="98"/>
      <c r="M166" s="100">
        <f t="shared" si="12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0"/>
        <v/>
      </c>
      <c r="J167" s="98" t="e">
        <f t="shared" si="13"/>
        <v>#NUM!</v>
      </c>
      <c r="K167" s="98" t="e">
        <f t="shared" si="11"/>
        <v>#NUM!</v>
      </c>
      <c r="L167" s="98"/>
      <c r="M167" s="100">
        <f t="shared" si="12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0"/>
        <v/>
      </c>
      <c r="J168" s="98" t="e">
        <f t="shared" si="13"/>
        <v>#NUM!</v>
      </c>
      <c r="K168" s="98" t="e">
        <f t="shared" si="11"/>
        <v>#NUM!</v>
      </c>
      <c r="L168" s="98"/>
      <c r="M168" s="100">
        <f t="shared" si="12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0"/>
        <v/>
      </c>
      <c r="J169" s="98" t="e">
        <f t="shared" si="13"/>
        <v>#NUM!</v>
      </c>
      <c r="K169" s="98" t="e">
        <f t="shared" si="11"/>
        <v>#NUM!</v>
      </c>
      <c r="L169" s="98"/>
      <c r="M169" s="100">
        <f t="shared" si="12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0"/>
        <v/>
      </c>
      <c r="J170" s="98" t="e">
        <f t="shared" si="13"/>
        <v>#NUM!</v>
      </c>
      <c r="K170" s="98" t="e">
        <f t="shared" si="11"/>
        <v>#NUM!</v>
      </c>
      <c r="L170" s="98"/>
      <c r="M170" s="100">
        <f t="shared" si="12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0"/>
        <v/>
      </c>
      <c r="J171" s="98" t="e">
        <f t="shared" si="13"/>
        <v>#NUM!</v>
      </c>
      <c r="K171" s="98" t="e">
        <f t="shared" si="11"/>
        <v>#NUM!</v>
      </c>
      <c r="L171" s="98"/>
      <c r="M171" s="100">
        <f t="shared" si="12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0"/>
        <v/>
      </c>
      <c r="J172" s="98" t="e">
        <f t="shared" si="13"/>
        <v>#NUM!</v>
      </c>
      <c r="K172" s="98" t="e">
        <f t="shared" si="11"/>
        <v>#NUM!</v>
      </c>
      <c r="L172" s="98"/>
      <c r="M172" s="100">
        <f t="shared" si="12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0"/>
        <v/>
      </c>
      <c r="J173" s="98" t="e">
        <f t="shared" si="13"/>
        <v>#NUM!</v>
      </c>
      <c r="K173" s="98" t="e">
        <f t="shared" si="11"/>
        <v>#NUM!</v>
      </c>
      <c r="L173" s="98"/>
      <c r="M173" s="100">
        <f t="shared" si="12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0"/>
        <v/>
      </c>
      <c r="J174" s="98" t="e">
        <f t="shared" si="13"/>
        <v>#NUM!</v>
      </c>
      <c r="K174" s="98" t="e">
        <f t="shared" si="11"/>
        <v>#NUM!</v>
      </c>
      <c r="L174" s="98"/>
      <c r="M174" s="100">
        <f t="shared" si="12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0"/>
        <v/>
      </c>
      <c r="J175" s="98" t="e">
        <f t="shared" si="13"/>
        <v>#NUM!</v>
      </c>
      <c r="K175" s="98" t="e">
        <f t="shared" si="11"/>
        <v>#NUM!</v>
      </c>
      <c r="L175" s="98"/>
      <c r="M175" s="100">
        <f t="shared" si="12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0"/>
        <v/>
      </c>
      <c r="J176" s="98" t="e">
        <f t="shared" si="13"/>
        <v>#NUM!</v>
      </c>
      <c r="K176" s="98" t="e">
        <f t="shared" si="11"/>
        <v>#NUM!</v>
      </c>
      <c r="L176" s="98"/>
      <c r="M176" s="100">
        <f t="shared" si="12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0"/>
        <v/>
      </c>
      <c r="J177" s="98" t="e">
        <f t="shared" si="13"/>
        <v>#NUM!</v>
      </c>
      <c r="K177" s="98" t="e">
        <f t="shared" si="11"/>
        <v>#NUM!</v>
      </c>
      <c r="L177" s="98"/>
      <c r="M177" s="100">
        <f t="shared" si="12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0"/>
        <v/>
      </c>
      <c r="J178" s="98" t="e">
        <f t="shared" si="13"/>
        <v>#NUM!</v>
      </c>
      <c r="K178" s="98" t="e">
        <f t="shared" si="11"/>
        <v>#NUM!</v>
      </c>
      <c r="L178" s="98"/>
      <c r="M178" s="100">
        <f t="shared" si="12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0"/>
        <v/>
      </c>
      <c r="J179" s="98" t="e">
        <f t="shared" si="13"/>
        <v>#NUM!</v>
      </c>
      <c r="K179" s="98" t="e">
        <f t="shared" si="11"/>
        <v>#NUM!</v>
      </c>
      <c r="L179" s="98"/>
      <c r="M179" s="100">
        <f t="shared" si="12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0"/>
        <v/>
      </c>
      <c r="J180" s="98" t="e">
        <f t="shared" si="13"/>
        <v>#NUM!</v>
      </c>
      <c r="K180" s="98" t="e">
        <f t="shared" si="11"/>
        <v>#NUM!</v>
      </c>
      <c r="L180" s="98"/>
      <c r="M180" s="100">
        <f t="shared" si="12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0"/>
        <v/>
      </c>
      <c r="J181" s="98" t="e">
        <f t="shared" si="13"/>
        <v>#NUM!</v>
      </c>
      <c r="K181" s="98" t="e">
        <f t="shared" si="11"/>
        <v>#NUM!</v>
      </c>
      <c r="L181" s="98"/>
      <c r="M181" s="100">
        <f t="shared" si="12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0"/>
        <v/>
      </c>
      <c r="J182" s="98" t="e">
        <f t="shared" si="13"/>
        <v>#NUM!</v>
      </c>
      <c r="K182" s="98" t="e">
        <f t="shared" si="11"/>
        <v>#NUM!</v>
      </c>
      <c r="L182" s="98"/>
      <c r="M182" s="100">
        <f t="shared" si="12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0"/>
        <v/>
      </c>
      <c r="J183" s="98" t="e">
        <f t="shared" si="13"/>
        <v>#NUM!</v>
      </c>
      <c r="K183" s="98" t="e">
        <f t="shared" si="11"/>
        <v>#NUM!</v>
      </c>
      <c r="L183" s="98"/>
      <c r="M183" s="100">
        <f t="shared" si="12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0"/>
        <v/>
      </c>
      <c r="J184" s="98" t="e">
        <f t="shared" si="13"/>
        <v>#NUM!</v>
      </c>
      <c r="K184" s="98" t="e">
        <f t="shared" si="11"/>
        <v>#NUM!</v>
      </c>
      <c r="L184" s="98"/>
      <c r="M184" s="100">
        <f t="shared" si="12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0"/>
        <v/>
      </c>
      <c r="J185" s="98" t="e">
        <f t="shared" si="13"/>
        <v>#NUM!</v>
      </c>
      <c r="K185" s="98" t="e">
        <f t="shared" si="11"/>
        <v>#NUM!</v>
      </c>
      <c r="L185" s="98"/>
      <c r="M185" s="100">
        <f t="shared" si="12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0"/>
        <v/>
      </c>
      <c r="J186" s="98" t="e">
        <f t="shared" si="13"/>
        <v>#NUM!</v>
      </c>
      <c r="K186" s="98" t="e">
        <f t="shared" si="11"/>
        <v>#NUM!</v>
      </c>
      <c r="L186" s="98"/>
      <c r="M186" s="100">
        <f t="shared" si="12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0"/>
        <v/>
      </c>
      <c r="J187" s="98" t="e">
        <f t="shared" si="13"/>
        <v>#NUM!</v>
      </c>
      <c r="K187" s="98" t="e">
        <f t="shared" si="11"/>
        <v>#NUM!</v>
      </c>
      <c r="L187" s="98"/>
      <c r="M187" s="100">
        <f t="shared" si="12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0"/>
        <v/>
      </c>
      <c r="J188" s="98" t="e">
        <f t="shared" si="13"/>
        <v>#NUM!</v>
      </c>
      <c r="K188" s="98" t="e">
        <f t="shared" si="11"/>
        <v>#NUM!</v>
      </c>
      <c r="L188" s="98"/>
      <c r="M188" s="100">
        <f t="shared" si="12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0"/>
        <v/>
      </c>
      <c r="J189" s="98" t="e">
        <f t="shared" si="13"/>
        <v>#NUM!</v>
      </c>
      <c r="K189" s="98" t="e">
        <f t="shared" si="11"/>
        <v>#NUM!</v>
      </c>
      <c r="L189" s="98"/>
      <c r="M189" s="100">
        <f t="shared" si="12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0"/>
        <v/>
      </c>
      <c r="J190" s="98" t="e">
        <f t="shared" si="13"/>
        <v>#NUM!</v>
      </c>
      <c r="K190" s="98" t="e">
        <f t="shared" si="11"/>
        <v>#NUM!</v>
      </c>
      <c r="L190" s="98"/>
      <c r="M190" s="100">
        <f t="shared" si="12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0"/>
        <v/>
      </c>
      <c r="J191" s="98" t="e">
        <f t="shared" si="13"/>
        <v>#NUM!</v>
      </c>
      <c r="K191" s="98" t="e">
        <f t="shared" si="11"/>
        <v>#NUM!</v>
      </c>
      <c r="L191" s="98"/>
      <c r="M191" s="100">
        <f t="shared" si="12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0"/>
        <v/>
      </c>
      <c r="J192" s="98" t="e">
        <f t="shared" si="13"/>
        <v>#NUM!</v>
      </c>
      <c r="K192" s="98" t="e">
        <f t="shared" si="11"/>
        <v>#NUM!</v>
      </c>
      <c r="L192" s="98"/>
      <c r="M192" s="100">
        <f t="shared" si="12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0"/>
        <v/>
      </c>
      <c r="J193" s="98" t="e">
        <f t="shared" si="13"/>
        <v>#NUM!</v>
      </c>
      <c r="K193" s="98" t="e">
        <f t="shared" si="11"/>
        <v>#NUM!</v>
      </c>
      <c r="L193" s="98"/>
      <c r="M193" s="100">
        <f t="shared" si="12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0"/>
        <v/>
      </c>
      <c r="J194" s="98" t="e">
        <f t="shared" si="13"/>
        <v>#NUM!</v>
      </c>
      <c r="K194" s="98" t="e">
        <f t="shared" si="11"/>
        <v>#NUM!</v>
      </c>
      <c r="L194" s="98"/>
      <c r="M194" s="100">
        <f t="shared" si="12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0"/>
        <v/>
      </c>
      <c r="J195" s="98" t="e">
        <f t="shared" si="13"/>
        <v>#NUM!</v>
      </c>
      <c r="K195" s="98" t="e">
        <f t="shared" si="11"/>
        <v>#NUM!</v>
      </c>
      <c r="L195" s="98"/>
      <c r="M195" s="100">
        <f t="shared" si="12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0"/>
        <v/>
      </c>
      <c r="J196" s="98" t="e">
        <f t="shared" si="13"/>
        <v>#NUM!</v>
      </c>
      <c r="K196" s="98" t="e">
        <f t="shared" si="11"/>
        <v>#NUM!</v>
      </c>
      <c r="L196" s="98"/>
      <c r="M196" s="100">
        <f t="shared" si="12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0"/>
        <v/>
      </c>
      <c r="J197" s="98" t="e">
        <f t="shared" si="13"/>
        <v>#NUM!</v>
      </c>
      <c r="K197" s="98" t="e">
        <f t="shared" si="11"/>
        <v>#NUM!</v>
      </c>
      <c r="L197" s="98"/>
      <c r="M197" s="100">
        <f t="shared" si="12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4">IF(H198&lt;$H$2+1,($I$2-($I$2-1)*(LOG(H198)/LOG($H$2))),"")</f>
        <v/>
      </c>
      <c r="J198" s="98" t="e">
        <f t="shared" si="13"/>
        <v>#NUM!</v>
      </c>
      <c r="K198" s="98" t="e">
        <f t="shared" ref="K198:K261" si="15">J198*$J$2</f>
        <v>#NUM!</v>
      </c>
      <c r="L198" s="98"/>
      <c r="M198" s="100">
        <f t="shared" ref="M198:M261" si="16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4"/>
        <v/>
      </c>
      <c r="J199" s="98" t="e">
        <f t="shared" si="13"/>
        <v>#NUM!</v>
      </c>
      <c r="K199" s="98" t="e">
        <f t="shared" si="15"/>
        <v>#NUM!</v>
      </c>
      <c r="L199" s="98"/>
      <c r="M199" s="100">
        <f t="shared" si="16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4"/>
        <v/>
      </c>
      <c r="J200" s="98" t="e">
        <f t="shared" si="13"/>
        <v>#NUM!</v>
      </c>
      <c r="K200" s="98" t="e">
        <f t="shared" si="15"/>
        <v>#NUM!</v>
      </c>
      <c r="L200" s="98"/>
      <c r="M200" s="100">
        <f t="shared" si="16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4"/>
        <v/>
      </c>
      <c r="J201" s="98" t="e">
        <f t="shared" si="13"/>
        <v>#NUM!</v>
      </c>
      <c r="K201" s="98" t="e">
        <f t="shared" si="15"/>
        <v>#NUM!</v>
      </c>
      <c r="L201" s="98"/>
      <c r="M201" s="100">
        <f t="shared" si="16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4"/>
        <v/>
      </c>
      <c r="J202" s="98" t="e">
        <f t="shared" ref="J202:J265" si="17">INT(LOG($H$2,2))-ROUNDUP(LOG(H202,2),0)+IF(OR($H$2=1,$H$2=2,$H$2=4,$H$2=8,$H$2=16,$H$2=32,$H$2=64,$H$2=128,$H$2=256),0,1)</f>
        <v>#NUM!</v>
      </c>
      <c r="K202" s="98" t="e">
        <f t="shared" si="15"/>
        <v>#NUM!</v>
      </c>
      <c r="L202" s="98"/>
      <c r="M202" s="100">
        <f t="shared" si="16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4"/>
        <v/>
      </c>
      <c r="J203" s="98" t="e">
        <f t="shared" si="17"/>
        <v>#NUM!</v>
      </c>
      <c r="K203" s="98" t="e">
        <f t="shared" si="15"/>
        <v>#NUM!</v>
      </c>
      <c r="L203" s="98"/>
      <c r="M203" s="100">
        <f t="shared" si="16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4"/>
        <v/>
      </c>
      <c r="J204" s="98" t="e">
        <f t="shared" si="17"/>
        <v>#NUM!</v>
      </c>
      <c r="K204" s="98" t="e">
        <f t="shared" si="15"/>
        <v>#NUM!</v>
      </c>
      <c r="L204" s="98"/>
      <c r="M204" s="100">
        <f t="shared" si="16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4"/>
        <v/>
      </c>
      <c r="J205" s="98" t="e">
        <f t="shared" si="17"/>
        <v>#NUM!</v>
      </c>
      <c r="K205" s="98" t="e">
        <f t="shared" si="15"/>
        <v>#NUM!</v>
      </c>
      <c r="L205" s="98"/>
      <c r="M205" s="100">
        <f t="shared" si="16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4"/>
        <v/>
      </c>
      <c r="J206" s="98" t="e">
        <f t="shared" si="17"/>
        <v>#NUM!</v>
      </c>
      <c r="K206" s="98" t="e">
        <f t="shared" si="15"/>
        <v>#NUM!</v>
      </c>
      <c r="L206" s="98"/>
      <c r="M206" s="100">
        <f t="shared" si="16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4"/>
        <v/>
      </c>
      <c r="J207" s="98" t="e">
        <f t="shared" si="17"/>
        <v>#NUM!</v>
      </c>
      <c r="K207" s="98" t="e">
        <f t="shared" si="15"/>
        <v>#NUM!</v>
      </c>
      <c r="L207" s="98"/>
      <c r="M207" s="100">
        <f t="shared" si="16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4"/>
        <v/>
      </c>
      <c r="J208" s="98" t="e">
        <f t="shared" si="17"/>
        <v>#NUM!</v>
      </c>
      <c r="K208" s="98" t="e">
        <f t="shared" si="15"/>
        <v>#NUM!</v>
      </c>
      <c r="L208" s="98"/>
      <c r="M208" s="100">
        <f t="shared" si="16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4"/>
        <v/>
      </c>
      <c r="J209" s="98" t="e">
        <f t="shared" si="17"/>
        <v>#NUM!</v>
      </c>
      <c r="K209" s="98" t="e">
        <f t="shared" si="15"/>
        <v>#NUM!</v>
      </c>
      <c r="L209" s="98"/>
      <c r="M209" s="100">
        <f t="shared" si="16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4"/>
        <v/>
      </c>
      <c r="J210" s="98" t="e">
        <f t="shared" si="17"/>
        <v>#NUM!</v>
      </c>
      <c r="K210" s="98" t="e">
        <f t="shared" si="15"/>
        <v>#NUM!</v>
      </c>
      <c r="L210" s="98"/>
      <c r="M210" s="100">
        <f t="shared" si="16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4"/>
        <v/>
      </c>
      <c r="J211" s="98" t="e">
        <f t="shared" si="17"/>
        <v>#NUM!</v>
      </c>
      <c r="K211" s="98" t="e">
        <f t="shared" si="15"/>
        <v>#NUM!</v>
      </c>
      <c r="L211" s="98"/>
      <c r="M211" s="100">
        <f t="shared" si="16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4"/>
        <v/>
      </c>
      <c r="J212" s="98" t="e">
        <f t="shared" si="17"/>
        <v>#NUM!</v>
      </c>
      <c r="K212" s="98" t="e">
        <f t="shared" si="15"/>
        <v>#NUM!</v>
      </c>
      <c r="L212" s="98"/>
      <c r="M212" s="100">
        <f t="shared" si="16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4"/>
        <v/>
      </c>
      <c r="J213" s="98" t="e">
        <f t="shared" si="17"/>
        <v>#NUM!</v>
      </c>
      <c r="K213" s="98" t="e">
        <f t="shared" si="15"/>
        <v>#NUM!</v>
      </c>
      <c r="L213" s="98"/>
      <c r="M213" s="100">
        <f t="shared" si="16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4"/>
        <v/>
      </c>
      <c r="J214" s="98" t="e">
        <f t="shared" si="17"/>
        <v>#NUM!</v>
      </c>
      <c r="K214" s="98" t="e">
        <f t="shared" si="15"/>
        <v>#NUM!</v>
      </c>
      <c r="L214" s="98"/>
      <c r="M214" s="100">
        <f t="shared" si="16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4"/>
        <v/>
      </c>
      <c r="J215" s="98" t="e">
        <f t="shared" si="17"/>
        <v>#NUM!</v>
      </c>
      <c r="K215" s="98" t="e">
        <f t="shared" si="15"/>
        <v>#NUM!</v>
      </c>
      <c r="L215" s="98"/>
      <c r="M215" s="100">
        <f t="shared" si="16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4"/>
        <v/>
      </c>
      <c r="J216" s="98" t="e">
        <f t="shared" si="17"/>
        <v>#NUM!</v>
      </c>
      <c r="K216" s="98" t="e">
        <f t="shared" si="15"/>
        <v>#NUM!</v>
      </c>
      <c r="L216" s="98"/>
      <c r="M216" s="100">
        <f t="shared" si="16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4"/>
        <v/>
      </c>
      <c r="J217" s="98" t="e">
        <f t="shared" si="17"/>
        <v>#NUM!</v>
      </c>
      <c r="K217" s="98" t="e">
        <f t="shared" si="15"/>
        <v>#NUM!</v>
      </c>
      <c r="L217" s="98"/>
      <c r="M217" s="100">
        <f t="shared" si="16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4"/>
        <v/>
      </c>
      <c r="J218" s="98" t="e">
        <f t="shared" si="17"/>
        <v>#NUM!</v>
      </c>
      <c r="K218" s="98" t="e">
        <f t="shared" si="15"/>
        <v>#NUM!</v>
      </c>
      <c r="L218" s="98"/>
      <c r="M218" s="100">
        <f t="shared" si="16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4"/>
        <v/>
      </c>
      <c r="J219" s="98" t="e">
        <f t="shared" si="17"/>
        <v>#NUM!</v>
      </c>
      <c r="K219" s="98" t="e">
        <f t="shared" si="15"/>
        <v>#NUM!</v>
      </c>
      <c r="L219" s="98"/>
      <c r="M219" s="100">
        <f t="shared" si="16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4"/>
        <v/>
      </c>
      <c r="J220" s="98" t="e">
        <f t="shared" si="17"/>
        <v>#NUM!</v>
      </c>
      <c r="K220" s="98" t="e">
        <f t="shared" si="15"/>
        <v>#NUM!</v>
      </c>
      <c r="L220" s="98"/>
      <c r="M220" s="100">
        <f t="shared" si="16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4"/>
        <v/>
      </c>
      <c r="J221" s="98" t="e">
        <f t="shared" si="17"/>
        <v>#NUM!</v>
      </c>
      <c r="K221" s="98" t="e">
        <f t="shared" si="15"/>
        <v>#NUM!</v>
      </c>
      <c r="L221" s="98"/>
      <c r="M221" s="100">
        <f t="shared" si="16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4"/>
        <v/>
      </c>
      <c r="J222" s="98" t="e">
        <f t="shared" si="17"/>
        <v>#NUM!</v>
      </c>
      <c r="K222" s="98" t="e">
        <f t="shared" si="15"/>
        <v>#NUM!</v>
      </c>
      <c r="L222" s="98"/>
      <c r="M222" s="100">
        <f t="shared" si="16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4"/>
        <v/>
      </c>
      <c r="J223" s="98" t="e">
        <f t="shared" si="17"/>
        <v>#NUM!</v>
      </c>
      <c r="K223" s="98" t="e">
        <f t="shared" si="15"/>
        <v>#NUM!</v>
      </c>
      <c r="L223" s="98"/>
      <c r="M223" s="100">
        <f t="shared" si="16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4"/>
        <v/>
      </c>
      <c r="J224" s="98" t="e">
        <f t="shared" si="17"/>
        <v>#NUM!</v>
      </c>
      <c r="K224" s="98" t="e">
        <f t="shared" si="15"/>
        <v>#NUM!</v>
      </c>
      <c r="L224" s="98"/>
      <c r="M224" s="100">
        <f t="shared" si="16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4"/>
        <v/>
      </c>
      <c r="J225" s="98" t="e">
        <f t="shared" si="17"/>
        <v>#NUM!</v>
      </c>
      <c r="K225" s="98" t="e">
        <f t="shared" si="15"/>
        <v>#NUM!</v>
      </c>
      <c r="L225" s="98"/>
      <c r="M225" s="100">
        <f t="shared" si="16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4"/>
        <v/>
      </c>
      <c r="J226" s="98" t="e">
        <f t="shared" si="17"/>
        <v>#NUM!</v>
      </c>
      <c r="K226" s="98" t="e">
        <f t="shared" si="15"/>
        <v>#NUM!</v>
      </c>
      <c r="L226" s="98"/>
      <c r="M226" s="100">
        <f t="shared" si="16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4"/>
        <v/>
      </c>
      <c r="J227" s="98" t="e">
        <f t="shared" si="17"/>
        <v>#NUM!</v>
      </c>
      <c r="K227" s="98" t="e">
        <f t="shared" si="15"/>
        <v>#NUM!</v>
      </c>
      <c r="L227" s="98"/>
      <c r="M227" s="100">
        <f t="shared" si="16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4"/>
        <v/>
      </c>
      <c r="J228" s="98" t="e">
        <f t="shared" si="17"/>
        <v>#NUM!</v>
      </c>
      <c r="K228" s="98" t="e">
        <f t="shared" si="15"/>
        <v>#NUM!</v>
      </c>
      <c r="L228" s="98"/>
      <c r="M228" s="100">
        <f t="shared" si="16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4"/>
        <v/>
      </c>
      <c r="J229" s="98" t="e">
        <f t="shared" si="17"/>
        <v>#NUM!</v>
      </c>
      <c r="K229" s="98" t="e">
        <f t="shared" si="15"/>
        <v>#NUM!</v>
      </c>
      <c r="L229" s="98"/>
      <c r="M229" s="100">
        <f t="shared" si="16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4"/>
        <v/>
      </c>
      <c r="J230" s="98" t="e">
        <f t="shared" si="17"/>
        <v>#NUM!</v>
      </c>
      <c r="K230" s="98" t="e">
        <f t="shared" si="15"/>
        <v>#NUM!</v>
      </c>
      <c r="L230" s="98"/>
      <c r="M230" s="100">
        <f t="shared" si="16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4"/>
        <v/>
      </c>
      <c r="J231" s="98" t="e">
        <f t="shared" si="17"/>
        <v>#NUM!</v>
      </c>
      <c r="K231" s="98" t="e">
        <f t="shared" si="15"/>
        <v>#NUM!</v>
      </c>
      <c r="L231" s="98"/>
      <c r="M231" s="100">
        <f t="shared" si="16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4"/>
        <v/>
      </c>
      <c r="J232" s="98" t="e">
        <f t="shared" si="17"/>
        <v>#NUM!</v>
      </c>
      <c r="K232" s="98" t="e">
        <f t="shared" si="15"/>
        <v>#NUM!</v>
      </c>
      <c r="L232" s="98"/>
      <c r="M232" s="100">
        <f t="shared" si="16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4"/>
        <v/>
      </c>
      <c r="J233" s="98" t="e">
        <f t="shared" si="17"/>
        <v>#NUM!</v>
      </c>
      <c r="K233" s="98" t="e">
        <f t="shared" si="15"/>
        <v>#NUM!</v>
      </c>
      <c r="L233" s="98"/>
      <c r="M233" s="100">
        <f t="shared" si="16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4"/>
        <v/>
      </c>
      <c r="J234" s="98" t="e">
        <f t="shared" si="17"/>
        <v>#NUM!</v>
      </c>
      <c r="K234" s="98" t="e">
        <f t="shared" si="15"/>
        <v>#NUM!</v>
      </c>
      <c r="L234" s="98"/>
      <c r="M234" s="100">
        <f t="shared" si="16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4"/>
        <v/>
      </c>
      <c r="J235" s="98" t="e">
        <f t="shared" si="17"/>
        <v>#NUM!</v>
      </c>
      <c r="K235" s="98" t="e">
        <f t="shared" si="15"/>
        <v>#NUM!</v>
      </c>
      <c r="L235" s="98"/>
      <c r="M235" s="100">
        <f t="shared" si="16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4"/>
        <v/>
      </c>
      <c r="J236" s="98" t="e">
        <f t="shared" si="17"/>
        <v>#NUM!</v>
      </c>
      <c r="K236" s="98" t="e">
        <f t="shared" si="15"/>
        <v>#NUM!</v>
      </c>
      <c r="L236" s="98"/>
      <c r="M236" s="100">
        <f t="shared" si="16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4"/>
        <v/>
      </c>
      <c r="J237" s="98" t="e">
        <f t="shared" si="17"/>
        <v>#NUM!</v>
      </c>
      <c r="K237" s="98" t="e">
        <f t="shared" si="15"/>
        <v>#NUM!</v>
      </c>
      <c r="L237" s="98"/>
      <c r="M237" s="100">
        <f t="shared" si="16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4"/>
        <v/>
      </c>
      <c r="J238" s="98" t="e">
        <f t="shared" si="17"/>
        <v>#NUM!</v>
      </c>
      <c r="K238" s="98" t="e">
        <f t="shared" si="15"/>
        <v>#NUM!</v>
      </c>
      <c r="L238" s="98"/>
      <c r="M238" s="100">
        <f t="shared" si="16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4"/>
        <v/>
      </c>
      <c r="J239" s="98" t="e">
        <f t="shared" si="17"/>
        <v>#NUM!</v>
      </c>
      <c r="K239" s="98" t="e">
        <f t="shared" si="15"/>
        <v>#NUM!</v>
      </c>
      <c r="L239" s="98"/>
      <c r="M239" s="100">
        <f t="shared" si="16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4"/>
        <v/>
      </c>
      <c r="J240" s="98" t="e">
        <f t="shared" si="17"/>
        <v>#NUM!</v>
      </c>
      <c r="K240" s="98" t="e">
        <f t="shared" si="15"/>
        <v>#NUM!</v>
      </c>
      <c r="L240" s="98"/>
      <c r="M240" s="100">
        <f t="shared" si="16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4"/>
        <v/>
      </c>
      <c r="J241" s="98" t="e">
        <f t="shared" si="17"/>
        <v>#NUM!</v>
      </c>
      <c r="K241" s="98" t="e">
        <f t="shared" si="15"/>
        <v>#NUM!</v>
      </c>
      <c r="L241" s="98"/>
      <c r="M241" s="100">
        <f t="shared" si="16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4"/>
        <v/>
      </c>
      <c r="J242" s="98" t="e">
        <f t="shared" si="17"/>
        <v>#NUM!</v>
      </c>
      <c r="K242" s="98" t="e">
        <f t="shared" si="15"/>
        <v>#NUM!</v>
      </c>
      <c r="L242" s="98"/>
      <c r="M242" s="100">
        <f t="shared" si="16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4"/>
        <v/>
      </c>
      <c r="J243" s="98" t="e">
        <f t="shared" si="17"/>
        <v>#NUM!</v>
      </c>
      <c r="K243" s="98" t="e">
        <f t="shared" si="15"/>
        <v>#NUM!</v>
      </c>
      <c r="L243" s="98"/>
      <c r="M243" s="100">
        <f t="shared" si="16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4"/>
        <v/>
      </c>
      <c r="J244" s="98" t="e">
        <f t="shared" si="17"/>
        <v>#NUM!</v>
      </c>
      <c r="K244" s="98" t="e">
        <f t="shared" si="15"/>
        <v>#NUM!</v>
      </c>
      <c r="L244" s="98"/>
      <c r="M244" s="100">
        <f t="shared" si="16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4"/>
        <v/>
      </c>
      <c r="J245" s="98" t="e">
        <f t="shared" si="17"/>
        <v>#NUM!</v>
      </c>
      <c r="K245" s="98" t="e">
        <f t="shared" si="15"/>
        <v>#NUM!</v>
      </c>
      <c r="L245" s="98"/>
      <c r="M245" s="100">
        <f t="shared" si="16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4"/>
        <v/>
      </c>
      <c r="J246" s="98" t="e">
        <f t="shared" si="17"/>
        <v>#NUM!</v>
      </c>
      <c r="K246" s="98" t="e">
        <f t="shared" si="15"/>
        <v>#NUM!</v>
      </c>
      <c r="L246" s="98"/>
      <c r="M246" s="100">
        <f t="shared" si="16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4"/>
        <v/>
      </c>
      <c r="J247" s="98" t="e">
        <f t="shared" si="17"/>
        <v>#NUM!</v>
      </c>
      <c r="K247" s="98" t="e">
        <f t="shared" si="15"/>
        <v>#NUM!</v>
      </c>
      <c r="L247" s="98"/>
      <c r="M247" s="100">
        <f t="shared" si="16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4"/>
        <v/>
      </c>
      <c r="J248" s="98" t="e">
        <f t="shared" si="17"/>
        <v>#NUM!</v>
      </c>
      <c r="K248" s="98" t="e">
        <f t="shared" si="15"/>
        <v>#NUM!</v>
      </c>
      <c r="L248" s="98"/>
      <c r="M248" s="100">
        <f t="shared" si="16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4"/>
        <v/>
      </c>
      <c r="J249" s="98" t="e">
        <f t="shared" si="17"/>
        <v>#NUM!</v>
      </c>
      <c r="K249" s="98" t="e">
        <f t="shared" si="15"/>
        <v>#NUM!</v>
      </c>
      <c r="L249" s="98"/>
      <c r="M249" s="100">
        <f t="shared" si="16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4"/>
        <v/>
      </c>
      <c r="J250" s="98" t="e">
        <f t="shared" si="17"/>
        <v>#NUM!</v>
      </c>
      <c r="K250" s="98" t="e">
        <f t="shared" si="15"/>
        <v>#NUM!</v>
      </c>
      <c r="L250" s="98"/>
      <c r="M250" s="100">
        <f t="shared" si="16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4"/>
        <v/>
      </c>
      <c r="J251" s="98" t="e">
        <f t="shared" si="17"/>
        <v>#NUM!</v>
      </c>
      <c r="K251" s="98" t="e">
        <f t="shared" si="15"/>
        <v>#NUM!</v>
      </c>
      <c r="L251" s="98"/>
      <c r="M251" s="100">
        <f t="shared" si="16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4"/>
        <v/>
      </c>
      <c r="J252" s="98" t="e">
        <f t="shared" si="17"/>
        <v>#NUM!</v>
      </c>
      <c r="K252" s="98" t="e">
        <f t="shared" si="15"/>
        <v>#NUM!</v>
      </c>
      <c r="L252" s="98"/>
      <c r="M252" s="100">
        <f t="shared" si="16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4"/>
        <v/>
      </c>
      <c r="J253" s="98" t="e">
        <f t="shared" si="17"/>
        <v>#NUM!</v>
      </c>
      <c r="K253" s="98" t="e">
        <f t="shared" si="15"/>
        <v>#NUM!</v>
      </c>
      <c r="L253" s="98"/>
      <c r="M253" s="100">
        <f t="shared" si="16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4"/>
        <v/>
      </c>
      <c r="J254" s="98" t="e">
        <f t="shared" si="17"/>
        <v>#NUM!</v>
      </c>
      <c r="K254" s="98" t="e">
        <f t="shared" si="15"/>
        <v>#NUM!</v>
      </c>
      <c r="L254" s="98"/>
      <c r="M254" s="100">
        <f t="shared" si="16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4"/>
        <v/>
      </c>
      <c r="J255" s="98" t="e">
        <f t="shared" si="17"/>
        <v>#NUM!</v>
      </c>
      <c r="K255" s="98" t="e">
        <f t="shared" si="15"/>
        <v>#NUM!</v>
      </c>
      <c r="L255" s="98"/>
      <c r="M255" s="100">
        <f t="shared" si="16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4"/>
        <v/>
      </c>
      <c r="J256" s="98" t="e">
        <f t="shared" si="17"/>
        <v>#NUM!</v>
      </c>
      <c r="K256" s="98" t="e">
        <f t="shared" si="15"/>
        <v>#NUM!</v>
      </c>
      <c r="L256" s="98"/>
      <c r="M256" s="100">
        <f t="shared" si="16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4"/>
        <v/>
      </c>
      <c r="J257" s="98" t="e">
        <f t="shared" si="17"/>
        <v>#NUM!</v>
      </c>
      <c r="K257" s="98" t="e">
        <f t="shared" si="15"/>
        <v>#NUM!</v>
      </c>
      <c r="L257" s="98"/>
      <c r="M257" s="100">
        <f t="shared" si="16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4"/>
        <v/>
      </c>
      <c r="J258" s="98" t="e">
        <f t="shared" si="17"/>
        <v>#NUM!</v>
      </c>
      <c r="K258" s="98" t="e">
        <f t="shared" si="15"/>
        <v>#NUM!</v>
      </c>
      <c r="L258" s="98"/>
      <c r="M258" s="100">
        <f t="shared" si="16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4"/>
        <v/>
      </c>
      <c r="J259" s="98" t="e">
        <f t="shared" si="17"/>
        <v>#NUM!</v>
      </c>
      <c r="K259" s="98" t="e">
        <f t="shared" si="15"/>
        <v>#NUM!</v>
      </c>
      <c r="L259" s="98"/>
      <c r="M259" s="100">
        <f t="shared" si="16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4"/>
        <v/>
      </c>
      <c r="J260" s="98" t="e">
        <f t="shared" si="17"/>
        <v>#NUM!</v>
      </c>
      <c r="K260" s="98" t="e">
        <f t="shared" si="15"/>
        <v>#NUM!</v>
      </c>
      <c r="L260" s="98"/>
      <c r="M260" s="100">
        <f t="shared" si="16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4"/>
        <v/>
      </c>
      <c r="J261" s="98" t="e">
        <f t="shared" si="17"/>
        <v>#NUM!</v>
      </c>
      <c r="K261" s="98" t="e">
        <f t="shared" si="15"/>
        <v>#NUM!</v>
      </c>
      <c r="L261" s="98"/>
      <c r="M261" s="100">
        <f t="shared" si="16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8">IF(H262&lt;$H$2+1,($I$2-($I$2-1)*(LOG(H262)/LOG($H$2))),"")</f>
        <v/>
      </c>
      <c r="J262" s="98" t="e">
        <f t="shared" si="17"/>
        <v>#NUM!</v>
      </c>
      <c r="K262" s="98" t="e">
        <f t="shared" ref="K262:K305" si="19">J262*$J$2</f>
        <v>#NUM!</v>
      </c>
      <c r="L262" s="98"/>
      <c r="M262" s="100">
        <f t="shared" ref="M262:M305" si="20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8"/>
        <v/>
      </c>
      <c r="J263" s="98" t="e">
        <f t="shared" si="17"/>
        <v>#NUM!</v>
      </c>
      <c r="K263" s="98" t="e">
        <f t="shared" si="19"/>
        <v>#NUM!</v>
      </c>
      <c r="L263" s="98"/>
      <c r="M263" s="100">
        <f t="shared" si="20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8"/>
        <v/>
      </c>
      <c r="J264" s="98" t="e">
        <f t="shared" si="17"/>
        <v>#NUM!</v>
      </c>
      <c r="K264" s="98" t="e">
        <f t="shared" si="19"/>
        <v>#NUM!</v>
      </c>
      <c r="L264" s="98"/>
      <c r="M264" s="100">
        <f t="shared" si="20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8"/>
        <v/>
      </c>
      <c r="J265" s="98" t="e">
        <f t="shared" si="17"/>
        <v>#NUM!</v>
      </c>
      <c r="K265" s="98" t="e">
        <f t="shared" si="19"/>
        <v>#NUM!</v>
      </c>
      <c r="L265" s="98"/>
      <c r="M265" s="100">
        <f t="shared" si="20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8"/>
        <v/>
      </c>
      <c r="J266" s="98" t="e">
        <f t="shared" ref="J266:J305" si="21">INT(LOG($H$2,2))-ROUNDUP(LOG(H266,2),0)+IF(OR($H$2=1,$H$2=2,$H$2=4,$H$2=8,$H$2=16,$H$2=32,$H$2=64,$H$2=128,$H$2=256),0,1)</f>
        <v>#NUM!</v>
      </c>
      <c r="K266" s="98" t="e">
        <f t="shared" si="19"/>
        <v>#NUM!</v>
      </c>
      <c r="L266" s="98"/>
      <c r="M266" s="100">
        <f t="shared" si="20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8"/>
        <v/>
      </c>
      <c r="J267" s="98" t="e">
        <f t="shared" si="21"/>
        <v>#NUM!</v>
      </c>
      <c r="K267" s="98" t="e">
        <f t="shared" si="19"/>
        <v>#NUM!</v>
      </c>
      <c r="L267" s="98"/>
      <c r="M267" s="100">
        <f t="shared" si="20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8"/>
        <v/>
      </c>
      <c r="J268" s="98" t="e">
        <f t="shared" si="21"/>
        <v>#NUM!</v>
      </c>
      <c r="K268" s="98" t="e">
        <f t="shared" si="19"/>
        <v>#NUM!</v>
      </c>
      <c r="L268" s="98"/>
      <c r="M268" s="100">
        <f t="shared" si="20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8"/>
        <v/>
      </c>
      <c r="J269" s="98" t="e">
        <f t="shared" si="21"/>
        <v>#NUM!</v>
      </c>
      <c r="K269" s="98" t="e">
        <f t="shared" si="19"/>
        <v>#NUM!</v>
      </c>
      <c r="L269" s="98"/>
      <c r="M269" s="100">
        <f t="shared" si="20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8"/>
        <v/>
      </c>
      <c r="J270" s="98" t="e">
        <f t="shared" si="21"/>
        <v>#NUM!</v>
      </c>
      <c r="K270" s="98" t="e">
        <f t="shared" si="19"/>
        <v>#NUM!</v>
      </c>
      <c r="L270" s="98"/>
      <c r="M270" s="100">
        <f t="shared" si="20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8"/>
        <v/>
      </c>
      <c r="J271" s="98" t="e">
        <f t="shared" si="21"/>
        <v>#NUM!</v>
      </c>
      <c r="K271" s="98" t="e">
        <f t="shared" si="19"/>
        <v>#NUM!</v>
      </c>
      <c r="L271" s="98"/>
      <c r="M271" s="100">
        <f t="shared" si="20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8"/>
        <v/>
      </c>
      <c r="J272" s="98" t="e">
        <f t="shared" si="21"/>
        <v>#NUM!</v>
      </c>
      <c r="K272" s="98" t="e">
        <f t="shared" si="19"/>
        <v>#NUM!</v>
      </c>
      <c r="L272" s="98"/>
      <c r="M272" s="100">
        <f t="shared" si="20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8"/>
        <v/>
      </c>
      <c r="J273" s="98" t="e">
        <f t="shared" si="21"/>
        <v>#NUM!</v>
      </c>
      <c r="K273" s="98" t="e">
        <f t="shared" si="19"/>
        <v>#NUM!</v>
      </c>
      <c r="L273" s="98"/>
      <c r="M273" s="100">
        <f t="shared" si="20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8"/>
        <v/>
      </c>
      <c r="J274" s="98" t="e">
        <f t="shared" si="21"/>
        <v>#NUM!</v>
      </c>
      <c r="K274" s="98" t="e">
        <f t="shared" si="19"/>
        <v>#NUM!</v>
      </c>
      <c r="L274" s="98"/>
      <c r="M274" s="100">
        <f t="shared" si="20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8"/>
        <v/>
      </c>
      <c r="J275" s="98" t="e">
        <f t="shared" si="21"/>
        <v>#NUM!</v>
      </c>
      <c r="K275" s="98" t="e">
        <f t="shared" si="19"/>
        <v>#NUM!</v>
      </c>
      <c r="L275" s="98"/>
      <c r="M275" s="100">
        <f t="shared" si="20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8"/>
        <v/>
      </c>
      <c r="J276" s="98" t="e">
        <f t="shared" si="21"/>
        <v>#NUM!</v>
      </c>
      <c r="K276" s="98" t="e">
        <f t="shared" si="19"/>
        <v>#NUM!</v>
      </c>
      <c r="L276" s="98"/>
      <c r="M276" s="100">
        <f t="shared" si="20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8"/>
        <v/>
      </c>
      <c r="J277" s="98" t="e">
        <f t="shared" si="21"/>
        <v>#NUM!</v>
      </c>
      <c r="K277" s="98" t="e">
        <f t="shared" si="19"/>
        <v>#NUM!</v>
      </c>
      <c r="L277" s="98"/>
      <c r="M277" s="100">
        <f t="shared" si="20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8"/>
        <v/>
      </c>
      <c r="J278" s="98" t="e">
        <f t="shared" si="21"/>
        <v>#NUM!</v>
      </c>
      <c r="K278" s="98" t="e">
        <f t="shared" si="19"/>
        <v>#NUM!</v>
      </c>
      <c r="L278" s="98"/>
      <c r="M278" s="100">
        <f t="shared" si="20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8"/>
        <v/>
      </c>
      <c r="J279" s="98" t="e">
        <f t="shared" si="21"/>
        <v>#NUM!</v>
      </c>
      <c r="K279" s="98" t="e">
        <f t="shared" si="19"/>
        <v>#NUM!</v>
      </c>
      <c r="L279" s="98"/>
      <c r="M279" s="100">
        <f t="shared" si="20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8"/>
        <v/>
      </c>
      <c r="J280" s="98" t="e">
        <f t="shared" si="21"/>
        <v>#NUM!</v>
      </c>
      <c r="K280" s="98" t="e">
        <f t="shared" si="19"/>
        <v>#NUM!</v>
      </c>
      <c r="L280" s="98"/>
      <c r="M280" s="100">
        <f t="shared" si="20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8"/>
        <v/>
      </c>
      <c r="J281" s="98" t="e">
        <f t="shared" si="21"/>
        <v>#NUM!</v>
      </c>
      <c r="K281" s="98" t="e">
        <f t="shared" si="19"/>
        <v>#NUM!</v>
      </c>
      <c r="L281" s="98"/>
      <c r="M281" s="100">
        <f t="shared" si="20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8"/>
        <v/>
      </c>
      <c r="J282" s="98" t="e">
        <f t="shared" si="21"/>
        <v>#NUM!</v>
      </c>
      <c r="K282" s="98" t="e">
        <f t="shared" si="19"/>
        <v>#NUM!</v>
      </c>
      <c r="L282" s="98"/>
      <c r="M282" s="100">
        <f t="shared" si="20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8"/>
        <v/>
      </c>
      <c r="J283" s="98" t="e">
        <f t="shared" si="21"/>
        <v>#NUM!</v>
      </c>
      <c r="K283" s="98" t="e">
        <f t="shared" si="19"/>
        <v>#NUM!</v>
      </c>
      <c r="L283" s="98"/>
      <c r="M283" s="100">
        <f t="shared" si="20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8"/>
        <v/>
      </c>
      <c r="J284" s="98" t="e">
        <f t="shared" si="21"/>
        <v>#NUM!</v>
      </c>
      <c r="K284" s="98" t="e">
        <f t="shared" si="19"/>
        <v>#NUM!</v>
      </c>
      <c r="L284" s="98"/>
      <c r="M284" s="100">
        <f t="shared" si="20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8"/>
        <v/>
      </c>
      <c r="J285" s="98" t="e">
        <f t="shared" si="21"/>
        <v>#NUM!</v>
      </c>
      <c r="K285" s="98" t="e">
        <f t="shared" si="19"/>
        <v>#NUM!</v>
      </c>
      <c r="L285" s="98"/>
      <c r="M285" s="100">
        <f t="shared" si="20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8"/>
        <v/>
      </c>
      <c r="J286" s="98" t="e">
        <f t="shared" si="21"/>
        <v>#NUM!</v>
      </c>
      <c r="K286" s="98" t="e">
        <f t="shared" si="19"/>
        <v>#NUM!</v>
      </c>
      <c r="L286" s="98"/>
      <c r="M286" s="100">
        <f t="shared" si="20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8"/>
        <v/>
      </c>
      <c r="J287" s="98" t="e">
        <f t="shared" si="21"/>
        <v>#NUM!</v>
      </c>
      <c r="K287" s="98" t="e">
        <f t="shared" si="19"/>
        <v>#NUM!</v>
      </c>
      <c r="L287" s="98"/>
      <c r="M287" s="100">
        <f t="shared" si="20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8"/>
        <v/>
      </c>
      <c r="J288" s="98" t="e">
        <f t="shared" si="21"/>
        <v>#NUM!</v>
      </c>
      <c r="K288" s="98" t="e">
        <f t="shared" si="19"/>
        <v>#NUM!</v>
      </c>
      <c r="L288" s="98"/>
      <c r="M288" s="100">
        <f t="shared" si="20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8"/>
        <v/>
      </c>
      <c r="J289" s="98" t="e">
        <f t="shared" si="21"/>
        <v>#NUM!</v>
      </c>
      <c r="K289" s="98" t="e">
        <f t="shared" si="19"/>
        <v>#NUM!</v>
      </c>
      <c r="L289" s="98"/>
      <c r="M289" s="100">
        <f t="shared" si="20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8"/>
        <v/>
      </c>
      <c r="J290" s="98" t="e">
        <f t="shared" si="21"/>
        <v>#NUM!</v>
      </c>
      <c r="K290" s="98" t="e">
        <f t="shared" si="19"/>
        <v>#NUM!</v>
      </c>
      <c r="L290" s="98"/>
      <c r="M290" s="100">
        <f t="shared" si="20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8"/>
        <v/>
      </c>
      <c r="J291" s="98" t="e">
        <f t="shared" si="21"/>
        <v>#NUM!</v>
      </c>
      <c r="K291" s="98" t="e">
        <f t="shared" si="19"/>
        <v>#NUM!</v>
      </c>
      <c r="L291" s="98"/>
      <c r="M291" s="100">
        <f t="shared" si="20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8"/>
        <v/>
      </c>
      <c r="J292" s="98" t="e">
        <f t="shared" si="21"/>
        <v>#NUM!</v>
      </c>
      <c r="K292" s="98" t="e">
        <f t="shared" si="19"/>
        <v>#NUM!</v>
      </c>
      <c r="L292" s="98"/>
      <c r="M292" s="100">
        <f t="shared" si="20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8"/>
        <v/>
      </c>
      <c r="J293" s="98" t="e">
        <f t="shared" si="21"/>
        <v>#NUM!</v>
      </c>
      <c r="K293" s="98" t="e">
        <f t="shared" si="19"/>
        <v>#NUM!</v>
      </c>
      <c r="L293" s="98"/>
      <c r="M293" s="100">
        <f t="shared" si="20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8"/>
        <v/>
      </c>
      <c r="J294" s="98" t="e">
        <f t="shared" si="21"/>
        <v>#NUM!</v>
      </c>
      <c r="K294" s="98" t="e">
        <f t="shared" si="19"/>
        <v>#NUM!</v>
      </c>
      <c r="L294" s="98"/>
      <c r="M294" s="100">
        <f t="shared" si="20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8"/>
        <v/>
      </c>
      <c r="J295" s="98" t="e">
        <f t="shared" si="21"/>
        <v>#NUM!</v>
      </c>
      <c r="K295" s="98" t="e">
        <f t="shared" si="19"/>
        <v>#NUM!</v>
      </c>
      <c r="L295" s="98"/>
      <c r="M295" s="100">
        <f t="shared" si="20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8"/>
        <v/>
      </c>
      <c r="J296" s="98" t="e">
        <f t="shared" si="21"/>
        <v>#NUM!</v>
      </c>
      <c r="K296" s="98" t="e">
        <f t="shared" si="19"/>
        <v>#NUM!</v>
      </c>
      <c r="L296" s="98"/>
      <c r="M296" s="100">
        <f t="shared" si="20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8"/>
        <v/>
      </c>
      <c r="J297" s="98" t="e">
        <f t="shared" si="21"/>
        <v>#NUM!</v>
      </c>
      <c r="K297" s="98" t="e">
        <f t="shared" si="19"/>
        <v>#NUM!</v>
      </c>
      <c r="L297" s="98"/>
      <c r="M297" s="100">
        <f t="shared" si="20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8"/>
        <v/>
      </c>
      <c r="J298" s="98" t="e">
        <f t="shared" si="21"/>
        <v>#NUM!</v>
      </c>
      <c r="K298" s="98" t="e">
        <f t="shared" si="19"/>
        <v>#NUM!</v>
      </c>
      <c r="L298" s="98"/>
      <c r="M298" s="100">
        <f t="shared" si="20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8"/>
        <v/>
      </c>
      <c r="J299" s="98" t="e">
        <f t="shared" si="21"/>
        <v>#NUM!</v>
      </c>
      <c r="K299" s="98" t="e">
        <f t="shared" si="19"/>
        <v>#NUM!</v>
      </c>
      <c r="L299" s="98"/>
      <c r="M299" s="100">
        <f t="shared" si="20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8"/>
        <v/>
      </c>
      <c r="J300" s="98" t="e">
        <f t="shared" si="21"/>
        <v>#NUM!</v>
      </c>
      <c r="K300" s="98" t="e">
        <f t="shared" si="19"/>
        <v>#NUM!</v>
      </c>
      <c r="L300" s="98"/>
      <c r="M300" s="100">
        <f t="shared" si="20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8"/>
        <v/>
      </c>
      <c r="J301" s="98" t="e">
        <f t="shared" si="21"/>
        <v>#NUM!</v>
      </c>
      <c r="K301" s="98" t="e">
        <f t="shared" si="19"/>
        <v>#NUM!</v>
      </c>
      <c r="L301" s="98"/>
      <c r="M301" s="100">
        <f t="shared" si="20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8"/>
        <v/>
      </c>
      <c r="J302" s="98" t="e">
        <f t="shared" si="21"/>
        <v>#NUM!</v>
      </c>
      <c r="K302" s="98" t="e">
        <f t="shared" si="19"/>
        <v>#NUM!</v>
      </c>
      <c r="L302" s="98"/>
      <c r="M302" s="100">
        <f t="shared" si="20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8"/>
        <v/>
      </c>
      <c r="J303" s="98" t="e">
        <f t="shared" si="21"/>
        <v>#NUM!</v>
      </c>
      <c r="K303" s="98" t="e">
        <f t="shared" si="19"/>
        <v>#NUM!</v>
      </c>
      <c r="L303" s="98"/>
      <c r="M303" s="100">
        <f t="shared" si="20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8"/>
        <v/>
      </c>
      <c r="J304" s="98" t="e">
        <f t="shared" si="21"/>
        <v>#NUM!</v>
      </c>
      <c r="K304" s="98" t="e">
        <f t="shared" si="19"/>
        <v>#NUM!</v>
      </c>
      <c r="L304" s="98"/>
      <c r="M304" s="100">
        <f t="shared" si="20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8"/>
        <v/>
      </c>
      <c r="J305" s="98" t="e">
        <f t="shared" si="21"/>
        <v>#NUM!</v>
      </c>
      <c r="K305" s="98" t="e">
        <f t="shared" si="19"/>
        <v>#NUM!</v>
      </c>
      <c r="L305" s="98"/>
      <c r="M305" s="100">
        <f t="shared" si="20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5F1F28F5-0E94-444E-B328-FDE2925F051A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12936-56EC-4FC1-AE3E-BF2B56E438D1}">
  <sheetPr>
    <tabColor rgb="FF92D050"/>
  </sheetPr>
  <dimension ref="A1:AL317"/>
  <sheetViews>
    <sheetView workbookViewId="0">
      <selection activeCell="C6" sqref="C6:C17"/>
    </sheetView>
  </sheetViews>
  <sheetFormatPr defaultColWidth="8.875" defaultRowHeight="14.3" x14ac:dyDescent="0.25"/>
  <cols>
    <col min="1" max="1" width="8" style="249" customWidth="1"/>
    <col min="2" max="2" width="8.25" style="249" customWidth="1"/>
    <col min="3" max="3" width="34.75" style="249" customWidth="1"/>
    <col min="4" max="4" width="11.25" style="249" customWidth="1"/>
    <col min="5" max="6" width="8.875" style="249"/>
    <col min="7" max="7" width="0.875" style="249" customWidth="1"/>
    <col min="8" max="8" width="8.875" style="252"/>
    <col min="9" max="9" width="11" style="252" customWidth="1"/>
    <col min="10" max="10" width="15.25" style="252" customWidth="1"/>
    <col min="11" max="11" width="8.75" style="252" customWidth="1"/>
    <col min="12" max="12" width="11" style="252" customWidth="1"/>
    <col min="13" max="13" width="12.25" style="253" customWidth="1"/>
    <col min="14" max="15" width="13.875" style="219" customWidth="1"/>
    <col min="16" max="18" width="8.875" style="219"/>
    <col min="19" max="20" width="8.875" style="224"/>
    <col min="21" max="21" width="12.125" style="224" customWidth="1"/>
    <col min="22" max="22" width="27.375" style="224" customWidth="1"/>
    <col min="23" max="38" width="8.875" style="224"/>
    <col min="39" max="16384" width="8.875" style="249"/>
  </cols>
  <sheetData>
    <row r="1" spans="1:36" x14ac:dyDescent="0.25">
      <c r="A1" s="219"/>
      <c r="B1" s="219"/>
      <c r="C1" s="219"/>
      <c r="D1" s="219"/>
      <c r="E1" s="219"/>
      <c r="F1" s="219"/>
      <c r="G1" s="219"/>
      <c r="H1" s="220" t="s">
        <v>29</v>
      </c>
      <c r="I1" s="221" t="s">
        <v>30</v>
      </c>
      <c r="J1" s="221" t="s">
        <v>31</v>
      </c>
      <c r="K1" s="222" t="s">
        <v>116</v>
      </c>
      <c r="L1" s="223"/>
      <c r="M1" s="223"/>
    </row>
    <row r="2" spans="1:36" x14ac:dyDescent="0.25">
      <c r="A2" s="219"/>
      <c r="B2" s="19" t="s">
        <v>33</v>
      </c>
      <c r="C2" s="129" t="s">
        <v>123</v>
      </c>
      <c r="D2" s="69"/>
      <c r="E2" s="20"/>
      <c r="F2" s="20"/>
      <c r="G2" s="20"/>
      <c r="H2" s="225">
        <v>0</v>
      </c>
      <c r="I2" s="226">
        <v>50</v>
      </c>
      <c r="J2" s="226">
        <v>10</v>
      </c>
      <c r="K2" s="227">
        <f>3*H2^(1/3)</f>
        <v>0</v>
      </c>
      <c r="L2" s="223"/>
      <c r="M2" s="223"/>
    </row>
    <row r="3" spans="1:36" x14ac:dyDescent="0.25">
      <c r="A3" s="219"/>
      <c r="B3" s="228" t="s">
        <v>35</v>
      </c>
      <c r="C3" s="70">
        <v>45114</v>
      </c>
      <c r="D3" s="70"/>
      <c r="E3" s="25"/>
      <c r="F3" s="25"/>
      <c r="G3" s="25"/>
      <c r="H3" s="223"/>
      <c r="I3" s="223"/>
      <c r="J3" s="229"/>
      <c r="K3" s="223"/>
      <c r="L3" s="223"/>
      <c r="M3" s="22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23"/>
      <c r="I4" s="223"/>
      <c r="J4" s="229"/>
      <c r="K4" s="223"/>
      <c r="L4" s="223"/>
      <c r="M4" s="22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230" t="s">
        <v>43</v>
      </c>
      <c r="I5" s="231" t="s">
        <v>44</v>
      </c>
      <c r="J5" s="232" t="s">
        <v>45</v>
      </c>
      <c r="K5" s="231" t="s">
        <v>46</v>
      </c>
      <c r="L5" s="231" t="s">
        <v>47</v>
      </c>
      <c r="M5" s="230" t="s">
        <v>48</v>
      </c>
    </row>
    <row r="6" spans="1:36" ht="14.45" customHeight="1" x14ac:dyDescent="0.25">
      <c r="A6" s="97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33">
        <v>1</v>
      </c>
      <c r="I6" s="234" t="str">
        <f t="shared" ref="I6:I69" si="1">IF(H6&lt;$H$2+1,($I$2-($I$2-1)*(LOG(H6)/LOG($H$2))),"")</f>
        <v/>
      </c>
      <c r="J6" s="233" t="e">
        <f>INT(LOG($H$2,2))-ROUNDUP(LOG(H6,2),0)+IF(OR($H$2=1,$H$2=2,$H$2=4,$H$2=8,$H$2=16,$H$2=32,$H$2=64,$H$2=128,$H$2=256),0,1)</f>
        <v>#NUM!</v>
      </c>
      <c r="K6" s="233" t="e">
        <f t="shared" ref="K6:K69" si="2">J6*$J$2</f>
        <v>#NUM!</v>
      </c>
      <c r="L6" s="235">
        <f>3*K2</f>
        <v>0</v>
      </c>
      <c r="M6" s="235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36">
        <v>2</v>
      </c>
      <c r="I7" s="237" t="str">
        <f t="shared" si="1"/>
        <v/>
      </c>
      <c r="J7" s="236" t="e">
        <f t="shared" ref="J7:J70" si="5">INT(LOG($H$2,2))-ROUNDUP(LOG(H7,2),0)+IF(OR($H$2=1,$H$2=2,$H$2=4,$H$2=8,$H$2=16,$H$2=32,$H$2=64,$H$2=128,$H$2=256),0,1)</f>
        <v>#NUM!</v>
      </c>
      <c r="K7" s="236" t="e">
        <f t="shared" si="2"/>
        <v>#NUM!</v>
      </c>
      <c r="L7" s="238">
        <f>2*K2</f>
        <v>0</v>
      </c>
      <c r="M7" s="238">
        <f t="shared" si="3"/>
        <v>0</v>
      </c>
    </row>
    <row r="8" spans="1:36" ht="14.45" customHeight="1" x14ac:dyDescent="0.25">
      <c r="A8" s="97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33">
        <v>3</v>
      </c>
      <c r="I8" s="234" t="str">
        <f t="shared" si="1"/>
        <v/>
      </c>
      <c r="J8" s="233" t="e">
        <f t="shared" si="5"/>
        <v>#NUM!</v>
      </c>
      <c r="K8" s="233" t="e">
        <f t="shared" si="2"/>
        <v>#NUM!</v>
      </c>
      <c r="L8" s="235">
        <f>K2</f>
        <v>0</v>
      </c>
      <c r="M8" s="235">
        <f t="shared" si="3"/>
        <v>0</v>
      </c>
    </row>
    <row r="9" spans="1:36" s="224" customFormat="1" ht="14.45" customHeight="1" x14ac:dyDescent="0.25">
      <c r="A9" s="10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236">
        <v>3</v>
      </c>
      <c r="I9" s="237" t="str">
        <f t="shared" si="1"/>
        <v/>
      </c>
      <c r="J9" s="236" t="e">
        <f t="shared" si="5"/>
        <v>#NUM!</v>
      </c>
      <c r="K9" s="236" t="e">
        <f t="shared" si="2"/>
        <v>#NUM!</v>
      </c>
      <c r="L9" s="238">
        <f>K2</f>
        <v>0</v>
      </c>
      <c r="M9" s="238">
        <f t="shared" si="3"/>
        <v>0</v>
      </c>
      <c r="N9" s="219"/>
      <c r="O9" s="219"/>
      <c r="P9" s="219"/>
      <c r="Q9" s="219"/>
      <c r="R9" s="219"/>
      <c r="V9" s="239"/>
      <c r="Z9" s="240"/>
      <c r="AA9" s="240"/>
      <c r="AG9" s="241"/>
      <c r="AH9" s="224" t="s">
        <v>54</v>
      </c>
      <c r="AI9" s="224">
        <v>23</v>
      </c>
    </row>
    <row r="10" spans="1:36" ht="14.45" customHeight="1" x14ac:dyDescent="0.25">
      <c r="A10" s="97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33">
        <v>5</v>
      </c>
      <c r="I10" s="234" t="str">
        <f t="shared" si="1"/>
        <v/>
      </c>
      <c r="J10" s="233" t="e">
        <f t="shared" si="5"/>
        <v>#NUM!</v>
      </c>
      <c r="K10" s="233" t="e">
        <f t="shared" si="2"/>
        <v>#NUM!</v>
      </c>
      <c r="L10" s="233"/>
      <c r="M10" s="235">
        <f t="shared" si="3"/>
        <v>0</v>
      </c>
      <c r="V10" s="239"/>
      <c r="Z10" s="240"/>
      <c r="AA10" s="240"/>
      <c r="AG10" s="241"/>
      <c r="AH10" s="224" t="s">
        <v>55</v>
      </c>
      <c r="AI10" s="224">
        <v>45</v>
      </c>
    </row>
    <row r="11" spans="1:36" ht="14.45" customHeight="1" x14ac:dyDescent="0.25">
      <c r="A11" s="10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36">
        <v>6</v>
      </c>
      <c r="I11" s="237" t="str">
        <f t="shared" si="1"/>
        <v/>
      </c>
      <c r="J11" s="236" t="e">
        <f t="shared" si="5"/>
        <v>#NUM!</v>
      </c>
      <c r="K11" s="236" t="e">
        <f t="shared" si="2"/>
        <v>#NUM!</v>
      </c>
      <c r="L11" s="236"/>
      <c r="M11" s="238">
        <f t="shared" si="3"/>
        <v>0</v>
      </c>
      <c r="V11" s="242"/>
      <c r="Z11" s="240"/>
      <c r="AA11" s="240"/>
      <c r="AG11" s="241"/>
      <c r="AH11" s="224" t="s">
        <v>56</v>
      </c>
      <c r="AI11" s="224">
        <v>50</v>
      </c>
    </row>
    <row r="12" spans="1:36" ht="14.45" customHeight="1" x14ac:dyDescent="0.25">
      <c r="A12" s="97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33">
        <v>7</v>
      </c>
      <c r="I12" s="234" t="str">
        <f t="shared" si="1"/>
        <v/>
      </c>
      <c r="J12" s="233" t="e">
        <f t="shared" si="5"/>
        <v>#NUM!</v>
      </c>
      <c r="K12" s="233" t="e">
        <f t="shared" si="2"/>
        <v>#NUM!</v>
      </c>
      <c r="L12" s="233"/>
      <c r="M12" s="235">
        <f t="shared" si="3"/>
        <v>0</v>
      </c>
      <c r="Z12" s="240"/>
      <c r="AA12" s="240"/>
      <c r="AG12" s="241"/>
      <c r="AH12" s="224" t="s">
        <v>57</v>
      </c>
      <c r="AI12" s="224">
        <f>AI11-1</f>
        <v>49</v>
      </c>
    </row>
    <row r="13" spans="1:36" ht="14.45" customHeight="1" x14ac:dyDescent="0.25">
      <c r="A13" s="10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36">
        <v>8</v>
      </c>
      <c r="I13" s="237" t="str">
        <f t="shared" si="1"/>
        <v/>
      </c>
      <c r="J13" s="236" t="e">
        <f t="shared" si="5"/>
        <v>#NUM!</v>
      </c>
      <c r="K13" s="236" t="e">
        <f t="shared" si="2"/>
        <v>#NUM!</v>
      </c>
      <c r="L13" s="236"/>
      <c r="M13" s="238">
        <f t="shared" si="3"/>
        <v>0</v>
      </c>
      <c r="X13" s="239"/>
      <c r="AG13" s="241"/>
      <c r="AH13" s="224" t="s">
        <v>58</v>
      </c>
      <c r="AI13" s="224">
        <f>LOG(AI9)</f>
        <v>1.3617278360175928</v>
      </c>
    </row>
    <row r="14" spans="1:36" x14ac:dyDescent="0.25">
      <c r="A14" s="97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33">
        <v>9</v>
      </c>
      <c r="I14" s="234" t="str">
        <f t="shared" si="1"/>
        <v/>
      </c>
      <c r="J14" s="233" t="e">
        <f t="shared" si="5"/>
        <v>#NUM!</v>
      </c>
      <c r="K14" s="233" t="e">
        <f t="shared" si="2"/>
        <v>#NUM!</v>
      </c>
      <c r="L14" s="233"/>
      <c r="M14" s="235">
        <f t="shared" si="3"/>
        <v>0</v>
      </c>
      <c r="X14" s="243"/>
      <c r="Z14" s="240"/>
      <c r="AA14" s="240"/>
      <c r="AG14" s="241"/>
      <c r="AH14" s="224" t="s">
        <v>59</v>
      </c>
      <c r="AI14" s="224">
        <f>LOG(AI10)</f>
        <v>1.6532125137753437</v>
      </c>
    </row>
    <row r="15" spans="1:36" x14ac:dyDescent="0.25">
      <c r="A15" s="10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36">
        <v>10</v>
      </c>
      <c r="I15" s="237" t="str">
        <f t="shared" si="1"/>
        <v/>
      </c>
      <c r="J15" s="236" t="e">
        <f t="shared" si="5"/>
        <v>#NUM!</v>
      </c>
      <c r="K15" s="236" t="e">
        <f t="shared" si="2"/>
        <v>#NUM!</v>
      </c>
      <c r="L15" s="236"/>
      <c r="M15" s="238">
        <f t="shared" si="3"/>
        <v>0</v>
      </c>
      <c r="X15" s="239"/>
      <c r="Z15" s="240"/>
      <c r="AA15" s="240"/>
    </row>
    <row r="16" spans="1:36" x14ac:dyDescent="0.25">
      <c r="A16" s="97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33">
        <v>11</v>
      </c>
      <c r="I16" s="234" t="str">
        <f t="shared" si="1"/>
        <v/>
      </c>
      <c r="J16" s="233" t="e">
        <f t="shared" si="5"/>
        <v>#NUM!</v>
      </c>
      <c r="K16" s="233" t="e">
        <f t="shared" si="2"/>
        <v>#NUM!</v>
      </c>
      <c r="L16" s="233"/>
      <c r="M16" s="235">
        <f t="shared" si="3"/>
        <v>0</v>
      </c>
      <c r="R16" s="244"/>
      <c r="Z16" s="240"/>
      <c r="AA16" s="240"/>
      <c r="AH16" s="245" t="s">
        <v>60</v>
      </c>
      <c r="AI16" s="224">
        <f>AI11-AI12*AI13/AI14</f>
        <v>9.6393909380186855</v>
      </c>
      <c r="AJ16" s="224" t="s">
        <v>61</v>
      </c>
    </row>
    <row r="17" spans="1:19" x14ac:dyDescent="0.25">
      <c r="A17" s="10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36">
        <v>12</v>
      </c>
      <c r="I17" s="237" t="str">
        <f t="shared" si="1"/>
        <v/>
      </c>
      <c r="J17" s="236" t="e">
        <f t="shared" si="5"/>
        <v>#NUM!</v>
      </c>
      <c r="K17" s="236" t="e">
        <f t="shared" si="2"/>
        <v>#NUM!</v>
      </c>
      <c r="L17" s="236"/>
      <c r="M17" s="238">
        <f t="shared" si="3"/>
        <v>0</v>
      </c>
    </row>
    <row r="18" spans="1:19" x14ac:dyDescent="0.25">
      <c r="A18" s="97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33">
        <v>13</v>
      </c>
      <c r="I18" s="234" t="str">
        <f t="shared" si="1"/>
        <v/>
      </c>
      <c r="J18" s="233" t="e">
        <f t="shared" si="5"/>
        <v>#NUM!</v>
      </c>
      <c r="K18" s="233" t="e">
        <f t="shared" si="2"/>
        <v>#NUM!</v>
      </c>
      <c r="L18" s="233"/>
      <c r="M18" s="235">
        <f t="shared" si="3"/>
        <v>0</v>
      </c>
    </row>
    <row r="19" spans="1:19" x14ac:dyDescent="0.25">
      <c r="A19" s="10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36">
        <v>14</v>
      </c>
      <c r="I19" s="237" t="str">
        <f t="shared" si="1"/>
        <v/>
      </c>
      <c r="J19" s="236" t="e">
        <f t="shared" si="5"/>
        <v>#NUM!</v>
      </c>
      <c r="K19" s="236" t="e">
        <f t="shared" si="2"/>
        <v>#NUM!</v>
      </c>
      <c r="L19" s="236"/>
      <c r="M19" s="238">
        <f t="shared" si="3"/>
        <v>0</v>
      </c>
    </row>
    <row r="20" spans="1:19" x14ac:dyDescent="0.25">
      <c r="A20" s="97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33">
        <v>15</v>
      </c>
      <c r="I20" s="234" t="str">
        <f t="shared" si="1"/>
        <v/>
      </c>
      <c r="J20" s="233" t="e">
        <f t="shared" si="5"/>
        <v>#NUM!</v>
      </c>
      <c r="K20" s="233" t="e">
        <f t="shared" si="2"/>
        <v>#NUM!</v>
      </c>
      <c r="L20" s="233"/>
      <c r="M20" s="235">
        <f t="shared" si="3"/>
        <v>0</v>
      </c>
      <c r="R20" s="246"/>
      <c r="S20" s="247"/>
    </row>
    <row r="21" spans="1:19" x14ac:dyDescent="0.25">
      <c r="A21" s="10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36">
        <v>16</v>
      </c>
      <c r="I21" s="237" t="str">
        <f t="shared" si="1"/>
        <v/>
      </c>
      <c r="J21" s="236" t="e">
        <f t="shared" si="5"/>
        <v>#NUM!</v>
      </c>
      <c r="K21" s="236" t="e">
        <f t="shared" si="2"/>
        <v>#NUM!</v>
      </c>
      <c r="L21" s="236"/>
      <c r="M21" s="238">
        <f t="shared" si="3"/>
        <v>0</v>
      </c>
    </row>
    <row r="22" spans="1:19" x14ac:dyDescent="0.25">
      <c r="A22" s="97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33">
        <v>17</v>
      </c>
      <c r="I22" s="234" t="str">
        <f t="shared" si="1"/>
        <v/>
      </c>
      <c r="J22" s="233" t="e">
        <f t="shared" si="5"/>
        <v>#NUM!</v>
      </c>
      <c r="K22" s="233" t="e">
        <f t="shared" si="2"/>
        <v>#NUM!</v>
      </c>
      <c r="L22" s="233"/>
      <c r="M22" s="235">
        <f t="shared" si="3"/>
        <v>0</v>
      </c>
    </row>
    <row r="23" spans="1:19" x14ac:dyDescent="0.25">
      <c r="A23" s="10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36">
        <v>18</v>
      </c>
      <c r="I23" s="237" t="str">
        <f t="shared" si="1"/>
        <v/>
      </c>
      <c r="J23" s="236" t="e">
        <f t="shared" si="5"/>
        <v>#NUM!</v>
      </c>
      <c r="K23" s="236" t="e">
        <f t="shared" si="2"/>
        <v>#NUM!</v>
      </c>
      <c r="L23" s="236"/>
      <c r="M23" s="238">
        <f t="shared" si="3"/>
        <v>0</v>
      </c>
    </row>
    <row r="24" spans="1:19" x14ac:dyDescent="0.25">
      <c r="A24" s="97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33">
        <v>19</v>
      </c>
      <c r="I24" s="234" t="str">
        <f t="shared" si="1"/>
        <v/>
      </c>
      <c r="J24" s="233" t="e">
        <f t="shared" si="5"/>
        <v>#NUM!</v>
      </c>
      <c r="K24" s="233" t="e">
        <f t="shared" si="2"/>
        <v>#NUM!</v>
      </c>
      <c r="L24" s="233"/>
      <c r="M24" s="235">
        <f t="shared" si="3"/>
        <v>0</v>
      </c>
      <c r="R24" s="246"/>
      <c r="S24" s="247"/>
    </row>
    <row r="25" spans="1:19" x14ac:dyDescent="0.25">
      <c r="A25" s="10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36">
        <v>20</v>
      </c>
      <c r="I25" s="237" t="str">
        <f t="shared" si="1"/>
        <v/>
      </c>
      <c r="J25" s="236" t="e">
        <f t="shared" si="5"/>
        <v>#NUM!</v>
      </c>
      <c r="K25" s="236" t="e">
        <f t="shared" si="2"/>
        <v>#NUM!</v>
      </c>
      <c r="L25" s="236"/>
      <c r="M25" s="238">
        <f t="shared" si="3"/>
        <v>0</v>
      </c>
    </row>
    <row r="26" spans="1:19" x14ac:dyDescent="0.25">
      <c r="A26" s="97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33">
        <v>21</v>
      </c>
      <c r="I26" s="234" t="str">
        <f t="shared" si="1"/>
        <v/>
      </c>
      <c r="J26" s="233" t="e">
        <f t="shared" si="5"/>
        <v>#NUM!</v>
      </c>
      <c r="K26" s="233" t="e">
        <f t="shared" si="2"/>
        <v>#NUM!</v>
      </c>
      <c r="L26" s="233"/>
      <c r="M26" s="235">
        <f t="shared" si="3"/>
        <v>0</v>
      </c>
    </row>
    <row r="27" spans="1:19" x14ac:dyDescent="0.25">
      <c r="A27" s="10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36">
        <v>22</v>
      </c>
      <c r="I27" s="237" t="str">
        <f t="shared" si="1"/>
        <v/>
      </c>
      <c r="J27" s="236" t="e">
        <f t="shared" si="5"/>
        <v>#NUM!</v>
      </c>
      <c r="K27" s="236" t="e">
        <f t="shared" si="2"/>
        <v>#NUM!</v>
      </c>
      <c r="L27" s="236"/>
      <c r="M27" s="238">
        <f t="shared" si="3"/>
        <v>0</v>
      </c>
    </row>
    <row r="28" spans="1:19" x14ac:dyDescent="0.25">
      <c r="A28" s="97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33">
        <v>23</v>
      </c>
      <c r="I28" s="234" t="str">
        <f t="shared" si="1"/>
        <v/>
      </c>
      <c r="J28" s="233" t="e">
        <f t="shared" si="5"/>
        <v>#NUM!</v>
      </c>
      <c r="K28" s="233" t="e">
        <f t="shared" si="2"/>
        <v>#NUM!</v>
      </c>
      <c r="L28" s="233"/>
      <c r="M28" s="235">
        <f t="shared" si="3"/>
        <v>0</v>
      </c>
      <c r="R28" s="246"/>
      <c r="S28" s="247"/>
    </row>
    <row r="29" spans="1:19" x14ac:dyDescent="0.25">
      <c r="A29" s="101">
        <f t="shared" si="4"/>
        <v>0</v>
      </c>
      <c r="B29" s="39" t="str">
        <f t="shared" si="0"/>
        <v/>
      </c>
      <c r="C29" s="40"/>
      <c r="D29" s="40"/>
      <c r="E29" s="40"/>
      <c r="F29" s="40"/>
      <c r="G29" s="219"/>
      <c r="H29" s="236">
        <v>24</v>
      </c>
      <c r="I29" s="237" t="str">
        <f t="shared" si="1"/>
        <v/>
      </c>
      <c r="J29" s="236" t="e">
        <f t="shared" si="5"/>
        <v>#NUM!</v>
      </c>
      <c r="K29" s="236" t="e">
        <f t="shared" si="2"/>
        <v>#NUM!</v>
      </c>
      <c r="L29" s="236"/>
      <c r="M29" s="238">
        <f t="shared" si="3"/>
        <v>0</v>
      </c>
    </row>
    <row r="30" spans="1:19" x14ac:dyDescent="0.25">
      <c r="A30" s="97">
        <f t="shared" si="4"/>
        <v>0</v>
      </c>
      <c r="B30" s="33" t="str">
        <f t="shared" si="0"/>
        <v/>
      </c>
      <c r="C30" s="34"/>
      <c r="D30" s="34"/>
      <c r="E30" s="34"/>
      <c r="F30" s="34"/>
      <c r="G30" s="219"/>
      <c r="H30" s="233">
        <v>25</v>
      </c>
      <c r="I30" s="234" t="str">
        <f t="shared" si="1"/>
        <v/>
      </c>
      <c r="J30" s="233" t="e">
        <f t="shared" si="5"/>
        <v>#NUM!</v>
      </c>
      <c r="K30" s="233" t="e">
        <f t="shared" si="2"/>
        <v>#NUM!</v>
      </c>
      <c r="L30" s="233"/>
      <c r="M30" s="235">
        <f t="shared" si="3"/>
        <v>0</v>
      </c>
    </row>
    <row r="31" spans="1:19" x14ac:dyDescent="0.25">
      <c r="A31" s="101">
        <f t="shared" si="4"/>
        <v>0</v>
      </c>
      <c r="B31" s="39" t="str">
        <f t="shared" si="0"/>
        <v/>
      </c>
      <c r="C31" s="40"/>
      <c r="D31" s="40"/>
      <c r="E31" s="40"/>
      <c r="F31" s="40"/>
      <c r="G31" s="219"/>
      <c r="H31" s="236">
        <v>26</v>
      </c>
      <c r="I31" s="237" t="str">
        <f t="shared" si="1"/>
        <v/>
      </c>
      <c r="J31" s="236" t="e">
        <f t="shared" si="5"/>
        <v>#NUM!</v>
      </c>
      <c r="K31" s="236" t="e">
        <f t="shared" si="2"/>
        <v>#NUM!</v>
      </c>
      <c r="L31" s="236"/>
      <c r="M31" s="238">
        <f t="shared" si="3"/>
        <v>0</v>
      </c>
    </row>
    <row r="32" spans="1:19" x14ac:dyDescent="0.25">
      <c r="A32" s="97">
        <f t="shared" si="4"/>
        <v>0</v>
      </c>
      <c r="B32" s="33" t="str">
        <f t="shared" si="0"/>
        <v/>
      </c>
      <c r="C32" s="34"/>
      <c r="D32" s="34"/>
      <c r="E32" s="34"/>
      <c r="F32" s="34"/>
      <c r="G32" s="219"/>
      <c r="H32" s="233">
        <v>27</v>
      </c>
      <c r="I32" s="234" t="str">
        <f t="shared" si="1"/>
        <v/>
      </c>
      <c r="J32" s="233" t="e">
        <f t="shared" si="5"/>
        <v>#NUM!</v>
      </c>
      <c r="K32" s="233" t="e">
        <f t="shared" si="2"/>
        <v>#NUM!</v>
      </c>
      <c r="L32" s="233"/>
      <c r="M32" s="235">
        <f t="shared" si="3"/>
        <v>0</v>
      </c>
      <c r="R32" s="246"/>
      <c r="S32" s="247"/>
    </row>
    <row r="33" spans="1:19" x14ac:dyDescent="0.25">
      <c r="A33" s="101">
        <f t="shared" si="4"/>
        <v>0</v>
      </c>
      <c r="B33" s="39" t="str">
        <f t="shared" si="0"/>
        <v/>
      </c>
      <c r="C33" s="40"/>
      <c r="D33" s="40"/>
      <c r="E33" s="40"/>
      <c r="F33" s="40"/>
      <c r="G33" s="219"/>
      <c r="H33" s="236">
        <v>28</v>
      </c>
      <c r="I33" s="237" t="str">
        <f t="shared" si="1"/>
        <v/>
      </c>
      <c r="J33" s="236" t="e">
        <f t="shared" si="5"/>
        <v>#NUM!</v>
      </c>
      <c r="K33" s="236" t="e">
        <f t="shared" si="2"/>
        <v>#NUM!</v>
      </c>
      <c r="L33" s="236"/>
      <c r="M33" s="238">
        <f t="shared" si="3"/>
        <v>0</v>
      </c>
    </row>
    <row r="34" spans="1:19" x14ac:dyDescent="0.25">
      <c r="A34" s="97">
        <f t="shared" si="4"/>
        <v>0</v>
      </c>
      <c r="B34" s="33" t="str">
        <f t="shared" si="0"/>
        <v/>
      </c>
      <c r="C34" s="34"/>
      <c r="D34" s="34"/>
      <c r="E34" s="34"/>
      <c r="F34" s="34"/>
      <c r="G34" s="219"/>
      <c r="H34" s="233">
        <v>29</v>
      </c>
      <c r="I34" s="234" t="str">
        <f t="shared" si="1"/>
        <v/>
      </c>
      <c r="J34" s="233" t="e">
        <f t="shared" si="5"/>
        <v>#NUM!</v>
      </c>
      <c r="K34" s="233" t="e">
        <f t="shared" si="2"/>
        <v>#NUM!</v>
      </c>
      <c r="L34" s="233"/>
      <c r="M34" s="235">
        <f t="shared" si="3"/>
        <v>0</v>
      </c>
    </row>
    <row r="35" spans="1:19" x14ac:dyDescent="0.25">
      <c r="A35" s="101">
        <f t="shared" si="4"/>
        <v>0</v>
      </c>
      <c r="B35" s="39" t="str">
        <f t="shared" si="0"/>
        <v/>
      </c>
      <c r="C35" s="40"/>
      <c r="D35" s="40"/>
      <c r="E35" s="40"/>
      <c r="F35" s="40"/>
      <c r="G35" s="219"/>
      <c r="H35" s="236">
        <v>30</v>
      </c>
      <c r="I35" s="237" t="str">
        <f t="shared" si="1"/>
        <v/>
      </c>
      <c r="J35" s="236" t="e">
        <f t="shared" si="5"/>
        <v>#NUM!</v>
      </c>
      <c r="K35" s="236" t="e">
        <f t="shared" si="2"/>
        <v>#NUM!</v>
      </c>
      <c r="L35" s="236"/>
      <c r="M35" s="238">
        <f t="shared" si="3"/>
        <v>0</v>
      </c>
    </row>
    <row r="36" spans="1:19" x14ac:dyDescent="0.25">
      <c r="A36" s="97">
        <f t="shared" si="4"/>
        <v>0</v>
      </c>
      <c r="B36" s="33" t="str">
        <f t="shared" si="0"/>
        <v/>
      </c>
      <c r="C36" s="34"/>
      <c r="D36" s="34"/>
      <c r="E36" s="34"/>
      <c r="F36" s="34"/>
      <c r="G36" s="219"/>
      <c r="H36" s="233">
        <v>31</v>
      </c>
      <c r="I36" s="234" t="str">
        <f t="shared" si="1"/>
        <v/>
      </c>
      <c r="J36" s="233" t="e">
        <f t="shared" si="5"/>
        <v>#NUM!</v>
      </c>
      <c r="K36" s="233" t="e">
        <f t="shared" si="2"/>
        <v>#NUM!</v>
      </c>
      <c r="L36" s="233"/>
      <c r="M36" s="235">
        <f t="shared" si="3"/>
        <v>0</v>
      </c>
      <c r="R36" s="246"/>
      <c r="S36" s="247"/>
    </row>
    <row r="37" spans="1:19" x14ac:dyDescent="0.25">
      <c r="A37" s="101">
        <f t="shared" si="4"/>
        <v>0</v>
      </c>
      <c r="B37" s="39" t="str">
        <f t="shared" si="0"/>
        <v/>
      </c>
      <c r="C37" s="40"/>
      <c r="D37" s="40"/>
      <c r="E37" s="40"/>
      <c r="F37" s="40"/>
      <c r="G37" s="219"/>
      <c r="H37" s="236">
        <v>32</v>
      </c>
      <c r="I37" s="237" t="str">
        <f t="shared" si="1"/>
        <v/>
      </c>
      <c r="J37" s="236" t="e">
        <f t="shared" si="5"/>
        <v>#NUM!</v>
      </c>
      <c r="K37" s="236" t="e">
        <f t="shared" si="2"/>
        <v>#NUM!</v>
      </c>
      <c r="L37" s="236"/>
      <c r="M37" s="238">
        <f t="shared" si="3"/>
        <v>0</v>
      </c>
    </row>
    <row r="38" spans="1:19" x14ac:dyDescent="0.25">
      <c r="A38" s="97">
        <f t="shared" si="4"/>
        <v>0</v>
      </c>
      <c r="B38" s="33" t="str">
        <f t="shared" si="0"/>
        <v/>
      </c>
      <c r="C38" s="34"/>
      <c r="D38" s="34"/>
      <c r="E38" s="34"/>
      <c r="F38" s="34"/>
      <c r="G38" s="219"/>
      <c r="H38" s="233">
        <v>33</v>
      </c>
      <c r="I38" s="234" t="str">
        <f t="shared" si="1"/>
        <v/>
      </c>
      <c r="J38" s="233" t="e">
        <f t="shared" si="5"/>
        <v>#NUM!</v>
      </c>
      <c r="K38" s="233" t="e">
        <f t="shared" si="2"/>
        <v>#NUM!</v>
      </c>
      <c r="L38" s="233"/>
      <c r="M38" s="235">
        <f t="shared" si="3"/>
        <v>0</v>
      </c>
    </row>
    <row r="39" spans="1:19" x14ac:dyDescent="0.25">
      <c r="A39" s="101">
        <f t="shared" si="4"/>
        <v>0</v>
      </c>
      <c r="B39" s="39" t="str">
        <f t="shared" si="0"/>
        <v/>
      </c>
      <c r="C39" s="40"/>
      <c r="D39" s="40"/>
      <c r="E39" s="40"/>
      <c r="F39" s="40"/>
      <c r="G39" s="219"/>
      <c r="H39" s="236">
        <v>34</v>
      </c>
      <c r="I39" s="237" t="str">
        <f t="shared" si="1"/>
        <v/>
      </c>
      <c r="J39" s="236" t="e">
        <f t="shared" si="5"/>
        <v>#NUM!</v>
      </c>
      <c r="K39" s="236" t="e">
        <f t="shared" si="2"/>
        <v>#NUM!</v>
      </c>
      <c r="L39" s="236"/>
      <c r="M39" s="238">
        <f t="shared" si="3"/>
        <v>0</v>
      </c>
    </row>
    <row r="40" spans="1:19" x14ac:dyDescent="0.25">
      <c r="A40" s="97">
        <f t="shared" si="4"/>
        <v>0</v>
      </c>
      <c r="B40" s="33" t="str">
        <f t="shared" si="0"/>
        <v/>
      </c>
      <c r="C40" s="34"/>
      <c r="D40" s="34"/>
      <c r="E40" s="34"/>
      <c r="F40" s="34"/>
      <c r="G40" s="219"/>
      <c r="H40" s="233">
        <v>35</v>
      </c>
      <c r="I40" s="234" t="str">
        <f t="shared" si="1"/>
        <v/>
      </c>
      <c r="J40" s="233" t="e">
        <f t="shared" si="5"/>
        <v>#NUM!</v>
      </c>
      <c r="K40" s="233" t="e">
        <f t="shared" si="2"/>
        <v>#NUM!</v>
      </c>
      <c r="L40" s="233"/>
      <c r="M40" s="235">
        <f t="shared" si="3"/>
        <v>0</v>
      </c>
    </row>
    <row r="41" spans="1:19" x14ac:dyDescent="0.25">
      <c r="A41" s="101">
        <f t="shared" si="4"/>
        <v>0</v>
      </c>
      <c r="B41" s="39" t="str">
        <f t="shared" si="0"/>
        <v/>
      </c>
      <c r="C41" s="40"/>
      <c r="D41" s="40"/>
      <c r="E41" s="40"/>
      <c r="F41" s="40"/>
      <c r="G41" s="219"/>
      <c r="H41" s="236">
        <v>36</v>
      </c>
      <c r="I41" s="237" t="str">
        <f t="shared" si="1"/>
        <v/>
      </c>
      <c r="J41" s="236" t="e">
        <f t="shared" si="5"/>
        <v>#NUM!</v>
      </c>
      <c r="K41" s="236" t="e">
        <f t="shared" si="2"/>
        <v>#NUM!</v>
      </c>
      <c r="L41" s="236"/>
      <c r="M41" s="238">
        <f t="shared" si="3"/>
        <v>0</v>
      </c>
      <c r="S41" s="248"/>
    </row>
    <row r="42" spans="1:19" x14ac:dyDescent="0.25">
      <c r="A42" s="97">
        <f t="shared" si="4"/>
        <v>0</v>
      </c>
      <c r="B42" s="33" t="str">
        <f t="shared" si="0"/>
        <v/>
      </c>
      <c r="C42" s="34"/>
      <c r="D42" s="34"/>
      <c r="E42" s="34"/>
      <c r="F42" s="34"/>
      <c r="G42" s="219"/>
      <c r="H42" s="233">
        <v>37</v>
      </c>
      <c r="I42" s="234" t="str">
        <f t="shared" si="1"/>
        <v/>
      </c>
      <c r="J42" s="233" t="e">
        <f t="shared" si="5"/>
        <v>#NUM!</v>
      </c>
      <c r="K42" s="233" t="e">
        <f t="shared" si="2"/>
        <v>#NUM!</v>
      </c>
      <c r="L42" s="233"/>
      <c r="M42" s="235">
        <f t="shared" si="3"/>
        <v>0</v>
      </c>
    </row>
    <row r="43" spans="1:19" x14ac:dyDescent="0.25">
      <c r="A43" s="101">
        <f t="shared" si="4"/>
        <v>0</v>
      </c>
      <c r="B43" s="39" t="str">
        <f t="shared" si="0"/>
        <v/>
      </c>
      <c r="C43" s="40"/>
      <c r="D43" s="40"/>
      <c r="E43" s="40"/>
      <c r="F43" s="40"/>
      <c r="G43" s="219"/>
      <c r="H43" s="236">
        <v>38</v>
      </c>
      <c r="I43" s="237" t="str">
        <f t="shared" si="1"/>
        <v/>
      </c>
      <c r="J43" s="236" t="e">
        <f t="shared" si="5"/>
        <v>#NUM!</v>
      </c>
      <c r="K43" s="236" t="e">
        <f t="shared" si="2"/>
        <v>#NUM!</v>
      </c>
      <c r="L43" s="236"/>
      <c r="M43" s="238">
        <f t="shared" si="3"/>
        <v>0</v>
      </c>
    </row>
    <row r="44" spans="1:19" x14ac:dyDescent="0.25">
      <c r="A44" s="97">
        <f t="shared" si="4"/>
        <v>0</v>
      </c>
      <c r="B44" s="33" t="str">
        <f t="shared" si="0"/>
        <v/>
      </c>
      <c r="C44" s="34"/>
      <c r="D44" s="34"/>
      <c r="E44" s="34"/>
      <c r="F44" s="34"/>
      <c r="G44" s="219"/>
      <c r="H44" s="233">
        <v>39</v>
      </c>
      <c r="I44" s="234" t="str">
        <f t="shared" si="1"/>
        <v/>
      </c>
      <c r="J44" s="233" t="e">
        <f t="shared" si="5"/>
        <v>#NUM!</v>
      </c>
      <c r="K44" s="233" t="e">
        <f t="shared" si="2"/>
        <v>#NUM!</v>
      </c>
      <c r="L44" s="233"/>
      <c r="M44" s="235">
        <f t="shared" si="3"/>
        <v>0</v>
      </c>
    </row>
    <row r="45" spans="1:19" x14ac:dyDescent="0.25">
      <c r="A45" s="101">
        <f t="shared" si="4"/>
        <v>0</v>
      </c>
      <c r="B45" s="39" t="str">
        <f t="shared" si="0"/>
        <v/>
      </c>
      <c r="C45" s="40"/>
      <c r="D45" s="40"/>
      <c r="E45" s="40"/>
      <c r="F45" s="40"/>
      <c r="G45" s="219"/>
      <c r="H45" s="236">
        <v>40</v>
      </c>
      <c r="I45" s="237" t="str">
        <f t="shared" si="1"/>
        <v/>
      </c>
      <c r="J45" s="236" t="e">
        <f t="shared" si="5"/>
        <v>#NUM!</v>
      </c>
      <c r="K45" s="236" t="e">
        <f t="shared" si="2"/>
        <v>#NUM!</v>
      </c>
      <c r="L45" s="236"/>
      <c r="M45" s="238">
        <f t="shared" si="3"/>
        <v>0</v>
      </c>
    </row>
    <row r="46" spans="1:19" x14ac:dyDescent="0.25">
      <c r="A46" s="97">
        <f t="shared" si="4"/>
        <v>0</v>
      </c>
      <c r="B46" s="33" t="str">
        <f t="shared" si="0"/>
        <v/>
      </c>
      <c r="C46" s="34"/>
      <c r="D46" s="34"/>
      <c r="E46" s="34"/>
      <c r="F46" s="34"/>
      <c r="G46" s="219"/>
      <c r="H46" s="233">
        <v>41</v>
      </c>
      <c r="I46" s="234" t="str">
        <f t="shared" si="1"/>
        <v/>
      </c>
      <c r="J46" s="233" t="e">
        <f t="shared" si="5"/>
        <v>#NUM!</v>
      </c>
      <c r="K46" s="233" t="e">
        <f t="shared" si="2"/>
        <v>#NUM!</v>
      </c>
      <c r="L46" s="233"/>
      <c r="M46" s="235">
        <f t="shared" si="3"/>
        <v>0</v>
      </c>
    </row>
    <row r="47" spans="1:19" x14ac:dyDescent="0.25">
      <c r="A47" s="101">
        <f t="shared" si="4"/>
        <v>0</v>
      </c>
      <c r="B47" s="39" t="str">
        <f t="shared" si="0"/>
        <v/>
      </c>
      <c r="C47" s="40"/>
      <c r="D47" s="40"/>
      <c r="E47" s="40"/>
      <c r="F47" s="40"/>
      <c r="G47" s="219"/>
      <c r="H47" s="236">
        <v>42</v>
      </c>
      <c r="I47" s="237" t="str">
        <f t="shared" si="1"/>
        <v/>
      </c>
      <c r="J47" s="236" t="e">
        <f t="shared" si="5"/>
        <v>#NUM!</v>
      </c>
      <c r="K47" s="236" t="e">
        <f t="shared" si="2"/>
        <v>#NUM!</v>
      </c>
      <c r="L47" s="236"/>
      <c r="M47" s="238">
        <f t="shared" si="3"/>
        <v>0</v>
      </c>
    </row>
    <row r="48" spans="1:19" x14ac:dyDescent="0.25">
      <c r="A48" s="97">
        <f t="shared" si="4"/>
        <v>0</v>
      </c>
      <c r="B48" s="33" t="str">
        <f t="shared" si="0"/>
        <v/>
      </c>
      <c r="C48" s="34"/>
      <c r="D48" s="34"/>
      <c r="E48" s="34"/>
      <c r="F48" s="34"/>
      <c r="G48" s="219"/>
      <c r="H48" s="233">
        <v>43</v>
      </c>
      <c r="I48" s="234" t="str">
        <f t="shared" si="1"/>
        <v/>
      </c>
      <c r="J48" s="233" t="e">
        <f t="shared" si="5"/>
        <v>#NUM!</v>
      </c>
      <c r="K48" s="233" t="e">
        <f t="shared" si="2"/>
        <v>#NUM!</v>
      </c>
      <c r="L48" s="233"/>
      <c r="M48" s="235">
        <f t="shared" si="3"/>
        <v>0</v>
      </c>
    </row>
    <row r="49" spans="1:38" x14ac:dyDescent="0.25">
      <c r="A49" s="101">
        <f t="shared" si="4"/>
        <v>0</v>
      </c>
      <c r="B49" s="39" t="str">
        <f t="shared" si="0"/>
        <v/>
      </c>
      <c r="C49" s="40"/>
      <c r="D49" s="40"/>
      <c r="E49" s="40"/>
      <c r="F49" s="40"/>
      <c r="G49" s="219"/>
      <c r="H49" s="236">
        <v>44</v>
      </c>
      <c r="I49" s="237" t="str">
        <f t="shared" si="1"/>
        <v/>
      </c>
      <c r="J49" s="236" t="e">
        <f t="shared" si="5"/>
        <v>#NUM!</v>
      </c>
      <c r="K49" s="236" t="e">
        <f t="shared" si="2"/>
        <v>#NUM!</v>
      </c>
      <c r="L49" s="236"/>
      <c r="M49" s="238">
        <f t="shared" si="3"/>
        <v>0</v>
      </c>
    </row>
    <row r="50" spans="1:38" x14ac:dyDescent="0.25">
      <c r="A50" s="97">
        <f t="shared" si="4"/>
        <v>0</v>
      </c>
      <c r="B50" s="33" t="str">
        <f t="shared" si="0"/>
        <v/>
      </c>
      <c r="C50" s="34"/>
      <c r="D50" s="34"/>
      <c r="E50" s="34"/>
      <c r="F50" s="34"/>
      <c r="G50" s="219"/>
      <c r="H50" s="233">
        <v>45</v>
      </c>
      <c r="I50" s="234" t="str">
        <f t="shared" si="1"/>
        <v/>
      </c>
      <c r="J50" s="233" t="e">
        <f t="shared" si="5"/>
        <v>#NUM!</v>
      </c>
      <c r="K50" s="233" t="e">
        <f t="shared" si="2"/>
        <v>#NUM!</v>
      </c>
      <c r="L50" s="233"/>
      <c r="M50" s="235">
        <f t="shared" si="3"/>
        <v>0</v>
      </c>
    </row>
    <row r="51" spans="1:38" x14ac:dyDescent="0.25">
      <c r="A51" s="101">
        <f t="shared" si="4"/>
        <v>0</v>
      </c>
      <c r="B51" s="39" t="str">
        <f t="shared" si="0"/>
        <v/>
      </c>
      <c r="C51" s="40"/>
      <c r="D51" s="40"/>
      <c r="E51" s="40"/>
      <c r="F51" s="40"/>
      <c r="G51" s="219"/>
      <c r="H51" s="236">
        <v>46</v>
      </c>
      <c r="I51" s="237" t="str">
        <f t="shared" si="1"/>
        <v/>
      </c>
      <c r="J51" s="236" t="e">
        <f t="shared" si="5"/>
        <v>#NUM!</v>
      </c>
      <c r="K51" s="236" t="e">
        <f t="shared" si="2"/>
        <v>#NUM!</v>
      </c>
      <c r="L51" s="236"/>
      <c r="M51" s="238">
        <f t="shared" si="3"/>
        <v>0</v>
      </c>
    </row>
    <row r="52" spans="1:38" x14ac:dyDescent="0.25">
      <c r="A52" s="97">
        <f t="shared" si="4"/>
        <v>0</v>
      </c>
      <c r="B52" s="33" t="str">
        <f t="shared" si="0"/>
        <v/>
      </c>
      <c r="C52" s="34"/>
      <c r="D52" s="34"/>
      <c r="E52" s="34"/>
      <c r="F52" s="34"/>
      <c r="G52" s="219"/>
      <c r="H52" s="233">
        <v>47</v>
      </c>
      <c r="I52" s="234" t="str">
        <f t="shared" si="1"/>
        <v/>
      </c>
      <c r="J52" s="233" t="e">
        <f t="shared" si="5"/>
        <v>#NUM!</v>
      </c>
      <c r="K52" s="233" t="e">
        <f t="shared" si="2"/>
        <v>#NUM!</v>
      </c>
      <c r="L52" s="233"/>
      <c r="M52" s="235">
        <f t="shared" si="3"/>
        <v>0</v>
      </c>
    </row>
    <row r="53" spans="1:38" x14ac:dyDescent="0.25">
      <c r="A53" s="101">
        <f t="shared" si="4"/>
        <v>0</v>
      </c>
      <c r="B53" s="39" t="str">
        <f t="shared" si="0"/>
        <v/>
      </c>
      <c r="C53" s="40"/>
      <c r="D53" s="40"/>
      <c r="E53" s="40"/>
      <c r="F53" s="40"/>
      <c r="G53" s="219"/>
      <c r="H53" s="236">
        <v>48</v>
      </c>
      <c r="I53" s="237" t="str">
        <f t="shared" si="1"/>
        <v/>
      </c>
      <c r="J53" s="236" t="e">
        <f t="shared" si="5"/>
        <v>#NUM!</v>
      </c>
      <c r="K53" s="236" t="e">
        <f t="shared" si="2"/>
        <v>#NUM!</v>
      </c>
      <c r="L53" s="236"/>
      <c r="M53" s="238">
        <f t="shared" si="3"/>
        <v>0</v>
      </c>
    </row>
    <row r="54" spans="1:38" x14ac:dyDescent="0.25">
      <c r="A54" s="97">
        <f t="shared" si="4"/>
        <v>0</v>
      </c>
      <c r="B54" s="33" t="str">
        <f t="shared" si="0"/>
        <v/>
      </c>
      <c r="C54" s="34"/>
      <c r="D54" s="34"/>
      <c r="E54" s="34"/>
      <c r="F54" s="34"/>
      <c r="G54" s="219"/>
      <c r="H54" s="233">
        <v>49</v>
      </c>
      <c r="I54" s="234" t="str">
        <f t="shared" si="1"/>
        <v/>
      </c>
      <c r="J54" s="233" t="e">
        <f t="shared" si="5"/>
        <v>#NUM!</v>
      </c>
      <c r="K54" s="233" t="e">
        <f t="shared" si="2"/>
        <v>#NUM!</v>
      </c>
      <c r="L54" s="233"/>
      <c r="M54" s="235">
        <f t="shared" si="3"/>
        <v>0</v>
      </c>
    </row>
    <row r="55" spans="1:38" x14ac:dyDescent="0.25">
      <c r="A55" s="101">
        <f t="shared" si="4"/>
        <v>0</v>
      </c>
      <c r="B55" s="39" t="str">
        <f t="shared" si="0"/>
        <v/>
      </c>
      <c r="C55" s="40"/>
      <c r="D55" s="40"/>
      <c r="E55" s="40"/>
      <c r="F55" s="40"/>
      <c r="G55" s="219"/>
      <c r="H55" s="236">
        <v>50</v>
      </c>
      <c r="I55" s="237" t="str">
        <f t="shared" si="1"/>
        <v/>
      </c>
      <c r="J55" s="236" t="e">
        <f t="shared" si="5"/>
        <v>#NUM!</v>
      </c>
      <c r="K55" s="236" t="e">
        <f t="shared" si="2"/>
        <v>#NUM!</v>
      </c>
      <c r="L55" s="236"/>
      <c r="M55" s="238">
        <f t="shared" si="3"/>
        <v>0</v>
      </c>
    </row>
    <row r="56" spans="1:38" x14ac:dyDescent="0.25">
      <c r="A56" s="97">
        <f t="shared" si="4"/>
        <v>0</v>
      </c>
      <c r="B56" s="33" t="str">
        <f t="shared" si="0"/>
        <v/>
      </c>
      <c r="C56" s="34"/>
      <c r="D56" s="34"/>
      <c r="E56" s="34"/>
      <c r="F56" s="34"/>
      <c r="G56" s="219"/>
      <c r="H56" s="233">
        <v>51</v>
      </c>
      <c r="I56" s="234" t="str">
        <f t="shared" si="1"/>
        <v/>
      </c>
      <c r="J56" s="233" t="e">
        <f t="shared" si="5"/>
        <v>#NUM!</v>
      </c>
      <c r="K56" s="233" t="e">
        <f t="shared" si="2"/>
        <v>#NUM!</v>
      </c>
      <c r="L56" s="233"/>
      <c r="M56" s="235">
        <f t="shared" si="3"/>
        <v>0</v>
      </c>
    </row>
    <row r="57" spans="1:38" s="219" customFormat="1" x14ac:dyDescent="0.25">
      <c r="A57" s="101">
        <f t="shared" si="4"/>
        <v>0</v>
      </c>
      <c r="B57" s="39" t="str">
        <f t="shared" si="0"/>
        <v/>
      </c>
      <c r="C57" s="40"/>
      <c r="D57" s="40"/>
      <c r="E57" s="40"/>
      <c r="F57" s="40"/>
      <c r="H57" s="236">
        <v>52</v>
      </c>
      <c r="I57" s="237" t="str">
        <f t="shared" si="1"/>
        <v/>
      </c>
      <c r="J57" s="236" t="e">
        <f t="shared" si="5"/>
        <v>#NUM!</v>
      </c>
      <c r="K57" s="236" t="e">
        <f t="shared" si="2"/>
        <v>#NUM!</v>
      </c>
      <c r="L57" s="236"/>
      <c r="M57" s="238">
        <f t="shared" si="3"/>
        <v>0</v>
      </c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  <c r="AF57" s="224"/>
      <c r="AG57" s="224"/>
      <c r="AH57" s="224"/>
      <c r="AI57" s="224"/>
      <c r="AJ57" s="224"/>
      <c r="AK57" s="224"/>
      <c r="AL57" s="224"/>
    </row>
    <row r="58" spans="1:38" s="219" customFormat="1" x14ac:dyDescent="0.25">
      <c r="A58" s="97">
        <f t="shared" si="4"/>
        <v>0</v>
      </c>
      <c r="B58" s="33" t="str">
        <f t="shared" si="0"/>
        <v/>
      </c>
      <c r="C58" s="34"/>
      <c r="D58" s="34"/>
      <c r="E58" s="34"/>
      <c r="F58" s="34"/>
      <c r="H58" s="233">
        <v>53</v>
      </c>
      <c r="I58" s="234" t="str">
        <f t="shared" si="1"/>
        <v/>
      </c>
      <c r="J58" s="233" t="e">
        <f t="shared" si="5"/>
        <v>#NUM!</v>
      </c>
      <c r="K58" s="233" t="e">
        <f t="shared" si="2"/>
        <v>#NUM!</v>
      </c>
      <c r="L58" s="233"/>
      <c r="M58" s="235">
        <f t="shared" si="3"/>
        <v>0</v>
      </c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  <c r="AF58" s="224"/>
      <c r="AG58" s="224"/>
      <c r="AH58" s="224"/>
      <c r="AI58" s="224"/>
      <c r="AJ58" s="224"/>
      <c r="AK58" s="224"/>
      <c r="AL58" s="224"/>
    </row>
    <row r="59" spans="1:38" s="219" customFormat="1" x14ac:dyDescent="0.25">
      <c r="A59" s="101">
        <f t="shared" si="4"/>
        <v>0</v>
      </c>
      <c r="B59" s="39" t="str">
        <f t="shared" si="0"/>
        <v/>
      </c>
      <c r="C59" s="40"/>
      <c r="D59" s="40"/>
      <c r="E59" s="40"/>
      <c r="F59" s="40"/>
      <c r="H59" s="236">
        <v>54</v>
      </c>
      <c r="I59" s="237" t="str">
        <f t="shared" si="1"/>
        <v/>
      </c>
      <c r="J59" s="236" t="e">
        <f t="shared" si="5"/>
        <v>#NUM!</v>
      </c>
      <c r="K59" s="236" t="e">
        <f t="shared" si="2"/>
        <v>#NUM!</v>
      </c>
      <c r="L59" s="236"/>
      <c r="M59" s="238">
        <f t="shared" si="3"/>
        <v>0</v>
      </c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  <c r="AF59" s="224"/>
      <c r="AG59" s="224"/>
      <c r="AH59" s="224"/>
      <c r="AI59" s="224"/>
      <c r="AJ59" s="224"/>
      <c r="AK59" s="224"/>
      <c r="AL59" s="224"/>
    </row>
    <row r="60" spans="1:38" s="219" customFormat="1" x14ac:dyDescent="0.25">
      <c r="A60" s="97">
        <f t="shared" si="4"/>
        <v>0</v>
      </c>
      <c r="B60" s="33" t="str">
        <f t="shared" si="0"/>
        <v/>
      </c>
      <c r="C60" s="34"/>
      <c r="D60" s="34"/>
      <c r="E60" s="34"/>
      <c r="F60" s="34"/>
      <c r="H60" s="233">
        <v>55</v>
      </c>
      <c r="I60" s="234" t="str">
        <f t="shared" si="1"/>
        <v/>
      </c>
      <c r="J60" s="233" t="e">
        <f t="shared" si="5"/>
        <v>#NUM!</v>
      </c>
      <c r="K60" s="233" t="e">
        <f t="shared" si="2"/>
        <v>#NUM!</v>
      </c>
      <c r="L60" s="233"/>
      <c r="M60" s="235">
        <f t="shared" si="3"/>
        <v>0</v>
      </c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  <c r="AF60" s="224"/>
      <c r="AG60" s="224"/>
      <c r="AH60" s="224"/>
      <c r="AI60" s="224"/>
      <c r="AJ60" s="224"/>
      <c r="AK60" s="224"/>
      <c r="AL60" s="224"/>
    </row>
    <row r="61" spans="1:38" s="219" customFormat="1" x14ac:dyDescent="0.25">
      <c r="A61" s="101">
        <f t="shared" si="4"/>
        <v>0</v>
      </c>
      <c r="B61" s="39" t="str">
        <f t="shared" si="0"/>
        <v/>
      </c>
      <c r="C61" s="40"/>
      <c r="D61" s="40"/>
      <c r="E61" s="40"/>
      <c r="F61" s="40"/>
      <c r="H61" s="236">
        <v>56</v>
      </c>
      <c r="I61" s="237" t="str">
        <f t="shared" si="1"/>
        <v/>
      </c>
      <c r="J61" s="236" t="e">
        <f t="shared" si="5"/>
        <v>#NUM!</v>
      </c>
      <c r="K61" s="236" t="e">
        <f t="shared" si="2"/>
        <v>#NUM!</v>
      </c>
      <c r="L61" s="236"/>
      <c r="M61" s="238">
        <f t="shared" si="3"/>
        <v>0</v>
      </c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  <c r="AF61" s="224"/>
      <c r="AG61" s="224"/>
      <c r="AH61" s="224"/>
      <c r="AI61" s="224"/>
      <c r="AJ61" s="224"/>
      <c r="AK61" s="224"/>
      <c r="AL61" s="224"/>
    </row>
    <row r="62" spans="1:38" s="219" customFormat="1" x14ac:dyDescent="0.25">
      <c r="A62" s="97">
        <f t="shared" si="4"/>
        <v>0</v>
      </c>
      <c r="B62" s="33" t="str">
        <f t="shared" si="0"/>
        <v/>
      </c>
      <c r="C62" s="34"/>
      <c r="D62" s="34"/>
      <c r="E62" s="34"/>
      <c r="F62" s="34"/>
      <c r="H62" s="233">
        <v>57</v>
      </c>
      <c r="I62" s="234" t="str">
        <f t="shared" si="1"/>
        <v/>
      </c>
      <c r="J62" s="233" t="e">
        <f t="shared" si="5"/>
        <v>#NUM!</v>
      </c>
      <c r="K62" s="233" t="e">
        <f t="shared" si="2"/>
        <v>#NUM!</v>
      </c>
      <c r="L62" s="233"/>
      <c r="M62" s="235">
        <f t="shared" si="3"/>
        <v>0</v>
      </c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  <c r="AF62" s="224"/>
      <c r="AG62" s="224"/>
      <c r="AH62" s="224"/>
      <c r="AI62" s="224"/>
      <c r="AJ62" s="224"/>
      <c r="AK62" s="224"/>
      <c r="AL62" s="224"/>
    </row>
    <row r="63" spans="1:38" s="219" customFormat="1" x14ac:dyDescent="0.25">
      <c r="A63" s="101">
        <f t="shared" si="4"/>
        <v>0</v>
      </c>
      <c r="B63" s="39" t="str">
        <f t="shared" si="0"/>
        <v/>
      </c>
      <c r="C63" s="40"/>
      <c r="D63" s="40"/>
      <c r="E63" s="40"/>
      <c r="F63" s="40"/>
      <c r="H63" s="236">
        <v>58</v>
      </c>
      <c r="I63" s="237" t="str">
        <f t="shared" si="1"/>
        <v/>
      </c>
      <c r="J63" s="236" t="e">
        <f t="shared" si="5"/>
        <v>#NUM!</v>
      </c>
      <c r="K63" s="236" t="e">
        <f t="shared" si="2"/>
        <v>#NUM!</v>
      </c>
      <c r="L63" s="236"/>
      <c r="M63" s="238">
        <f t="shared" si="3"/>
        <v>0</v>
      </c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  <c r="AF63" s="224"/>
      <c r="AG63" s="224"/>
      <c r="AH63" s="224"/>
      <c r="AI63" s="224"/>
      <c r="AJ63" s="224"/>
      <c r="AK63" s="224"/>
      <c r="AL63" s="224"/>
    </row>
    <row r="64" spans="1:38" s="219" customFormat="1" x14ac:dyDescent="0.25">
      <c r="A64" s="97">
        <f t="shared" si="4"/>
        <v>0</v>
      </c>
      <c r="B64" s="33" t="str">
        <f t="shared" si="0"/>
        <v/>
      </c>
      <c r="C64" s="34"/>
      <c r="D64" s="34"/>
      <c r="E64" s="34"/>
      <c r="F64" s="34"/>
      <c r="H64" s="233">
        <v>59</v>
      </c>
      <c r="I64" s="234" t="str">
        <f t="shared" si="1"/>
        <v/>
      </c>
      <c r="J64" s="233" t="e">
        <f t="shared" si="5"/>
        <v>#NUM!</v>
      </c>
      <c r="K64" s="233" t="e">
        <f t="shared" si="2"/>
        <v>#NUM!</v>
      </c>
      <c r="L64" s="233"/>
      <c r="M64" s="235">
        <f t="shared" si="3"/>
        <v>0</v>
      </c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  <c r="AF64" s="224"/>
      <c r="AG64" s="224"/>
      <c r="AH64" s="224"/>
      <c r="AI64" s="224"/>
      <c r="AJ64" s="224"/>
      <c r="AK64" s="224"/>
      <c r="AL64" s="224"/>
    </row>
    <row r="65" spans="1:38" s="219" customFormat="1" x14ac:dyDescent="0.25">
      <c r="A65" s="101">
        <f t="shared" si="4"/>
        <v>0</v>
      </c>
      <c r="B65" s="39" t="str">
        <f t="shared" si="0"/>
        <v/>
      </c>
      <c r="C65" s="40"/>
      <c r="D65" s="40"/>
      <c r="E65" s="40"/>
      <c r="F65" s="40"/>
      <c r="H65" s="236">
        <v>60</v>
      </c>
      <c r="I65" s="237" t="str">
        <f t="shared" si="1"/>
        <v/>
      </c>
      <c r="J65" s="236" t="e">
        <f t="shared" si="5"/>
        <v>#NUM!</v>
      </c>
      <c r="K65" s="236" t="e">
        <f t="shared" si="2"/>
        <v>#NUM!</v>
      </c>
      <c r="L65" s="236"/>
      <c r="M65" s="238">
        <f t="shared" si="3"/>
        <v>0</v>
      </c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  <c r="AF65" s="224"/>
      <c r="AG65" s="224"/>
      <c r="AH65" s="224"/>
      <c r="AI65" s="224"/>
      <c r="AJ65" s="224"/>
      <c r="AK65" s="224"/>
      <c r="AL65" s="224"/>
    </row>
    <row r="66" spans="1:38" s="219" customFormat="1" x14ac:dyDescent="0.25">
      <c r="A66" s="97">
        <f t="shared" si="4"/>
        <v>0</v>
      </c>
      <c r="B66" s="33" t="str">
        <f t="shared" si="0"/>
        <v/>
      </c>
      <c r="C66" s="34"/>
      <c r="D66" s="34"/>
      <c r="E66" s="34"/>
      <c r="F66" s="34"/>
      <c r="H66" s="233">
        <v>61</v>
      </c>
      <c r="I66" s="234" t="str">
        <f t="shared" si="1"/>
        <v/>
      </c>
      <c r="J66" s="233" t="e">
        <f t="shared" si="5"/>
        <v>#NUM!</v>
      </c>
      <c r="K66" s="233" t="e">
        <f t="shared" si="2"/>
        <v>#NUM!</v>
      </c>
      <c r="L66" s="233"/>
      <c r="M66" s="235">
        <f t="shared" si="3"/>
        <v>0</v>
      </c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  <c r="AF66" s="224"/>
      <c r="AG66" s="224"/>
      <c r="AH66" s="224"/>
      <c r="AI66" s="224"/>
      <c r="AJ66" s="224"/>
      <c r="AK66" s="224"/>
      <c r="AL66" s="224"/>
    </row>
    <row r="67" spans="1:38" s="219" customFormat="1" x14ac:dyDescent="0.25">
      <c r="A67" s="101">
        <f t="shared" si="4"/>
        <v>0</v>
      </c>
      <c r="B67" s="39" t="str">
        <f t="shared" si="0"/>
        <v/>
      </c>
      <c r="C67" s="40"/>
      <c r="D67" s="40"/>
      <c r="E67" s="40"/>
      <c r="F67" s="40"/>
      <c r="H67" s="236">
        <v>62</v>
      </c>
      <c r="I67" s="237" t="str">
        <f t="shared" si="1"/>
        <v/>
      </c>
      <c r="J67" s="236" t="e">
        <f t="shared" si="5"/>
        <v>#NUM!</v>
      </c>
      <c r="K67" s="236" t="e">
        <f t="shared" si="2"/>
        <v>#NUM!</v>
      </c>
      <c r="L67" s="236"/>
      <c r="M67" s="238">
        <f t="shared" si="3"/>
        <v>0</v>
      </c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  <c r="AF67" s="224"/>
      <c r="AG67" s="224"/>
      <c r="AH67" s="224"/>
      <c r="AI67" s="224"/>
      <c r="AJ67" s="224"/>
      <c r="AK67" s="224"/>
      <c r="AL67" s="224"/>
    </row>
    <row r="68" spans="1:38" s="219" customFormat="1" x14ac:dyDescent="0.25">
      <c r="A68" s="97">
        <f t="shared" si="4"/>
        <v>0</v>
      </c>
      <c r="B68" s="33" t="str">
        <f t="shared" si="0"/>
        <v/>
      </c>
      <c r="C68" s="34"/>
      <c r="D68" s="34"/>
      <c r="E68" s="34"/>
      <c r="F68" s="34"/>
      <c r="H68" s="233">
        <v>63</v>
      </c>
      <c r="I68" s="234" t="str">
        <f t="shared" si="1"/>
        <v/>
      </c>
      <c r="J68" s="233" t="e">
        <f t="shared" si="5"/>
        <v>#NUM!</v>
      </c>
      <c r="K68" s="233" t="e">
        <f t="shared" si="2"/>
        <v>#NUM!</v>
      </c>
      <c r="L68" s="233"/>
      <c r="M68" s="235">
        <f t="shared" si="3"/>
        <v>0</v>
      </c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  <c r="AF68" s="224"/>
      <c r="AG68" s="224"/>
      <c r="AH68" s="224"/>
      <c r="AI68" s="224"/>
      <c r="AJ68" s="224"/>
      <c r="AK68" s="224"/>
      <c r="AL68" s="224"/>
    </row>
    <row r="69" spans="1:38" s="219" customFormat="1" x14ac:dyDescent="0.25">
      <c r="A69" s="101">
        <f t="shared" si="4"/>
        <v>0</v>
      </c>
      <c r="B69" s="39" t="str">
        <f t="shared" si="0"/>
        <v/>
      </c>
      <c r="C69" s="40"/>
      <c r="D69" s="40"/>
      <c r="E69" s="40"/>
      <c r="F69" s="40"/>
      <c r="H69" s="236">
        <v>64</v>
      </c>
      <c r="I69" s="237" t="str">
        <f t="shared" si="1"/>
        <v/>
      </c>
      <c r="J69" s="236" t="e">
        <f t="shared" si="5"/>
        <v>#NUM!</v>
      </c>
      <c r="K69" s="236" t="e">
        <f t="shared" si="2"/>
        <v>#NUM!</v>
      </c>
      <c r="L69" s="236"/>
      <c r="M69" s="238">
        <f t="shared" si="3"/>
        <v>0</v>
      </c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  <c r="AF69" s="224"/>
      <c r="AG69" s="224"/>
      <c r="AH69" s="224"/>
      <c r="AI69" s="224"/>
      <c r="AJ69" s="224"/>
      <c r="AK69" s="224"/>
      <c r="AL69" s="224"/>
    </row>
    <row r="70" spans="1:38" s="219" customFormat="1" x14ac:dyDescent="0.25">
      <c r="A70" s="97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33">
        <v>65</v>
      </c>
      <c r="I70" s="234" t="str">
        <f t="shared" ref="I70:I133" si="7">IF(H70&lt;$H$2+1,($I$2-($I$2-1)*(LOG(H70)/LOG($H$2))),"")</f>
        <v/>
      </c>
      <c r="J70" s="233" t="e">
        <f t="shared" si="5"/>
        <v>#NUM!</v>
      </c>
      <c r="K70" s="233" t="e">
        <f t="shared" ref="K70:K133" si="8">J70*$J$2</f>
        <v>#NUM!</v>
      </c>
      <c r="L70" s="233"/>
      <c r="M70" s="235">
        <f t="shared" ref="M70:M133" si="9">IF(I70&lt;&gt;"",K70+I70+L70,0)</f>
        <v>0</v>
      </c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  <c r="AF70" s="224"/>
      <c r="AG70" s="224"/>
      <c r="AH70" s="224"/>
      <c r="AI70" s="224"/>
      <c r="AJ70" s="224"/>
      <c r="AK70" s="224"/>
      <c r="AL70" s="224"/>
    </row>
    <row r="71" spans="1:38" s="219" customFormat="1" x14ac:dyDescent="0.25">
      <c r="A71" s="101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36">
        <v>66</v>
      </c>
      <c r="I71" s="237" t="str">
        <f t="shared" si="7"/>
        <v/>
      </c>
      <c r="J71" s="236" t="e">
        <f t="shared" ref="J71:J134" si="11">INT(LOG($H$2,2))-ROUNDUP(LOG(H71,2),0)+IF(OR($H$2=1,$H$2=2,$H$2=4,$H$2=8,$H$2=16,$H$2=32,$H$2=64,$H$2=128,$H$2=256),0,1)</f>
        <v>#NUM!</v>
      </c>
      <c r="K71" s="236" t="e">
        <f t="shared" si="8"/>
        <v>#NUM!</v>
      </c>
      <c r="L71" s="236"/>
      <c r="M71" s="238">
        <f t="shared" si="9"/>
        <v>0</v>
      </c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  <c r="AF71" s="224"/>
      <c r="AG71" s="224"/>
      <c r="AH71" s="224"/>
      <c r="AI71" s="224"/>
      <c r="AJ71" s="224"/>
      <c r="AK71" s="224"/>
      <c r="AL71" s="224"/>
    </row>
    <row r="72" spans="1:38" s="219" customFormat="1" x14ac:dyDescent="0.25">
      <c r="A72" s="97">
        <f t="shared" si="10"/>
        <v>0</v>
      </c>
      <c r="B72" s="33" t="str">
        <f t="shared" si="6"/>
        <v/>
      </c>
      <c r="C72" s="34"/>
      <c r="D72" s="34"/>
      <c r="E72" s="34"/>
      <c r="F72" s="34"/>
      <c r="H72" s="233">
        <v>67</v>
      </c>
      <c r="I72" s="234" t="str">
        <f t="shared" si="7"/>
        <v/>
      </c>
      <c r="J72" s="233" t="e">
        <f t="shared" si="11"/>
        <v>#NUM!</v>
      </c>
      <c r="K72" s="233" t="e">
        <f t="shared" si="8"/>
        <v>#NUM!</v>
      </c>
      <c r="L72" s="233"/>
      <c r="M72" s="235">
        <f t="shared" si="9"/>
        <v>0</v>
      </c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  <c r="AF72" s="224"/>
      <c r="AG72" s="224"/>
      <c r="AH72" s="224"/>
      <c r="AI72" s="224"/>
      <c r="AJ72" s="224"/>
      <c r="AK72" s="224"/>
      <c r="AL72" s="224"/>
    </row>
    <row r="73" spans="1:38" s="219" customFormat="1" x14ac:dyDescent="0.25">
      <c r="A73" s="101">
        <f t="shared" si="10"/>
        <v>0</v>
      </c>
      <c r="B73" s="39" t="str">
        <f t="shared" si="6"/>
        <v/>
      </c>
      <c r="C73" s="40"/>
      <c r="D73" s="40"/>
      <c r="E73" s="40"/>
      <c r="F73" s="40"/>
      <c r="H73" s="236">
        <v>68</v>
      </c>
      <c r="I73" s="237" t="str">
        <f t="shared" si="7"/>
        <v/>
      </c>
      <c r="J73" s="236" t="e">
        <f t="shared" si="11"/>
        <v>#NUM!</v>
      </c>
      <c r="K73" s="236" t="e">
        <f t="shared" si="8"/>
        <v>#NUM!</v>
      </c>
      <c r="L73" s="236"/>
      <c r="M73" s="238">
        <f t="shared" si="9"/>
        <v>0</v>
      </c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  <c r="AF73" s="224"/>
      <c r="AG73" s="224"/>
      <c r="AH73" s="224"/>
      <c r="AI73" s="224"/>
      <c r="AJ73" s="224"/>
      <c r="AK73" s="224"/>
      <c r="AL73" s="224"/>
    </row>
    <row r="74" spans="1:38" s="219" customFormat="1" x14ac:dyDescent="0.25">
      <c r="A74" s="97">
        <f t="shared" si="10"/>
        <v>0</v>
      </c>
      <c r="B74" s="33" t="str">
        <f t="shared" si="6"/>
        <v/>
      </c>
      <c r="C74" s="34"/>
      <c r="D74" s="34"/>
      <c r="E74" s="34"/>
      <c r="F74" s="34"/>
      <c r="H74" s="233">
        <v>69</v>
      </c>
      <c r="I74" s="234" t="str">
        <f t="shared" si="7"/>
        <v/>
      </c>
      <c r="J74" s="233" t="e">
        <f t="shared" si="11"/>
        <v>#NUM!</v>
      </c>
      <c r="K74" s="233" t="e">
        <f t="shared" si="8"/>
        <v>#NUM!</v>
      </c>
      <c r="L74" s="233"/>
      <c r="M74" s="235">
        <f t="shared" si="9"/>
        <v>0</v>
      </c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  <c r="AF74" s="224"/>
      <c r="AG74" s="224"/>
      <c r="AH74" s="224"/>
      <c r="AI74" s="224"/>
      <c r="AJ74" s="224"/>
      <c r="AK74" s="224"/>
      <c r="AL74" s="224"/>
    </row>
    <row r="75" spans="1:38" s="219" customFormat="1" x14ac:dyDescent="0.25">
      <c r="A75" s="101">
        <f t="shared" si="10"/>
        <v>0</v>
      </c>
      <c r="B75" s="39" t="str">
        <f t="shared" si="6"/>
        <v/>
      </c>
      <c r="C75" s="40"/>
      <c r="D75" s="40"/>
      <c r="E75" s="40"/>
      <c r="F75" s="40"/>
      <c r="H75" s="236">
        <v>70</v>
      </c>
      <c r="I75" s="237" t="str">
        <f t="shared" si="7"/>
        <v/>
      </c>
      <c r="J75" s="236" t="e">
        <f t="shared" si="11"/>
        <v>#NUM!</v>
      </c>
      <c r="K75" s="236" t="e">
        <f t="shared" si="8"/>
        <v>#NUM!</v>
      </c>
      <c r="L75" s="236"/>
      <c r="M75" s="238">
        <f t="shared" si="9"/>
        <v>0</v>
      </c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  <c r="AF75" s="224"/>
      <c r="AG75" s="224"/>
      <c r="AH75" s="224"/>
      <c r="AI75" s="224"/>
      <c r="AJ75" s="224"/>
      <c r="AK75" s="224"/>
      <c r="AL75" s="224"/>
    </row>
    <row r="76" spans="1:38" s="219" customFormat="1" x14ac:dyDescent="0.25">
      <c r="A76" s="97">
        <f t="shared" si="10"/>
        <v>0</v>
      </c>
      <c r="B76" s="33" t="str">
        <f t="shared" si="6"/>
        <v/>
      </c>
      <c r="C76" s="34"/>
      <c r="D76" s="34"/>
      <c r="E76" s="34"/>
      <c r="F76" s="34"/>
      <c r="H76" s="233">
        <v>71</v>
      </c>
      <c r="I76" s="234" t="str">
        <f t="shared" si="7"/>
        <v/>
      </c>
      <c r="J76" s="233" t="e">
        <f t="shared" si="11"/>
        <v>#NUM!</v>
      </c>
      <c r="K76" s="233" t="e">
        <f t="shared" si="8"/>
        <v>#NUM!</v>
      </c>
      <c r="L76" s="233"/>
      <c r="M76" s="235">
        <f t="shared" si="9"/>
        <v>0</v>
      </c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</row>
    <row r="77" spans="1:38" s="219" customFormat="1" x14ac:dyDescent="0.25">
      <c r="A77" s="101">
        <f t="shared" si="10"/>
        <v>0</v>
      </c>
      <c r="B77" s="39" t="str">
        <f t="shared" si="6"/>
        <v/>
      </c>
      <c r="C77" s="40"/>
      <c r="D77" s="40"/>
      <c r="E77" s="40"/>
      <c r="F77" s="40"/>
      <c r="H77" s="236">
        <v>72</v>
      </c>
      <c r="I77" s="237" t="str">
        <f t="shared" si="7"/>
        <v/>
      </c>
      <c r="J77" s="236" t="e">
        <f t="shared" si="11"/>
        <v>#NUM!</v>
      </c>
      <c r="K77" s="236" t="e">
        <f t="shared" si="8"/>
        <v>#NUM!</v>
      </c>
      <c r="L77" s="236"/>
      <c r="M77" s="238">
        <f t="shared" si="9"/>
        <v>0</v>
      </c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</row>
    <row r="78" spans="1:38" s="219" customFormat="1" x14ac:dyDescent="0.25">
      <c r="A78" s="97">
        <f t="shared" si="10"/>
        <v>0</v>
      </c>
      <c r="B78" s="33" t="str">
        <f t="shared" si="6"/>
        <v/>
      </c>
      <c r="C78" s="34"/>
      <c r="D78" s="34"/>
      <c r="E78" s="34"/>
      <c r="F78" s="34"/>
      <c r="H78" s="233">
        <v>73</v>
      </c>
      <c r="I78" s="234" t="str">
        <f t="shared" si="7"/>
        <v/>
      </c>
      <c r="J78" s="233" t="e">
        <f t="shared" si="11"/>
        <v>#NUM!</v>
      </c>
      <c r="K78" s="233" t="e">
        <f t="shared" si="8"/>
        <v>#NUM!</v>
      </c>
      <c r="L78" s="233"/>
      <c r="M78" s="235">
        <f t="shared" si="9"/>
        <v>0</v>
      </c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  <c r="AF78" s="224"/>
      <c r="AG78" s="224"/>
      <c r="AH78" s="224"/>
      <c r="AI78" s="224"/>
      <c r="AJ78" s="224"/>
      <c r="AK78" s="224"/>
      <c r="AL78" s="224"/>
    </row>
    <row r="79" spans="1:38" s="219" customFormat="1" x14ac:dyDescent="0.25">
      <c r="A79" s="101">
        <f t="shared" si="10"/>
        <v>0</v>
      </c>
      <c r="B79" s="39" t="str">
        <f t="shared" si="6"/>
        <v/>
      </c>
      <c r="C79" s="40"/>
      <c r="D79" s="40"/>
      <c r="E79" s="40"/>
      <c r="F79" s="40"/>
      <c r="H79" s="236">
        <v>74</v>
      </c>
      <c r="I79" s="237" t="str">
        <f t="shared" si="7"/>
        <v/>
      </c>
      <c r="J79" s="236" t="e">
        <f t="shared" si="11"/>
        <v>#NUM!</v>
      </c>
      <c r="K79" s="236" t="e">
        <f t="shared" si="8"/>
        <v>#NUM!</v>
      </c>
      <c r="L79" s="236"/>
      <c r="M79" s="238">
        <f t="shared" si="9"/>
        <v>0</v>
      </c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24"/>
      <c r="AF79" s="224"/>
      <c r="AG79" s="224"/>
      <c r="AH79" s="224"/>
      <c r="AI79" s="224"/>
      <c r="AJ79" s="224"/>
      <c r="AK79" s="224"/>
      <c r="AL79" s="224"/>
    </row>
    <row r="80" spans="1:38" s="219" customFormat="1" x14ac:dyDescent="0.25">
      <c r="A80" s="97">
        <f t="shared" si="10"/>
        <v>0</v>
      </c>
      <c r="B80" s="33" t="str">
        <f t="shared" si="6"/>
        <v/>
      </c>
      <c r="C80" s="34"/>
      <c r="D80" s="34"/>
      <c r="E80" s="34"/>
      <c r="F80" s="34"/>
      <c r="H80" s="233">
        <v>75</v>
      </c>
      <c r="I80" s="234" t="str">
        <f t="shared" si="7"/>
        <v/>
      </c>
      <c r="J80" s="233" t="e">
        <f t="shared" si="11"/>
        <v>#NUM!</v>
      </c>
      <c r="K80" s="233" t="e">
        <f t="shared" si="8"/>
        <v>#NUM!</v>
      </c>
      <c r="L80" s="233"/>
      <c r="M80" s="235">
        <f t="shared" si="9"/>
        <v>0</v>
      </c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  <c r="AF80" s="224"/>
      <c r="AG80" s="224"/>
      <c r="AH80" s="224"/>
      <c r="AI80" s="224"/>
      <c r="AJ80" s="224"/>
      <c r="AK80" s="224"/>
      <c r="AL80" s="224"/>
    </row>
    <row r="81" spans="1:38" s="219" customFormat="1" x14ac:dyDescent="0.25">
      <c r="A81" s="101">
        <f t="shared" si="10"/>
        <v>0</v>
      </c>
      <c r="B81" s="39" t="str">
        <f t="shared" si="6"/>
        <v/>
      </c>
      <c r="C81" s="40"/>
      <c r="D81" s="40"/>
      <c r="E81" s="40"/>
      <c r="F81" s="40"/>
      <c r="H81" s="236">
        <v>76</v>
      </c>
      <c r="I81" s="237" t="str">
        <f t="shared" si="7"/>
        <v/>
      </c>
      <c r="J81" s="236" t="e">
        <f t="shared" si="11"/>
        <v>#NUM!</v>
      </c>
      <c r="K81" s="236" t="e">
        <f t="shared" si="8"/>
        <v>#NUM!</v>
      </c>
      <c r="L81" s="236"/>
      <c r="M81" s="238">
        <f t="shared" si="9"/>
        <v>0</v>
      </c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</row>
    <row r="82" spans="1:38" s="219" customFormat="1" x14ac:dyDescent="0.25">
      <c r="A82" s="97">
        <f t="shared" si="10"/>
        <v>0</v>
      </c>
      <c r="B82" s="33" t="str">
        <f t="shared" si="6"/>
        <v/>
      </c>
      <c r="C82" s="34"/>
      <c r="D82" s="34"/>
      <c r="E82" s="34"/>
      <c r="F82" s="34"/>
      <c r="H82" s="233">
        <v>77</v>
      </c>
      <c r="I82" s="234" t="str">
        <f t="shared" si="7"/>
        <v/>
      </c>
      <c r="J82" s="233" t="e">
        <f t="shared" si="11"/>
        <v>#NUM!</v>
      </c>
      <c r="K82" s="233" t="e">
        <f t="shared" si="8"/>
        <v>#NUM!</v>
      </c>
      <c r="L82" s="233"/>
      <c r="M82" s="235">
        <f t="shared" si="9"/>
        <v>0</v>
      </c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  <c r="AF82" s="224"/>
      <c r="AG82" s="224"/>
      <c r="AH82" s="224"/>
      <c r="AI82" s="224"/>
      <c r="AJ82" s="224"/>
      <c r="AK82" s="224"/>
      <c r="AL82" s="224"/>
    </row>
    <row r="83" spans="1:38" s="219" customFormat="1" x14ac:dyDescent="0.25">
      <c r="A83" s="101">
        <f t="shared" si="10"/>
        <v>0</v>
      </c>
      <c r="B83" s="39" t="str">
        <f t="shared" si="6"/>
        <v/>
      </c>
      <c r="C83" s="40"/>
      <c r="D83" s="40"/>
      <c r="E83" s="40"/>
      <c r="F83" s="40"/>
      <c r="H83" s="236">
        <v>78</v>
      </c>
      <c r="I83" s="237" t="str">
        <f t="shared" si="7"/>
        <v/>
      </c>
      <c r="J83" s="236" t="e">
        <f t="shared" si="11"/>
        <v>#NUM!</v>
      </c>
      <c r="K83" s="236" t="e">
        <f t="shared" si="8"/>
        <v>#NUM!</v>
      </c>
      <c r="L83" s="236"/>
      <c r="M83" s="238">
        <f t="shared" si="9"/>
        <v>0</v>
      </c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  <c r="AF83" s="224"/>
      <c r="AG83" s="224"/>
      <c r="AH83" s="224"/>
      <c r="AI83" s="224"/>
      <c r="AJ83" s="224"/>
      <c r="AK83" s="224"/>
      <c r="AL83" s="224"/>
    </row>
    <row r="84" spans="1:38" s="219" customFormat="1" x14ac:dyDescent="0.25">
      <c r="A84" s="97">
        <f t="shared" si="10"/>
        <v>0</v>
      </c>
      <c r="B84" s="33" t="str">
        <f t="shared" si="6"/>
        <v/>
      </c>
      <c r="C84" s="34"/>
      <c r="D84" s="34"/>
      <c r="E84" s="34"/>
      <c r="F84" s="34"/>
      <c r="H84" s="233">
        <v>79</v>
      </c>
      <c r="I84" s="234" t="str">
        <f t="shared" si="7"/>
        <v/>
      </c>
      <c r="J84" s="233" t="e">
        <f t="shared" si="11"/>
        <v>#NUM!</v>
      </c>
      <c r="K84" s="233" t="e">
        <f t="shared" si="8"/>
        <v>#NUM!</v>
      </c>
      <c r="L84" s="233"/>
      <c r="M84" s="235">
        <f t="shared" si="9"/>
        <v>0</v>
      </c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  <c r="AF84" s="224"/>
      <c r="AG84" s="224"/>
      <c r="AH84" s="224"/>
      <c r="AI84" s="224"/>
      <c r="AJ84" s="224"/>
      <c r="AK84" s="224"/>
      <c r="AL84" s="224"/>
    </row>
    <row r="85" spans="1:38" s="219" customFormat="1" x14ac:dyDescent="0.25">
      <c r="A85" s="101">
        <f t="shared" si="10"/>
        <v>0</v>
      </c>
      <c r="B85" s="39" t="str">
        <f t="shared" si="6"/>
        <v/>
      </c>
      <c r="C85" s="40"/>
      <c r="D85" s="40"/>
      <c r="E85" s="40"/>
      <c r="F85" s="40"/>
      <c r="H85" s="236">
        <v>80</v>
      </c>
      <c r="I85" s="237" t="str">
        <f t="shared" si="7"/>
        <v/>
      </c>
      <c r="J85" s="236" t="e">
        <f t="shared" si="11"/>
        <v>#NUM!</v>
      </c>
      <c r="K85" s="236" t="e">
        <f t="shared" si="8"/>
        <v>#NUM!</v>
      </c>
      <c r="L85" s="236"/>
      <c r="M85" s="238">
        <f t="shared" si="9"/>
        <v>0</v>
      </c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  <c r="AF85" s="224"/>
      <c r="AG85" s="224"/>
      <c r="AH85" s="224"/>
      <c r="AI85" s="224"/>
      <c r="AJ85" s="224"/>
      <c r="AK85" s="224"/>
      <c r="AL85" s="224"/>
    </row>
    <row r="86" spans="1:38" s="219" customFormat="1" x14ac:dyDescent="0.25">
      <c r="A86" s="97">
        <f t="shared" si="10"/>
        <v>0</v>
      </c>
      <c r="B86" s="33" t="str">
        <f t="shared" si="6"/>
        <v/>
      </c>
      <c r="C86" s="34"/>
      <c r="D86" s="34"/>
      <c r="E86" s="34"/>
      <c r="F86" s="34"/>
      <c r="H86" s="233">
        <v>81</v>
      </c>
      <c r="I86" s="234" t="str">
        <f t="shared" si="7"/>
        <v/>
      </c>
      <c r="J86" s="233" t="e">
        <f t="shared" si="11"/>
        <v>#NUM!</v>
      </c>
      <c r="K86" s="233" t="e">
        <f t="shared" si="8"/>
        <v>#NUM!</v>
      </c>
      <c r="L86" s="233"/>
      <c r="M86" s="235">
        <f t="shared" si="9"/>
        <v>0</v>
      </c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  <c r="AF86" s="224"/>
      <c r="AG86" s="224"/>
      <c r="AH86" s="224"/>
      <c r="AI86" s="224"/>
      <c r="AJ86" s="224"/>
      <c r="AK86" s="224"/>
      <c r="AL86" s="224"/>
    </row>
    <row r="87" spans="1:38" s="219" customFormat="1" x14ac:dyDescent="0.25">
      <c r="A87" s="101">
        <f t="shared" si="10"/>
        <v>0</v>
      </c>
      <c r="B87" s="39" t="str">
        <f t="shared" si="6"/>
        <v/>
      </c>
      <c r="C87" s="40"/>
      <c r="D87" s="40"/>
      <c r="E87" s="40"/>
      <c r="F87" s="40"/>
      <c r="H87" s="236">
        <v>82</v>
      </c>
      <c r="I87" s="237" t="str">
        <f t="shared" si="7"/>
        <v/>
      </c>
      <c r="J87" s="236" t="e">
        <f t="shared" si="11"/>
        <v>#NUM!</v>
      </c>
      <c r="K87" s="236" t="e">
        <f t="shared" si="8"/>
        <v>#NUM!</v>
      </c>
      <c r="L87" s="236"/>
      <c r="M87" s="238">
        <f t="shared" si="9"/>
        <v>0</v>
      </c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  <c r="AF87" s="224"/>
      <c r="AG87" s="224"/>
      <c r="AH87" s="224"/>
      <c r="AI87" s="224"/>
      <c r="AJ87" s="224"/>
      <c r="AK87" s="224"/>
      <c r="AL87" s="224"/>
    </row>
    <row r="88" spans="1:38" s="219" customFormat="1" x14ac:dyDescent="0.25">
      <c r="A88" s="97">
        <f t="shared" si="10"/>
        <v>0</v>
      </c>
      <c r="B88" s="33" t="str">
        <f t="shared" si="6"/>
        <v/>
      </c>
      <c r="C88" s="34"/>
      <c r="D88" s="34"/>
      <c r="E88" s="34"/>
      <c r="F88" s="34"/>
      <c r="H88" s="233">
        <v>83</v>
      </c>
      <c r="I88" s="234" t="str">
        <f t="shared" si="7"/>
        <v/>
      </c>
      <c r="J88" s="233" t="e">
        <f t="shared" si="11"/>
        <v>#NUM!</v>
      </c>
      <c r="K88" s="233" t="e">
        <f t="shared" si="8"/>
        <v>#NUM!</v>
      </c>
      <c r="L88" s="233"/>
      <c r="M88" s="235">
        <f t="shared" si="9"/>
        <v>0</v>
      </c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  <c r="AF88" s="224"/>
      <c r="AG88" s="224"/>
      <c r="AH88" s="224"/>
      <c r="AI88" s="224"/>
      <c r="AJ88" s="224"/>
      <c r="AK88" s="224"/>
      <c r="AL88" s="224"/>
    </row>
    <row r="89" spans="1:38" s="219" customFormat="1" x14ac:dyDescent="0.25">
      <c r="A89" s="101">
        <f t="shared" si="10"/>
        <v>0</v>
      </c>
      <c r="B89" s="39" t="str">
        <f t="shared" si="6"/>
        <v/>
      </c>
      <c r="C89" s="40"/>
      <c r="D89" s="40"/>
      <c r="E89" s="40"/>
      <c r="F89" s="40"/>
      <c r="H89" s="236">
        <v>84</v>
      </c>
      <c r="I89" s="237" t="str">
        <f t="shared" si="7"/>
        <v/>
      </c>
      <c r="J89" s="236" t="e">
        <f t="shared" si="11"/>
        <v>#NUM!</v>
      </c>
      <c r="K89" s="236" t="e">
        <f t="shared" si="8"/>
        <v>#NUM!</v>
      </c>
      <c r="L89" s="236"/>
      <c r="M89" s="238">
        <f t="shared" si="9"/>
        <v>0</v>
      </c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  <c r="AF89" s="224"/>
      <c r="AG89" s="224"/>
      <c r="AH89" s="224"/>
      <c r="AI89" s="224"/>
      <c r="AJ89" s="224"/>
      <c r="AK89" s="224"/>
      <c r="AL89" s="224"/>
    </row>
    <row r="90" spans="1:38" s="219" customFormat="1" x14ac:dyDescent="0.25">
      <c r="A90" s="97">
        <f t="shared" si="10"/>
        <v>0</v>
      </c>
      <c r="B90" s="33" t="str">
        <f t="shared" si="6"/>
        <v/>
      </c>
      <c r="C90" s="34"/>
      <c r="D90" s="34"/>
      <c r="E90" s="34"/>
      <c r="F90" s="34"/>
      <c r="H90" s="233">
        <v>85</v>
      </c>
      <c r="I90" s="234" t="str">
        <f t="shared" si="7"/>
        <v/>
      </c>
      <c r="J90" s="233" t="e">
        <f t="shared" si="11"/>
        <v>#NUM!</v>
      </c>
      <c r="K90" s="233" t="e">
        <f t="shared" si="8"/>
        <v>#NUM!</v>
      </c>
      <c r="L90" s="233"/>
      <c r="M90" s="235">
        <f t="shared" si="9"/>
        <v>0</v>
      </c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  <c r="AF90" s="224"/>
      <c r="AG90" s="224"/>
      <c r="AH90" s="224"/>
      <c r="AI90" s="224"/>
      <c r="AJ90" s="224"/>
      <c r="AK90" s="224"/>
      <c r="AL90" s="224"/>
    </row>
    <row r="91" spans="1:38" s="219" customFormat="1" x14ac:dyDescent="0.25">
      <c r="A91" s="101">
        <f t="shared" si="10"/>
        <v>0</v>
      </c>
      <c r="B91" s="39" t="str">
        <f t="shared" si="6"/>
        <v/>
      </c>
      <c r="C91" s="40"/>
      <c r="D91" s="40"/>
      <c r="E91" s="40"/>
      <c r="F91" s="40"/>
      <c r="H91" s="236">
        <v>86</v>
      </c>
      <c r="I91" s="237" t="str">
        <f t="shared" si="7"/>
        <v/>
      </c>
      <c r="J91" s="236" t="e">
        <f t="shared" si="11"/>
        <v>#NUM!</v>
      </c>
      <c r="K91" s="236" t="e">
        <f t="shared" si="8"/>
        <v>#NUM!</v>
      </c>
      <c r="L91" s="236"/>
      <c r="M91" s="238">
        <f t="shared" si="9"/>
        <v>0</v>
      </c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  <c r="AF91" s="224"/>
      <c r="AG91" s="224"/>
      <c r="AH91" s="224"/>
      <c r="AI91" s="224"/>
      <c r="AJ91" s="224"/>
      <c r="AK91" s="224"/>
      <c r="AL91" s="224"/>
    </row>
    <row r="92" spans="1:38" s="219" customFormat="1" x14ac:dyDescent="0.25">
      <c r="A92" s="97">
        <f t="shared" si="10"/>
        <v>0</v>
      </c>
      <c r="B92" s="33" t="str">
        <f t="shared" si="6"/>
        <v/>
      </c>
      <c r="C92" s="34"/>
      <c r="D92" s="34"/>
      <c r="E92" s="34"/>
      <c r="F92" s="34"/>
      <c r="H92" s="233">
        <v>87</v>
      </c>
      <c r="I92" s="234" t="str">
        <f t="shared" si="7"/>
        <v/>
      </c>
      <c r="J92" s="233" t="e">
        <f t="shared" si="11"/>
        <v>#NUM!</v>
      </c>
      <c r="K92" s="233" t="e">
        <f t="shared" si="8"/>
        <v>#NUM!</v>
      </c>
      <c r="L92" s="233"/>
      <c r="M92" s="235">
        <f t="shared" si="9"/>
        <v>0</v>
      </c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  <c r="AF92" s="224"/>
      <c r="AG92" s="224"/>
      <c r="AH92" s="224"/>
      <c r="AI92" s="224"/>
      <c r="AJ92" s="224"/>
      <c r="AK92" s="224"/>
      <c r="AL92" s="224"/>
    </row>
    <row r="93" spans="1:38" s="219" customFormat="1" x14ac:dyDescent="0.25">
      <c r="A93" s="101">
        <f t="shared" si="10"/>
        <v>0</v>
      </c>
      <c r="B93" s="39" t="str">
        <f t="shared" si="6"/>
        <v/>
      </c>
      <c r="C93" s="40"/>
      <c r="D93" s="40"/>
      <c r="E93" s="40"/>
      <c r="F93" s="40"/>
      <c r="H93" s="236">
        <v>88</v>
      </c>
      <c r="I93" s="237" t="str">
        <f t="shared" si="7"/>
        <v/>
      </c>
      <c r="J93" s="236" t="e">
        <f t="shared" si="11"/>
        <v>#NUM!</v>
      </c>
      <c r="K93" s="236" t="e">
        <f t="shared" si="8"/>
        <v>#NUM!</v>
      </c>
      <c r="L93" s="236"/>
      <c r="M93" s="238">
        <f t="shared" si="9"/>
        <v>0</v>
      </c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  <c r="AF93" s="224"/>
      <c r="AG93" s="224"/>
      <c r="AH93" s="224"/>
      <c r="AI93" s="224"/>
      <c r="AJ93" s="224"/>
      <c r="AK93" s="224"/>
      <c r="AL93" s="224"/>
    </row>
    <row r="94" spans="1:38" s="219" customFormat="1" x14ac:dyDescent="0.25">
      <c r="A94" s="97">
        <f t="shared" si="10"/>
        <v>0</v>
      </c>
      <c r="B94" s="33" t="str">
        <f t="shared" si="6"/>
        <v/>
      </c>
      <c r="C94" s="34"/>
      <c r="D94" s="34"/>
      <c r="E94" s="34"/>
      <c r="F94" s="34"/>
      <c r="H94" s="233">
        <v>89</v>
      </c>
      <c r="I94" s="234" t="str">
        <f t="shared" si="7"/>
        <v/>
      </c>
      <c r="J94" s="233" t="e">
        <f t="shared" si="11"/>
        <v>#NUM!</v>
      </c>
      <c r="K94" s="233" t="e">
        <f t="shared" si="8"/>
        <v>#NUM!</v>
      </c>
      <c r="L94" s="233"/>
      <c r="M94" s="235">
        <f t="shared" si="9"/>
        <v>0</v>
      </c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  <c r="AF94" s="224"/>
      <c r="AG94" s="224"/>
      <c r="AH94" s="224"/>
      <c r="AI94" s="224"/>
      <c r="AJ94" s="224"/>
      <c r="AK94" s="224"/>
      <c r="AL94" s="224"/>
    </row>
    <row r="95" spans="1:38" s="219" customFormat="1" x14ac:dyDescent="0.25">
      <c r="A95" s="101">
        <f t="shared" si="10"/>
        <v>0</v>
      </c>
      <c r="B95" s="39" t="str">
        <f t="shared" si="6"/>
        <v/>
      </c>
      <c r="C95" s="40"/>
      <c r="D95" s="40"/>
      <c r="E95" s="40"/>
      <c r="F95" s="40"/>
      <c r="H95" s="236">
        <v>90</v>
      </c>
      <c r="I95" s="237" t="str">
        <f t="shared" si="7"/>
        <v/>
      </c>
      <c r="J95" s="236" t="e">
        <f t="shared" si="11"/>
        <v>#NUM!</v>
      </c>
      <c r="K95" s="236" t="e">
        <f t="shared" si="8"/>
        <v>#NUM!</v>
      </c>
      <c r="L95" s="236"/>
      <c r="M95" s="238">
        <f t="shared" si="9"/>
        <v>0</v>
      </c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  <c r="AF95" s="224"/>
      <c r="AG95" s="224"/>
      <c r="AH95" s="224"/>
      <c r="AI95" s="224"/>
      <c r="AJ95" s="224"/>
      <c r="AK95" s="224"/>
      <c r="AL95" s="224"/>
    </row>
    <row r="96" spans="1:38" s="219" customFormat="1" x14ac:dyDescent="0.25">
      <c r="A96" s="97">
        <f t="shared" si="10"/>
        <v>0</v>
      </c>
      <c r="B96" s="33" t="str">
        <f t="shared" si="6"/>
        <v/>
      </c>
      <c r="C96" s="34"/>
      <c r="D96" s="34"/>
      <c r="E96" s="34"/>
      <c r="F96" s="34"/>
      <c r="H96" s="233">
        <v>91</v>
      </c>
      <c r="I96" s="234" t="str">
        <f t="shared" si="7"/>
        <v/>
      </c>
      <c r="J96" s="233" t="e">
        <f t="shared" si="11"/>
        <v>#NUM!</v>
      </c>
      <c r="K96" s="233" t="e">
        <f t="shared" si="8"/>
        <v>#NUM!</v>
      </c>
      <c r="L96" s="233"/>
      <c r="M96" s="235">
        <f t="shared" si="9"/>
        <v>0</v>
      </c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  <c r="AF96" s="224"/>
      <c r="AG96" s="224"/>
      <c r="AH96" s="224"/>
      <c r="AI96" s="224"/>
      <c r="AJ96" s="224"/>
      <c r="AK96" s="224"/>
      <c r="AL96" s="224"/>
    </row>
    <row r="97" spans="1:38" s="219" customFormat="1" x14ac:dyDescent="0.25">
      <c r="A97" s="101">
        <f t="shared" si="10"/>
        <v>0</v>
      </c>
      <c r="B97" s="39" t="str">
        <f t="shared" si="6"/>
        <v/>
      </c>
      <c r="C97" s="40"/>
      <c r="D97" s="40"/>
      <c r="E97" s="40"/>
      <c r="F97" s="40"/>
      <c r="H97" s="236">
        <v>92</v>
      </c>
      <c r="I97" s="237" t="str">
        <f t="shared" si="7"/>
        <v/>
      </c>
      <c r="J97" s="236" t="e">
        <f t="shared" si="11"/>
        <v>#NUM!</v>
      </c>
      <c r="K97" s="236" t="e">
        <f t="shared" si="8"/>
        <v>#NUM!</v>
      </c>
      <c r="L97" s="236"/>
      <c r="M97" s="238">
        <f t="shared" si="9"/>
        <v>0</v>
      </c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  <c r="AF97" s="224"/>
      <c r="AG97" s="224"/>
      <c r="AH97" s="224"/>
      <c r="AI97" s="224"/>
      <c r="AJ97" s="224"/>
      <c r="AK97" s="224"/>
      <c r="AL97" s="224"/>
    </row>
    <row r="98" spans="1:38" s="219" customFormat="1" x14ac:dyDescent="0.25">
      <c r="A98" s="97">
        <f t="shared" si="10"/>
        <v>0</v>
      </c>
      <c r="B98" s="33" t="str">
        <f t="shared" si="6"/>
        <v/>
      </c>
      <c r="C98" s="34"/>
      <c r="D98" s="34"/>
      <c r="E98" s="34"/>
      <c r="F98" s="34"/>
      <c r="H98" s="233">
        <v>93</v>
      </c>
      <c r="I98" s="234" t="str">
        <f t="shared" si="7"/>
        <v/>
      </c>
      <c r="J98" s="233" t="e">
        <f t="shared" si="11"/>
        <v>#NUM!</v>
      </c>
      <c r="K98" s="233" t="e">
        <f t="shared" si="8"/>
        <v>#NUM!</v>
      </c>
      <c r="L98" s="233"/>
      <c r="M98" s="235">
        <f t="shared" si="9"/>
        <v>0</v>
      </c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  <c r="AF98" s="224"/>
      <c r="AG98" s="224"/>
      <c r="AH98" s="224"/>
      <c r="AI98" s="224"/>
      <c r="AJ98" s="224"/>
      <c r="AK98" s="224"/>
      <c r="AL98" s="224"/>
    </row>
    <row r="99" spans="1:38" s="219" customFormat="1" x14ac:dyDescent="0.25">
      <c r="A99" s="101">
        <f t="shared" si="10"/>
        <v>0</v>
      </c>
      <c r="B99" s="39" t="str">
        <f t="shared" si="6"/>
        <v/>
      </c>
      <c r="C99" s="40"/>
      <c r="D99" s="40"/>
      <c r="E99" s="40"/>
      <c r="F99" s="40"/>
      <c r="H99" s="236">
        <v>94</v>
      </c>
      <c r="I99" s="237" t="str">
        <f t="shared" si="7"/>
        <v/>
      </c>
      <c r="J99" s="236" t="e">
        <f t="shared" si="11"/>
        <v>#NUM!</v>
      </c>
      <c r="K99" s="236" t="e">
        <f t="shared" si="8"/>
        <v>#NUM!</v>
      </c>
      <c r="L99" s="236"/>
      <c r="M99" s="238">
        <f t="shared" si="9"/>
        <v>0</v>
      </c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  <c r="AF99" s="224"/>
      <c r="AG99" s="224"/>
      <c r="AH99" s="224"/>
      <c r="AI99" s="224"/>
      <c r="AJ99" s="224"/>
      <c r="AK99" s="224"/>
      <c r="AL99" s="224"/>
    </row>
    <row r="100" spans="1:38" s="219" customFormat="1" x14ac:dyDescent="0.25">
      <c r="A100" s="97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33">
        <v>95</v>
      </c>
      <c r="I100" s="234" t="str">
        <f t="shared" si="7"/>
        <v/>
      </c>
      <c r="J100" s="233" t="e">
        <f t="shared" si="11"/>
        <v>#NUM!</v>
      </c>
      <c r="K100" s="233" t="e">
        <f t="shared" si="8"/>
        <v>#NUM!</v>
      </c>
      <c r="L100" s="233"/>
      <c r="M100" s="235">
        <f t="shared" si="9"/>
        <v>0</v>
      </c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</row>
    <row r="101" spans="1:38" s="219" customFormat="1" x14ac:dyDescent="0.25">
      <c r="A101" s="101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36">
        <v>96</v>
      </c>
      <c r="I101" s="237" t="str">
        <f t="shared" si="7"/>
        <v/>
      </c>
      <c r="J101" s="236" t="e">
        <f t="shared" si="11"/>
        <v>#NUM!</v>
      </c>
      <c r="K101" s="236" t="e">
        <f t="shared" si="8"/>
        <v>#NUM!</v>
      </c>
      <c r="L101" s="236"/>
      <c r="M101" s="238">
        <f t="shared" si="9"/>
        <v>0</v>
      </c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</row>
    <row r="102" spans="1:38" s="219" customFormat="1" x14ac:dyDescent="0.25">
      <c r="A102" s="97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33">
        <v>97</v>
      </c>
      <c r="I102" s="234" t="str">
        <f t="shared" si="7"/>
        <v/>
      </c>
      <c r="J102" s="233" t="e">
        <f t="shared" si="11"/>
        <v>#NUM!</v>
      </c>
      <c r="K102" s="233" t="e">
        <f t="shared" si="8"/>
        <v>#NUM!</v>
      </c>
      <c r="L102" s="233"/>
      <c r="M102" s="235">
        <f t="shared" si="9"/>
        <v>0</v>
      </c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  <c r="AF102" s="224"/>
      <c r="AG102" s="224"/>
      <c r="AH102" s="224"/>
      <c r="AI102" s="224"/>
      <c r="AJ102" s="224"/>
      <c r="AK102" s="224"/>
      <c r="AL102" s="224"/>
    </row>
    <row r="103" spans="1:38" s="219" customFormat="1" x14ac:dyDescent="0.25">
      <c r="A103" s="101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36">
        <v>98</v>
      </c>
      <c r="I103" s="237" t="str">
        <f t="shared" si="7"/>
        <v/>
      </c>
      <c r="J103" s="236" t="e">
        <f t="shared" si="11"/>
        <v>#NUM!</v>
      </c>
      <c r="K103" s="236" t="e">
        <f t="shared" si="8"/>
        <v>#NUM!</v>
      </c>
      <c r="L103" s="236"/>
      <c r="M103" s="238">
        <f t="shared" si="9"/>
        <v>0</v>
      </c>
      <c r="S103" s="224"/>
      <c r="T103" s="224"/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  <c r="AF103" s="224"/>
      <c r="AG103" s="224"/>
      <c r="AH103" s="224"/>
      <c r="AI103" s="224"/>
      <c r="AJ103" s="224"/>
      <c r="AK103" s="224"/>
      <c r="AL103" s="224"/>
    </row>
    <row r="104" spans="1:38" s="219" customFormat="1" x14ac:dyDescent="0.25">
      <c r="A104" s="97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33">
        <v>99</v>
      </c>
      <c r="I104" s="234" t="str">
        <f t="shared" si="7"/>
        <v/>
      </c>
      <c r="J104" s="233" t="e">
        <f t="shared" si="11"/>
        <v>#NUM!</v>
      </c>
      <c r="K104" s="233" t="e">
        <f t="shared" si="8"/>
        <v>#NUM!</v>
      </c>
      <c r="L104" s="233"/>
      <c r="M104" s="235">
        <f t="shared" si="9"/>
        <v>0</v>
      </c>
      <c r="S104" s="224"/>
      <c r="T104" s="224"/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  <c r="AF104" s="224"/>
      <c r="AG104" s="224"/>
      <c r="AH104" s="224"/>
      <c r="AI104" s="224"/>
      <c r="AJ104" s="224"/>
      <c r="AK104" s="224"/>
      <c r="AL104" s="224"/>
    </row>
    <row r="105" spans="1:38" s="219" customFormat="1" x14ac:dyDescent="0.25">
      <c r="A105" s="101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36">
        <v>100</v>
      </c>
      <c r="I105" s="237" t="str">
        <f t="shared" si="7"/>
        <v/>
      </c>
      <c r="J105" s="236" t="e">
        <f t="shared" si="11"/>
        <v>#NUM!</v>
      </c>
      <c r="K105" s="236" t="e">
        <f t="shared" si="8"/>
        <v>#NUM!</v>
      </c>
      <c r="L105" s="236"/>
      <c r="M105" s="238">
        <f t="shared" si="9"/>
        <v>0</v>
      </c>
      <c r="S105" s="224"/>
      <c r="T105" s="224"/>
      <c r="U105" s="224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  <c r="AF105" s="224"/>
      <c r="AG105" s="224"/>
      <c r="AH105" s="224"/>
      <c r="AI105" s="224"/>
      <c r="AJ105" s="224"/>
      <c r="AK105" s="224"/>
      <c r="AL105" s="224"/>
    </row>
    <row r="106" spans="1:38" s="219" customFormat="1" x14ac:dyDescent="0.25">
      <c r="A106" s="97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33">
        <v>101</v>
      </c>
      <c r="I106" s="234" t="str">
        <f t="shared" si="7"/>
        <v/>
      </c>
      <c r="J106" s="233" t="e">
        <f t="shared" si="11"/>
        <v>#NUM!</v>
      </c>
      <c r="K106" s="233" t="e">
        <f t="shared" si="8"/>
        <v>#NUM!</v>
      </c>
      <c r="L106" s="233"/>
      <c r="M106" s="235">
        <f t="shared" si="9"/>
        <v>0</v>
      </c>
      <c r="S106" s="224"/>
      <c r="T106" s="224"/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  <c r="AF106" s="224"/>
      <c r="AG106" s="224"/>
      <c r="AH106" s="224"/>
      <c r="AI106" s="224"/>
      <c r="AJ106" s="224"/>
      <c r="AK106" s="224"/>
      <c r="AL106" s="224"/>
    </row>
    <row r="107" spans="1:38" s="219" customFormat="1" x14ac:dyDescent="0.25">
      <c r="A107" s="101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36">
        <v>102</v>
      </c>
      <c r="I107" s="237" t="str">
        <f t="shared" si="7"/>
        <v/>
      </c>
      <c r="J107" s="236" t="e">
        <f t="shared" si="11"/>
        <v>#NUM!</v>
      </c>
      <c r="K107" s="236" t="e">
        <f t="shared" si="8"/>
        <v>#NUM!</v>
      </c>
      <c r="L107" s="236"/>
      <c r="M107" s="238">
        <f t="shared" si="9"/>
        <v>0</v>
      </c>
      <c r="S107" s="224"/>
      <c r="T107" s="224"/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  <c r="AF107" s="224"/>
      <c r="AG107" s="224"/>
      <c r="AH107" s="224"/>
      <c r="AI107" s="224"/>
      <c r="AJ107" s="224"/>
      <c r="AK107" s="224"/>
      <c r="AL107" s="224"/>
    </row>
    <row r="108" spans="1:38" s="219" customFormat="1" x14ac:dyDescent="0.25">
      <c r="A108" s="97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33">
        <v>103</v>
      </c>
      <c r="I108" s="234" t="str">
        <f t="shared" si="7"/>
        <v/>
      </c>
      <c r="J108" s="233" t="e">
        <f t="shared" si="11"/>
        <v>#NUM!</v>
      </c>
      <c r="K108" s="233" t="e">
        <f t="shared" si="8"/>
        <v>#NUM!</v>
      </c>
      <c r="L108" s="233"/>
      <c r="M108" s="235">
        <f t="shared" si="9"/>
        <v>0</v>
      </c>
      <c r="S108" s="224"/>
      <c r="T108" s="224"/>
      <c r="U108" s="224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  <c r="AF108" s="224"/>
      <c r="AG108" s="224"/>
      <c r="AH108" s="224"/>
      <c r="AI108" s="224"/>
      <c r="AJ108" s="224"/>
      <c r="AK108" s="224"/>
      <c r="AL108" s="224"/>
    </row>
    <row r="109" spans="1:38" s="219" customFormat="1" x14ac:dyDescent="0.25">
      <c r="A109" s="101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36">
        <v>104</v>
      </c>
      <c r="I109" s="237" t="str">
        <f t="shared" si="7"/>
        <v/>
      </c>
      <c r="J109" s="236" t="e">
        <f t="shared" si="11"/>
        <v>#NUM!</v>
      </c>
      <c r="K109" s="236" t="e">
        <f t="shared" si="8"/>
        <v>#NUM!</v>
      </c>
      <c r="L109" s="236"/>
      <c r="M109" s="238">
        <f t="shared" si="9"/>
        <v>0</v>
      </c>
      <c r="S109" s="224"/>
      <c r="T109" s="224"/>
      <c r="U109" s="224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  <c r="AF109" s="224"/>
      <c r="AG109" s="224"/>
      <c r="AH109" s="224"/>
      <c r="AI109" s="224"/>
      <c r="AJ109" s="224"/>
      <c r="AK109" s="224"/>
      <c r="AL109" s="224"/>
    </row>
    <row r="110" spans="1:38" s="219" customFormat="1" x14ac:dyDescent="0.25">
      <c r="A110" s="97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33">
        <v>105</v>
      </c>
      <c r="I110" s="234" t="str">
        <f t="shared" si="7"/>
        <v/>
      </c>
      <c r="J110" s="233" t="e">
        <f t="shared" si="11"/>
        <v>#NUM!</v>
      </c>
      <c r="K110" s="233" t="e">
        <f t="shared" si="8"/>
        <v>#NUM!</v>
      </c>
      <c r="L110" s="233"/>
      <c r="M110" s="235">
        <f t="shared" si="9"/>
        <v>0</v>
      </c>
      <c r="S110" s="224"/>
      <c r="T110" s="224"/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  <c r="AF110" s="224"/>
      <c r="AG110" s="224"/>
      <c r="AH110" s="224"/>
      <c r="AI110" s="224"/>
      <c r="AJ110" s="224"/>
      <c r="AK110" s="224"/>
      <c r="AL110" s="224"/>
    </row>
    <row r="111" spans="1:38" s="219" customFormat="1" x14ac:dyDescent="0.25">
      <c r="A111" s="101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36">
        <v>106</v>
      </c>
      <c r="I111" s="237" t="str">
        <f t="shared" si="7"/>
        <v/>
      </c>
      <c r="J111" s="236" t="e">
        <f t="shared" si="11"/>
        <v>#NUM!</v>
      </c>
      <c r="K111" s="236" t="e">
        <f t="shared" si="8"/>
        <v>#NUM!</v>
      </c>
      <c r="L111" s="236"/>
      <c r="M111" s="238">
        <f t="shared" si="9"/>
        <v>0</v>
      </c>
      <c r="S111" s="224"/>
      <c r="T111" s="224"/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  <c r="AF111" s="224"/>
      <c r="AG111" s="224"/>
      <c r="AH111" s="224"/>
      <c r="AI111" s="224"/>
      <c r="AJ111" s="224"/>
      <c r="AK111" s="224"/>
      <c r="AL111" s="224"/>
    </row>
    <row r="112" spans="1:38" s="219" customFormat="1" x14ac:dyDescent="0.25">
      <c r="A112" s="97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33">
        <v>107</v>
      </c>
      <c r="I112" s="234" t="str">
        <f t="shared" si="7"/>
        <v/>
      </c>
      <c r="J112" s="233" t="e">
        <f t="shared" si="11"/>
        <v>#NUM!</v>
      </c>
      <c r="K112" s="233" t="e">
        <f t="shared" si="8"/>
        <v>#NUM!</v>
      </c>
      <c r="L112" s="233"/>
      <c r="M112" s="235">
        <f t="shared" si="9"/>
        <v>0</v>
      </c>
      <c r="S112" s="224"/>
      <c r="T112" s="224"/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  <c r="AF112" s="224"/>
      <c r="AG112" s="224"/>
      <c r="AH112" s="224"/>
      <c r="AI112" s="224"/>
      <c r="AJ112" s="224"/>
      <c r="AK112" s="224"/>
      <c r="AL112" s="224"/>
    </row>
    <row r="113" spans="1:38" s="219" customFormat="1" x14ac:dyDescent="0.25">
      <c r="A113" s="101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36">
        <v>108</v>
      </c>
      <c r="I113" s="237" t="str">
        <f t="shared" si="7"/>
        <v/>
      </c>
      <c r="J113" s="236" t="e">
        <f t="shared" si="11"/>
        <v>#NUM!</v>
      </c>
      <c r="K113" s="236" t="e">
        <f t="shared" si="8"/>
        <v>#NUM!</v>
      </c>
      <c r="L113" s="236"/>
      <c r="M113" s="238">
        <f t="shared" si="9"/>
        <v>0</v>
      </c>
      <c r="S113" s="224"/>
      <c r="T113" s="224"/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  <c r="AF113" s="224"/>
      <c r="AG113" s="224"/>
      <c r="AH113" s="224"/>
      <c r="AI113" s="224"/>
      <c r="AJ113" s="224"/>
      <c r="AK113" s="224"/>
      <c r="AL113" s="224"/>
    </row>
    <row r="114" spans="1:38" s="219" customFormat="1" x14ac:dyDescent="0.25">
      <c r="A114" s="97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33">
        <v>109</v>
      </c>
      <c r="I114" s="234" t="str">
        <f t="shared" si="7"/>
        <v/>
      </c>
      <c r="J114" s="233" t="e">
        <f t="shared" si="11"/>
        <v>#NUM!</v>
      </c>
      <c r="K114" s="233" t="e">
        <f t="shared" si="8"/>
        <v>#NUM!</v>
      </c>
      <c r="L114" s="233"/>
      <c r="M114" s="235">
        <f t="shared" si="9"/>
        <v>0</v>
      </c>
      <c r="S114" s="224"/>
      <c r="T114" s="224"/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  <c r="AF114" s="224"/>
      <c r="AG114" s="224"/>
      <c r="AH114" s="224"/>
      <c r="AI114" s="224"/>
      <c r="AJ114" s="224"/>
      <c r="AK114" s="224"/>
      <c r="AL114" s="224"/>
    </row>
    <row r="115" spans="1:38" s="219" customFormat="1" x14ac:dyDescent="0.25">
      <c r="A115" s="101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36">
        <v>110</v>
      </c>
      <c r="I115" s="237" t="str">
        <f t="shared" si="7"/>
        <v/>
      </c>
      <c r="J115" s="236" t="e">
        <f t="shared" si="11"/>
        <v>#NUM!</v>
      </c>
      <c r="K115" s="236" t="e">
        <f t="shared" si="8"/>
        <v>#NUM!</v>
      </c>
      <c r="L115" s="236"/>
      <c r="M115" s="238">
        <f t="shared" si="9"/>
        <v>0</v>
      </c>
      <c r="S115" s="224"/>
      <c r="T115" s="224"/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  <c r="AF115" s="224"/>
      <c r="AG115" s="224"/>
      <c r="AH115" s="224"/>
      <c r="AI115" s="224"/>
      <c r="AJ115" s="224"/>
      <c r="AK115" s="224"/>
      <c r="AL115" s="224"/>
    </row>
    <row r="116" spans="1:38" s="219" customFormat="1" x14ac:dyDescent="0.25">
      <c r="A116" s="97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33">
        <v>111</v>
      </c>
      <c r="I116" s="234" t="str">
        <f t="shared" si="7"/>
        <v/>
      </c>
      <c r="J116" s="233" t="e">
        <f t="shared" si="11"/>
        <v>#NUM!</v>
      </c>
      <c r="K116" s="233" t="e">
        <f t="shared" si="8"/>
        <v>#NUM!</v>
      </c>
      <c r="L116" s="233"/>
      <c r="M116" s="235">
        <f t="shared" si="9"/>
        <v>0</v>
      </c>
      <c r="S116" s="224"/>
      <c r="T116" s="224"/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  <c r="AF116" s="224"/>
      <c r="AG116" s="224"/>
      <c r="AH116" s="224"/>
      <c r="AI116" s="224"/>
      <c r="AJ116" s="224"/>
      <c r="AK116" s="224"/>
      <c r="AL116" s="224"/>
    </row>
    <row r="117" spans="1:38" s="219" customFormat="1" x14ac:dyDescent="0.25">
      <c r="A117" s="101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36">
        <v>112</v>
      </c>
      <c r="I117" s="237" t="str">
        <f t="shared" si="7"/>
        <v/>
      </c>
      <c r="J117" s="236" t="e">
        <f t="shared" si="11"/>
        <v>#NUM!</v>
      </c>
      <c r="K117" s="236" t="e">
        <f t="shared" si="8"/>
        <v>#NUM!</v>
      </c>
      <c r="L117" s="236"/>
      <c r="M117" s="238">
        <f t="shared" si="9"/>
        <v>0</v>
      </c>
      <c r="S117" s="224"/>
      <c r="T117" s="224"/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  <c r="AF117" s="224"/>
      <c r="AG117" s="224"/>
      <c r="AH117" s="224"/>
      <c r="AI117" s="224"/>
      <c r="AJ117" s="224"/>
      <c r="AK117" s="224"/>
      <c r="AL117" s="224"/>
    </row>
    <row r="118" spans="1:38" s="219" customFormat="1" x14ac:dyDescent="0.25">
      <c r="A118" s="97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33">
        <v>113</v>
      </c>
      <c r="I118" s="234" t="str">
        <f t="shared" si="7"/>
        <v/>
      </c>
      <c r="J118" s="233" t="e">
        <f t="shared" si="11"/>
        <v>#NUM!</v>
      </c>
      <c r="K118" s="233" t="e">
        <f t="shared" si="8"/>
        <v>#NUM!</v>
      </c>
      <c r="L118" s="233"/>
      <c r="M118" s="235">
        <f t="shared" si="9"/>
        <v>0</v>
      </c>
      <c r="S118" s="224"/>
      <c r="T118" s="224"/>
      <c r="U118" s="224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  <c r="AF118" s="224"/>
      <c r="AG118" s="224"/>
      <c r="AH118" s="224"/>
      <c r="AI118" s="224"/>
      <c r="AJ118" s="224"/>
      <c r="AK118" s="224"/>
      <c r="AL118" s="224"/>
    </row>
    <row r="119" spans="1:38" s="219" customFormat="1" x14ac:dyDescent="0.25">
      <c r="A119" s="101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36">
        <v>114</v>
      </c>
      <c r="I119" s="237" t="str">
        <f t="shared" si="7"/>
        <v/>
      </c>
      <c r="J119" s="236" t="e">
        <f t="shared" si="11"/>
        <v>#NUM!</v>
      </c>
      <c r="K119" s="236" t="e">
        <f t="shared" si="8"/>
        <v>#NUM!</v>
      </c>
      <c r="L119" s="236"/>
      <c r="M119" s="238">
        <f t="shared" si="9"/>
        <v>0</v>
      </c>
      <c r="S119" s="224"/>
      <c r="T119" s="224"/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  <c r="AF119" s="224"/>
      <c r="AG119" s="224"/>
      <c r="AH119" s="224"/>
      <c r="AI119" s="224"/>
      <c r="AJ119" s="224"/>
      <c r="AK119" s="224"/>
      <c r="AL119" s="224"/>
    </row>
    <row r="120" spans="1:38" s="219" customFormat="1" x14ac:dyDescent="0.25">
      <c r="A120" s="97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33">
        <v>115</v>
      </c>
      <c r="I120" s="234" t="str">
        <f t="shared" si="7"/>
        <v/>
      </c>
      <c r="J120" s="233" t="e">
        <f t="shared" si="11"/>
        <v>#NUM!</v>
      </c>
      <c r="K120" s="233" t="e">
        <f t="shared" si="8"/>
        <v>#NUM!</v>
      </c>
      <c r="L120" s="233"/>
      <c r="M120" s="235">
        <f t="shared" si="9"/>
        <v>0</v>
      </c>
      <c r="S120" s="224"/>
      <c r="T120" s="224"/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  <c r="AF120" s="224"/>
      <c r="AG120" s="224"/>
      <c r="AH120" s="224"/>
      <c r="AI120" s="224"/>
      <c r="AJ120" s="224"/>
      <c r="AK120" s="224"/>
      <c r="AL120" s="224"/>
    </row>
    <row r="121" spans="1:38" s="219" customFormat="1" x14ac:dyDescent="0.25">
      <c r="A121" s="101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36">
        <v>116</v>
      </c>
      <c r="I121" s="237" t="str">
        <f t="shared" si="7"/>
        <v/>
      </c>
      <c r="J121" s="236" t="e">
        <f t="shared" si="11"/>
        <v>#NUM!</v>
      </c>
      <c r="K121" s="236" t="e">
        <f t="shared" si="8"/>
        <v>#NUM!</v>
      </c>
      <c r="L121" s="236"/>
      <c r="M121" s="238">
        <f t="shared" si="9"/>
        <v>0</v>
      </c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</row>
    <row r="122" spans="1:38" s="219" customFormat="1" x14ac:dyDescent="0.25">
      <c r="A122" s="97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33">
        <v>117</v>
      </c>
      <c r="I122" s="234" t="str">
        <f t="shared" si="7"/>
        <v/>
      </c>
      <c r="J122" s="233" t="e">
        <f t="shared" si="11"/>
        <v>#NUM!</v>
      </c>
      <c r="K122" s="233" t="e">
        <f t="shared" si="8"/>
        <v>#NUM!</v>
      </c>
      <c r="L122" s="233"/>
      <c r="M122" s="235">
        <f t="shared" si="9"/>
        <v>0</v>
      </c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</row>
    <row r="123" spans="1:38" s="219" customFormat="1" x14ac:dyDescent="0.25">
      <c r="A123" s="101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36">
        <v>118</v>
      </c>
      <c r="I123" s="237" t="str">
        <f t="shared" si="7"/>
        <v/>
      </c>
      <c r="J123" s="236" t="e">
        <f t="shared" si="11"/>
        <v>#NUM!</v>
      </c>
      <c r="K123" s="236" t="e">
        <f t="shared" si="8"/>
        <v>#NUM!</v>
      </c>
      <c r="L123" s="236"/>
      <c r="M123" s="238">
        <f t="shared" si="9"/>
        <v>0</v>
      </c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</row>
    <row r="124" spans="1:38" s="219" customFormat="1" x14ac:dyDescent="0.25">
      <c r="A124" s="97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33">
        <v>119</v>
      </c>
      <c r="I124" s="234" t="str">
        <f t="shared" si="7"/>
        <v/>
      </c>
      <c r="J124" s="233" t="e">
        <f t="shared" si="11"/>
        <v>#NUM!</v>
      </c>
      <c r="K124" s="233" t="e">
        <f t="shared" si="8"/>
        <v>#NUM!</v>
      </c>
      <c r="L124" s="233"/>
      <c r="M124" s="235">
        <f t="shared" si="9"/>
        <v>0</v>
      </c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</row>
    <row r="125" spans="1:38" s="219" customFormat="1" x14ac:dyDescent="0.25">
      <c r="A125" s="101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36">
        <v>120</v>
      </c>
      <c r="I125" s="237" t="str">
        <f t="shared" si="7"/>
        <v/>
      </c>
      <c r="J125" s="236" t="e">
        <f t="shared" si="11"/>
        <v>#NUM!</v>
      </c>
      <c r="K125" s="236" t="e">
        <f t="shared" si="8"/>
        <v>#NUM!</v>
      </c>
      <c r="L125" s="236"/>
      <c r="M125" s="238">
        <f t="shared" si="9"/>
        <v>0</v>
      </c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</row>
    <row r="126" spans="1:38" s="219" customFormat="1" x14ac:dyDescent="0.25">
      <c r="A126" s="97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33">
        <v>121</v>
      </c>
      <c r="I126" s="234" t="str">
        <f t="shared" si="7"/>
        <v/>
      </c>
      <c r="J126" s="233" t="e">
        <f t="shared" si="11"/>
        <v>#NUM!</v>
      </c>
      <c r="K126" s="233" t="e">
        <f t="shared" si="8"/>
        <v>#NUM!</v>
      </c>
      <c r="L126" s="233"/>
      <c r="M126" s="235">
        <f t="shared" si="9"/>
        <v>0</v>
      </c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</row>
    <row r="127" spans="1:38" s="219" customFormat="1" x14ac:dyDescent="0.25">
      <c r="A127" s="101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36">
        <v>122</v>
      </c>
      <c r="I127" s="237" t="str">
        <f t="shared" si="7"/>
        <v/>
      </c>
      <c r="J127" s="236" t="e">
        <f t="shared" si="11"/>
        <v>#NUM!</v>
      </c>
      <c r="K127" s="236" t="e">
        <f t="shared" si="8"/>
        <v>#NUM!</v>
      </c>
      <c r="L127" s="236"/>
      <c r="M127" s="238">
        <f t="shared" si="9"/>
        <v>0</v>
      </c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</row>
    <row r="128" spans="1:38" s="219" customFormat="1" x14ac:dyDescent="0.25">
      <c r="A128" s="97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33">
        <v>123</v>
      </c>
      <c r="I128" s="234" t="str">
        <f t="shared" si="7"/>
        <v/>
      </c>
      <c r="J128" s="233" t="e">
        <f t="shared" si="11"/>
        <v>#NUM!</v>
      </c>
      <c r="K128" s="233" t="e">
        <f t="shared" si="8"/>
        <v>#NUM!</v>
      </c>
      <c r="L128" s="233"/>
      <c r="M128" s="235">
        <f t="shared" si="9"/>
        <v>0</v>
      </c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</row>
    <row r="129" spans="1:38" s="219" customFormat="1" x14ac:dyDescent="0.25">
      <c r="A129" s="101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36">
        <v>124</v>
      </c>
      <c r="I129" s="237" t="str">
        <f t="shared" si="7"/>
        <v/>
      </c>
      <c r="J129" s="236" t="e">
        <f t="shared" si="11"/>
        <v>#NUM!</v>
      </c>
      <c r="K129" s="236" t="e">
        <f t="shared" si="8"/>
        <v>#NUM!</v>
      </c>
      <c r="L129" s="236"/>
      <c r="M129" s="238">
        <f t="shared" si="9"/>
        <v>0</v>
      </c>
      <c r="S129" s="224"/>
      <c r="T129" s="224"/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  <c r="AF129" s="224"/>
      <c r="AG129" s="224"/>
      <c r="AH129" s="224"/>
      <c r="AI129" s="224"/>
      <c r="AJ129" s="224"/>
      <c r="AK129" s="224"/>
      <c r="AL129" s="224"/>
    </row>
    <row r="130" spans="1:38" s="219" customFormat="1" x14ac:dyDescent="0.25">
      <c r="A130" s="97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33">
        <v>125</v>
      </c>
      <c r="I130" s="234" t="str">
        <f t="shared" si="7"/>
        <v/>
      </c>
      <c r="J130" s="233" t="e">
        <f t="shared" si="11"/>
        <v>#NUM!</v>
      </c>
      <c r="K130" s="233" t="e">
        <f t="shared" si="8"/>
        <v>#NUM!</v>
      </c>
      <c r="L130" s="233"/>
      <c r="M130" s="235">
        <f t="shared" si="9"/>
        <v>0</v>
      </c>
      <c r="S130" s="224"/>
      <c r="T130" s="224"/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  <c r="AF130" s="224"/>
      <c r="AG130" s="224"/>
      <c r="AH130" s="224"/>
      <c r="AI130" s="224"/>
      <c r="AJ130" s="224"/>
      <c r="AK130" s="224"/>
      <c r="AL130" s="224"/>
    </row>
    <row r="131" spans="1:38" s="219" customFormat="1" x14ac:dyDescent="0.25">
      <c r="A131" s="101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36">
        <v>126</v>
      </c>
      <c r="I131" s="237" t="str">
        <f t="shared" si="7"/>
        <v/>
      </c>
      <c r="J131" s="236" t="e">
        <f t="shared" si="11"/>
        <v>#NUM!</v>
      </c>
      <c r="K131" s="236" t="e">
        <f t="shared" si="8"/>
        <v>#NUM!</v>
      </c>
      <c r="L131" s="236"/>
      <c r="M131" s="238">
        <f t="shared" si="9"/>
        <v>0</v>
      </c>
      <c r="S131" s="224"/>
      <c r="T131" s="224"/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  <c r="AF131" s="224"/>
      <c r="AG131" s="224"/>
      <c r="AH131" s="224"/>
      <c r="AI131" s="224"/>
      <c r="AJ131" s="224"/>
      <c r="AK131" s="224"/>
      <c r="AL131" s="224"/>
    </row>
    <row r="132" spans="1:38" s="219" customFormat="1" x14ac:dyDescent="0.25">
      <c r="A132" s="97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33">
        <v>127</v>
      </c>
      <c r="I132" s="234" t="str">
        <f t="shared" si="7"/>
        <v/>
      </c>
      <c r="J132" s="233" t="e">
        <f t="shared" si="11"/>
        <v>#NUM!</v>
      </c>
      <c r="K132" s="233" t="e">
        <f t="shared" si="8"/>
        <v>#NUM!</v>
      </c>
      <c r="L132" s="233"/>
      <c r="M132" s="235">
        <f t="shared" si="9"/>
        <v>0</v>
      </c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  <c r="AF132" s="224"/>
      <c r="AG132" s="224"/>
      <c r="AH132" s="224"/>
      <c r="AI132" s="224"/>
      <c r="AJ132" s="224"/>
      <c r="AK132" s="224"/>
      <c r="AL132" s="224"/>
    </row>
    <row r="133" spans="1:38" s="219" customFormat="1" x14ac:dyDescent="0.25">
      <c r="A133" s="101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36">
        <v>128</v>
      </c>
      <c r="I133" s="237" t="str">
        <f t="shared" si="7"/>
        <v/>
      </c>
      <c r="J133" s="236" t="e">
        <f t="shared" si="11"/>
        <v>#NUM!</v>
      </c>
      <c r="K133" s="236" t="e">
        <f t="shared" si="8"/>
        <v>#NUM!</v>
      </c>
      <c r="L133" s="236"/>
      <c r="M133" s="238">
        <f t="shared" si="9"/>
        <v>0</v>
      </c>
      <c r="S133" s="224"/>
      <c r="T133" s="224"/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  <c r="AF133" s="224"/>
      <c r="AG133" s="224"/>
      <c r="AH133" s="224"/>
      <c r="AI133" s="224"/>
      <c r="AJ133" s="224"/>
      <c r="AK133" s="224"/>
      <c r="AL133" s="224"/>
    </row>
    <row r="134" spans="1:38" s="219" customFormat="1" x14ac:dyDescent="0.25">
      <c r="A134" s="97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33">
        <v>129</v>
      </c>
      <c r="I134" s="234" t="str">
        <f t="shared" ref="I134:I197" si="13">IF(H134&lt;$H$2+1,($I$2-($I$2-1)*(LOG(H134)/LOG($H$2))),"")</f>
        <v/>
      </c>
      <c r="J134" s="233" t="e">
        <f t="shared" si="11"/>
        <v>#NUM!</v>
      </c>
      <c r="K134" s="233" t="e">
        <f t="shared" ref="K134:K197" si="14">J134*$J$2</f>
        <v>#NUM!</v>
      </c>
      <c r="L134" s="233"/>
      <c r="M134" s="235">
        <f t="shared" ref="M134:M197" si="15">IF(I134&lt;&gt;"",K134+I134+L134,0)</f>
        <v>0</v>
      </c>
      <c r="S134" s="224"/>
      <c r="T134" s="224"/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  <c r="AF134" s="224"/>
      <c r="AG134" s="224"/>
      <c r="AH134" s="224"/>
      <c r="AI134" s="224"/>
      <c r="AJ134" s="224"/>
      <c r="AK134" s="224"/>
      <c r="AL134" s="224"/>
    </row>
    <row r="135" spans="1:38" s="219" customFormat="1" x14ac:dyDescent="0.25">
      <c r="A135" s="101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36">
        <v>130</v>
      </c>
      <c r="I135" s="237" t="str">
        <f t="shared" si="13"/>
        <v/>
      </c>
      <c r="J135" s="236" t="e">
        <f t="shared" ref="J135:J198" si="17">INT(LOG($H$2,2))-ROUNDUP(LOG(H135,2),0)+IF(OR($H$2=1,$H$2=2,$H$2=4,$H$2=8,$H$2=16,$H$2=32,$H$2=64,$H$2=128,$H$2=256),0,1)</f>
        <v>#NUM!</v>
      </c>
      <c r="K135" s="236" t="e">
        <f t="shared" si="14"/>
        <v>#NUM!</v>
      </c>
      <c r="L135" s="236"/>
      <c r="M135" s="238">
        <f t="shared" si="15"/>
        <v>0</v>
      </c>
      <c r="S135" s="224"/>
      <c r="T135" s="224"/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  <c r="AF135" s="224"/>
      <c r="AG135" s="224"/>
      <c r="AH135" s="224"/>
      <c r="AI135" s="224"/>
      <c r="AJ135" s="224"/>
      <c r="AK135" s="224"/>
      <c r="AL135" s="224"/>
    </row>
    <row r="136" spans="1:38" s="219" customFormat="1" x14ac:dyDescent="0.25">
      <c r="A136" s="97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33">
        <v>131</v>
      </c>
      <c r="I136" s="234" t="str">
        <f t="shared" si="13"/>
        <v/>
      </c>
      <c r="J136" s="233" t="e">
        <f t="shared" si="17"/>
        <v>#NUM!</v>
      </c>
      <c r="K136" s="233" t="e">
        <f t="shared" si="14"/>
        <v>#NUM!</v>
      </c>
      <c r="L136" s="233"/>
      <c r="M136" s="235">
        <f t="shared" si="15"/>
        <v>0</v>
      </c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  <c r="AF136" s="224"/>
      <c r="AG136" s="224"/>
      <c r="AH136" s="224"/>
      <c r="AI136" s="224"/>
      <c r="AJ136" s="224"/>
      <c r="AK136" s="224"/>
      <c r="AL136" s="224"/>
    </row>
    <row r="137" spans="1:38" s="219" customFormat="1" x14ac:dyDescent="0.25">
      <c r="A137" s="101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36">
        <v>132</v>
      </c>
      <c r="I137" s="237" t="str">
        <f t="shared" si="13"/>
        <v/>
      </c>
      <c r="J137" s="236" t="e">
        <f t="shared" si="17"/>
        <v>#NUM!</v>
      </c>
      <c r="K137" s="236" t="e">
        <f t="shared" si="14"/>
        <v>#NUM!</v>
      </c>
      <c r="L137" s="236"/>
      <c r="M137" s="238">
        <f t="shared" si="15"/>
        <v>0</v>
      </c>
      <c r="S137" s="224"/>
      <c r="T137" s="224"/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  <c r="AF137" s="224"/>
      <c r="AG137" s="224"/>
      <c r="AH137" s="224"/>
      <c r="AI137" s="224"/>
      <c r="AJ137" s="224"/>
      <c r="AK137" s="224"/>
      <c r="AL137" s="224"/>
    </row>
    <row r="138" spans="1:38" s="219" customFormat="1" x14ac:dyDescent="0.25">
      <c r="A138" s="97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33">
        <v>133</v>
      </c>
      <c r="I138" s="234" t="str">
        <f t="shared" si="13"/>
        <v/>
      </c>
      <c r="J138" s="233" t="e">
        <f t="shared" si="17"/>
        <v>#NUM!</v>
      </c>
      <c r="K138" s="233" t="e">
        <f t="shared" si="14"/>
        <v>#NUM!</v>
      </c>
      <c r="L138" s="233"/>
      <c r="M138" s="235">
        <f t="shared" si="15"/>
        <v>0</v>
      </c>
      <c r="S138" s="224"/>
      <c r="T138" s="224"/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  <c r="AF138" s="224"/>
      <c r="AG138" s="224"/>
      <c r="AH138" s="224"/>
      <c r="AI138" s="224"/>
      <c r="AJ138" s="224"/>
      <c r="AK138" s="224"/>
      <c r="AL138" s="224"/>
    </row>
    <row r="139" spans="1:38" s="219" customFormat="1" x14ac:dyDescent="0.25">
      <c r="A139" s="101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36">
        <v>134</v>
      </c>
      <c r="I139" s="237" t="str">
        <f t="shared" si="13"/>
        <v/>
      </c>
      <c r="J139" s="236" t="e">
        <f t="shared" si="17"/>
        <v>#NUM!</v>
      </c>
      <c r="K139" s="236" t="e">
        <f t="shared" si="14"/>
        <v>#NUM!</v>
      </c>
      <c r="L139" s="236"/>
      <c r="M139" s="238">
        <f t="shared" si="15"/>
        <v>0</v>
      </c>
      <c r="S139" s="224"/>
      <c r="T139" s="224"/>
      <c r="U139" s="224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  <c r="AF139" s="224"/>
      <c r="AG139" s="224"/>
      <c r="AH139" s="224"/>
      <c r="AI139" s="224"/>
      <c r="AJ139" s="224"/>
      <c r="AK139" s="224"/>
      <c r="AL139" s="224"/>
    </row>
    <row r="140" spans="1:38" s="219" customFormat="1" x14ac:dyDescent="0.25">
      <c r="A140" s="97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33">
        <v>135</v>
      </c>
      <c r="I140" s="234" t="str">
        <f t="shared" si="13"/>
        <v/>
      </c>
      <c r="J140" s="233" t="e">
        <f t="shared" si="17"/>
        <v>#NUM!</v>
      </c>
      <c r="K140" s="233" t="e">
        <f t="shared" si="14"/>
        <v>#NUM!</v>
      </c>
      <c r="L140" s="233"/>
      <c r="M140" s="235">
        <f t="shared" si="15"/>
        <v>0</v>
      </c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  <c r="AF140" s="224"/>
      <c r="AG140" s="224"/>
      <c r="AH140" s="224"/>
      <c r="AI140" s="224"/>
      <c r="AJ140" s="224"/>
      <c r="AK140" s="224"/>
      <c r="AL140" s="224"/>
    </row>
    <row r="141" spans="1:38" x14ac:dyDescent="0.25">
      <c r="A141" s="250"/>
      <c r="G141" s="219"/>
      <c r="H141" s="236">
        <v>136</v>
      </c>
      <c r="I141" s="234" t="str">
        <f t="shared" si="13"/>
        <v/>
      </c>
      <c r="J141" s="233" t="e">
        <f t="shared" si="17"/>
        <v>#NUM!</v>
      </c>
      <c r="K141" s="233" t="e">
        <f t="shared" si="14"/>
        <v>#NUM!</v>
      </c>
      <c r="L141" s="233"/>
      <c r="M141" s="235">
        <f t="shared" si="15"/>
        <v>0</v>
      </c>
    </row>
    <row r="142" spans="1:38" x14ac:dyDescent="0.25">
      <c r="A142" s="250"/>
      <c r="G142" s="219"/>
      <c r="H142" s="233">
        <v>137</v>
      </c>
      <c r="I142" s="234" t="str">
        <f t="shared" si="13"/>
        <v/>
      </c>
      <c r="J142" s="233" t="e">
        <f t="shared" si="17"/>
        <v>#NUM!</v>
      </c>
      <c r="K142" s="233" t="e">
        <f t="shared" si="14"/>
        <v>#NUM!</v>
      </c>
      <c r="L142" s="233"/>
      <c r="M142" s="235">
        <f t="shared" si="15"/>
        <v>0</v>
      </c>
    </row>
    <row r="143" spans="1:38" x14ac:dyDescent="0.25">
      <c r="A143" s="250"/>
      <c r="G143" s="219"/>
      <c r="H143" s="236">
        <v>138</v>
      </c>
      <c r="I143" s="234" t="str">
        <f t="shared" si="13"/>
        <v/>
      </c>
      <c r="J143" s="233" t="e">
        <f t="shared" si="17"/>
        <v>#NUM!</v>
      </c>
      <c r="K143" s="233" t="e">
        <f t="shared" si="14"/>
        <v>#NUM!</v>
      </c>
      <c r="L143" s="233"/>
      <c r="M143" s="235">
        <f t="shared" si="15"/>
        <v>0</v>
      </c>
    </row>
    <row r="144" spans="1:38" x14ac:dyDescent="0.25">
      <c r="A144" s="250"/>
      <c r="G144" s="219"/>
      <c r="H144" s="233">
        <v>139</v>
      </c>
      <c r="I144" s="234" t="str">
        <f t="shared" si="13"/>
        <v/>
      </c>
      <c r="J144" s="233" t="e">
        <f t="shared" si="17"/>
        <v>#NUM!</v>
      </c>
      <c r="K144" s="233" t="e">
        <f t="shared" si="14"/>
        <v>#NUM!</v>
      </c>
      <c r="L144" s="233"/>
      <c r="M144" s="235">
        <f t="shared" si="15"/>
        <v>0</v>
      </c>
    </row>
    <row r="145" spans="1:13" x14ac:dyDescent="0.25">
      <c r="A145" s="250"/>
      <c r="G145" s="219"/>
      <c r="H145" s="236">
        <v>140</v>
      </c>
      <c r="I145" s="234" t="str">
        <f t="shared" si="13"/>
        <v/>
      </c>
      <c r="J145" s="233" t="e">
        <f t="shared" si="17"/>
        <v>#NUM!</v>
      </c>
      <c r="K145" s="233" t="e">
        <f t="shared" si="14"/>
        <v>#NUM!</v>
      </c>
      <c r="L145" s="233"/>
      <c r="M145" s="235">
        <f t="shared" si="15"/>
        <v>0</v>
      </c>
    </row>
    <row r="146" spans="1:13" x14ac:dyDescent="0.25">
      <c r="A146" s="250"/>
      <c r="G146" s="219"/>
      <c r="H146" s="233">
        <v>141</v>
      </c>
      <c r="I146" s="234" t="str">
        <f t="shared" si="13"/>
        <v/>
      </c>
      <c r="J146" s="233" t="e">
        <f t="shared" si="17"/>
        <v>#NUM!</v>
      </c>
      <c r="K146" s="233" t="e">
        <f t="shared" si="14"/>
        <v>#NUM!</v>
      </c>
      <c r="L146" s="233"/>
      <c r="M146" s="235">
        <f t="shared" si="15"/>
        <v>0</v>
      </c>
    </row>
    <row r="147" spans="1:13" x14ac:dyDescent="0.25">
      <c r="A147" s="250"/>
      <c r="G147" s="219"/>
      <c r="H147" s="236">
        <v>142</v>
      </c>
      <c r="I147" s="234" t="str">
        <f t="shared" si="13"/>
        <v/>
      </c>
      <c r="J147" s="233" t="e">
        <f t="shared" si="17"/>
        <v>#NUM!</v>
      </c>
      <c r="K147" s="233" t="e">
        <f t="shared" si="14"/>
        <v>#NUM!</v>
      </c>
      <c r="L147" s="233"/>
      <c r="M147" s="235">
        <f t="shared" si="15"/>
        <v>0</v>
      </c>
    </row>
    <row r="148" spans="1:13" x14ac:dyDescent="0.25">
      <c r="A148" s="250"/>
      <c r="G148" s="219"/>
      <c r="H148" s="233">
        <v>143</v>
      </c>
      <c r="I148" s="234" t="str">
        <f t="shared" si="13"/>
        <v/>
      </c>
      <c r="J148" s="233" t="e">
        <f t="shared" si="17"/>
        <v>#NUM!</v>
      </c>
      <c r="K148" s="233" t="e">
        <f t="shared" si="14"/>
        <v>#NUM!</v>
      </c>
      <c r="L148" s="233"/>
      <c r="M148" s="235">
        <f t="shared" si="15"/>
        <v>0</v>
      </c>
    </row>
    <row r="149" spans="1:13" x14ac:dyDescent="0.25">
      <c r="A149" s="250"/>
      <c r="G149" s="219"/>
      <c r="H149" s="236">
        <v>144</v>
      </c>
      <c r="I149" s="234" t="str">
        <f t="shared" si="13"/>
        <v/>
      </c>
      <c r="J149" s="233" t="e">
        <f t="shared" si="17"/>
        <v>#NUM!</v>
      </c>
      <c r="K149" s="233" t="e">
        <f t="shared" si="14"/>
        <v>#NUM!</v>
      </c>
      <c r="L149" s="233"/>
      <c r="M149" s="235">
        <f t="shared" si="15"/>
        <v>0</v>
      </c>
    </row>
    <row r="150" spans="1:13" x14ac:dyDescent="0.25">
      <c r="A150" s="250"/>
      <c r="G150" s="219"/>
      <c r="H150" s="233">
        <v>145</v>
      </c>
      <c r="I150" s="234" t="str">
        <f t="shared" si="13"/>
        <v/>
      </c>
      <c r="J150" s="233" t="e">
        <f t="shared" si="17"/>
        <v>#NUM!</v>
      </c>
      <c r="K150" s="233" t="e">
        <f t="shared" si="14"/>
        <v>#NUM!</v>
      </c>
      <c r="L150" s="233"/>
      <c r="M150" s="235">
        <f t="shared" si="15"/>
        <v>0</v>
      </c>
    </row>
    <row r="151" spans="1:13" x14ac:dyDescent="0.25">
      <c r="A151" s="250"/>
      <c r="G151" s="219"/>
      <c r="H151" s="236">
        <v>146</v>
      </c>
      <c r="I151" s="234" t="str">
        <f t="shared" si="13"/>
        <v/>
      </c>
      <c r="J151" s="233" t="e">
        <f t="shared" si="17"/>
        <v>#NUM!</v>
      </c>
      <c r="K151" s="233" t="e">
        <f t="shared" si="14"/>
        <v>#NUM!</v>
      </c>
      <c r="L151" s="233"/>
      <c r="M151" s="235">
        <f t="shared" si="15"/>
        <v>0</v>
      </c>
    </row>
    <row r="152" spans="1:13" x14ac:dyDescent="0.25">
      <c r="A152" s="250"/>
      <c r="G152" s="219"/>
      <c r="H152" s="233">
        <v>147</v>
      </c>
      <c r="I152" s="234" t="str">
        <f t="shared" si="13"/>
        <v/>
      </c>
      <c r="J152" s="233" t="e">
        <f t="shared" si="17"/>
        <v>#NUM!</v>
      </c>
      <c r="K152" s="233" t="e">
        <f t="shared" si="14"/>
        <v>#NUM!</v>
      </c>
      <c r="L152" s="233"/>
      <c r="M152" s="235">
        <f t="shared" si="15"/>
        <v>0</v>
      </c>
    </row>
    <row r="153" spans="1:13" x14ac:dyDescent="0.25">
      <c r="A153" s="250"/>
      <c r="G153" s="219"/>
      <c r="H153" s="236">
        <v>148</v>
      </c>
      <c r="I153" s="234" t="str">
        <f t="shared" si="13"/>
        <v/>
      </c>
      <c r="J153" s="233" t="e">
        <f t="shared" si="17"/>
        <v>#NUM!</v>
      </c>
      <c r="K153" s="233" t="e">
        <f t="shared" si="14"/>
        <v>#NUM!</v>
      </c>
      <c r="L153" s="233"/>
      <c r="M153" s="235">
        <f t="shared" si="15"/>
        <v>0</v>
      </c>
    </row>
    <row r="154" spans="1:13" x14ac:dyDescent="0.25">
      <c r="A154" s="250"/>
      <c r="G154" s="219"/>
      <c r="H154" s="233">
        <v>149</v>
      </c>
      <c r="I154" s="234" t="str">
        <f t="shared" si="13"/>
        <v/>
      </c>
      <c r="J154" s="233" t="e">
        <f t="shared" si="17"/>
        <v>#NUM!</v>
      </c>
      <c r="K154" s="233" t="e">
        <f t="shared" si="14"/>
        <v>#NUM!</v>
      </c>
      <c r="L154" s="233"/>
      <c r="M154" s="235">
        <f t="shared" si="15"/>
        <v>0</v>
      </c>
    </row>
    <row r="155" spans="1:13" x14ac:dyDescent="0.25">
      <c r="A155" s="250"/>
      <c r="G155" s="219"/>
      <c r="H155" s="236">
        <v>150</v>
      </c>
      <c r="I155" s="234" t="str">
        <f t="shared" si="13"/>
        <v/>
      </c>
      <c r="J155" s="233" t="e">
        <f t="shared" si="17"/>
        <v>#NUM!</v>
      </c>
      <c r="K155" s="233" t="e">
        <f t="shared" si="14"/>
        <v>#NUM!</v>
      </c>
      <c r="L155" s="233"/>
      <c r="M155" s="235">
        <f t="shared" si="15"/>
        <v>0</v>
      </c>
    </row>
    <row r="156" spans="1:13" x14ac:dyDescent="0.25">
      <c r="A156" s="250"/>
      <c r="G156" s="219"/>
      <c r="H156" s="233">
        <v>151</v>
      </c>
      <c r="I156" s="234" t="str">
        <f t="shared" si="13"/>
        <v/>
      </c>
      <c r="J156" s="233" t="e">
        <f t="shared" si="17"/>
        <v>#NUM!</v>
      </c>
      <c r="K156" s="233" t="e">
        <f t="shared" si="14"/>
        <v>#NUM!</v>
      </c>
      <c r="L156" s="233"/>
      <c r="M156" s="235">
        <f t="shared" si="15"/>
        <v>0</v>
      </c>
    </row>
    <row r="157" spans="1:13" x14ac:dyDescent="0.25">
      <c r="A157" s="250"/>
      <c r="G157" s="219"/>
      <c r="H157" s="236">
        <v>152</v>
      </c>
      <c r="I157" s="234" t="str">
        <f t="shared" si="13"/>
        <v/>
      </c>
      <c r="J157" s="233" t="e">
        <f t="shared" si="17"/>
        <v>#NUM!</v>
      </c>
      <c r="K157" s="233" t="e">
        <f t="shared" si="14"/>
        <v>#NUM!</v>
      </c>
      <c r="L157" s="233"/>
      <c r="M157" s="235">
        <f t="shared" si="15"/>
        <v>0</v>
      </c>
    </row>
    <row r="158" spans="1:13" x14ac:dyDescent="0.25">
      <c r="A158" s="250"/>
      <c r="G158" s="219"/>
      <c r="H158" s="233">
        <v>153</v>
      </c>
      <c r="I158" s="234" t="str">
        <f t="shared" si="13"/>
        <v/>
      </c>
      <c r="J158" s="233" t="e">
        <f t="shared" si="17"/>
        <v>#NUM!</v>
      </c>
      <c r="K158" s="233" t="e">
        <f t="shared" si="14"/>
        <v>#NUM!</v>
      </c>
      <c r="L158" s="233"/>
      <c r="M158" s="235">
        <f t="shared" si="15"/>
        <v>0</v>
      </c>
    </row>
    <row r="159" spans="1:13" x14ac:dyDescent="0.25">
      <c r="A159" s="250"/>
      <c r="G159" s="219"/>
      <c r="H159" s="236">
        <v>154</v>
      </c>
      <c r="I159" s="234" t="str">
        <f t="shared" si="13"/>
        <v/>
      </c>
      <c r="J159" s="233" t="e">
        <f t="shared" si="17"/>
        <v>#NUM!</v>
      </c>
      <c r="K159" s="233" t="e">
        <f t="shared" si="14"/>
        <v>#NUM!</v>
      </c>
      <c r="L159" s="233"/>
      <c r="M159" s="235">
        <f t="shared" si="15"/>
        <v>0</v>
      </c>
    </row>
    <row r="160" spans="1:13" x14ac:dyDescent="0.25">
      <c r="A160" s="250"/>
      <c r="G160" s="219"/>
      <c r="H160" s="233">
        <v>155</v>
      </c>
      <c r="I160" s="234" t="str">
        <f t="shared" si="13"/>
        <v/>
      </c>
      <c r="J160" s="233" t="e">
        <f t="shared" si="17"/>
        <v>#NUM!</v>
      </c>
      <c r="K160" s="233" t="e">
        <f t="shared" si="14"/>
        <v>#NUM!</v>
      </c>
      <c r="L160" s="233"/>
      <c r="M160" s="235">
        <f t="shared" si="15"/>
        <v>0</v>
      </c>
    </row>
    <row r="161" spans="1:13" x14ac:dyDescent="0.25">
      <c r="A161" s="250"/>
      <c r="G161" s="219"/>
      <c r="H161" s="236">
        <v>156</v>
      </c>
      <c r="I161" s="234" t="str">
        <f t="shared" si="13"/>
        <v/>
      </c>
      <c r="J161" s="233" t="e">
        <f t="shared" si="17"/>
        <v>#NUM!</v>
      </c>
      <c r="K161" s="233" t="e">
        <f t="shared" si="14"/>
        <v>#NUM!</v>
      </c>
      <c r="L161" s="233"/>
      <c r="M161" s="235">
        <f t="shared" si="15"/>
        <v>0</v>
      </c>
    </row>
    <row r="162" spans="1:13" x14ac:dyDescent="0.25">
      <c r="A162" s="250"/>
      <c r="G162" s="219"/>
      <c r="H162" s="233">
        <v>157</v>
      </c>
      <c r="I162" s="234" t="str">
        <f t="shared" si="13"/>
        <v/>
      </c>
      <c r="J162" s="233" t="e">
        <f t="shared" si="17"/>
        <v>#NUM!</v>
      </c>
      <c r="K162" s="233" t="e">
        <f t="shared" si="14"/>
        <v>#NUM!</v>
      </c>
      <c r="L162" s="233"/>
      <c r="M162" s="235">
        <f t="shared" si="15"/>
        <v>0</v>
      </c>
    </row>
    <row r="163" spans="1:13" x14ac:dyDescent="0.25">
      <c r="A163" s="250"/>
      <c r="G163" s="219"/>
      <c r="H163" s="236">
        <v>158</v>
      </c>
      <c r="I163" s="234" t="str">
        <f t="shared" si="13"/>
        <v/>
      </c>
      <c r="J163" s="233" t="e">
        <f t="shared" si="17"/>
        <v>#NUM!</v>
      </c>
      <c r="K163" s="233" t="e">
        <f t="shared" si="14"/>
        <v>#NUM!</v>
      </c>
      <c r="L163" s="233"/>
      <c r="M163" s="235">
        <f t="shared" si="15"/>
        <v>0</v>
      </c>
    </row>
    <row r="164" spans="1:13" x14ac:dyDescent="0.25">
      <c r="A164" s="250"/>
      <c r="G164" s="219"/>
      <c r="H164" s="233">
        <v>159</v>
      </c>
      <c r="I164" s="234" t="str">
        <f t="shared" si="13"/>
        <v/>
      </c>
      <c r="J164" s="233" t="e">
        <f t="shared" si="17"/>
        <v>#NUM!</v>
      </c>
      <c r="K164" s="233" t="e">
        <f t="shared" si="14"/>
        <v>#NUM!</v>
      </c>
      <c r="L164" s="233"/>
      <c r="M164" s="235">
        <f t="shared" si="15"/>
        <v>0</v>
      </c>
    </row>
    <row r="165" spans="1:13" x14ac:dyDescent="0.25">
      <c r="A165" s="250"/>
      <c r="G165" s="219"/>
      <c r="H165" s="236">
        <v>160</v>
      </c>
      <c r="I165" s="234" t="str">
        <f t="shared" si="13"/>
        <v/>
      </c>
      <c r="J165" s="233" t="e">
        <f t="shared" si="17"/>
        <v>#NUM!</v>
      </c>
      <c r="K165" s="233" t="e">
        <f t="shared" si="14"/>
        <v>#NUM!</v>
      </c>
      <c r="L165" s="233"/>
      <c r="M165" s="235">
        <f t="shared" si="15"/>
        <v>0</v>
      </c>
    </row>
    <row r="166" spans="1:13" x14ac:dyDescent="0.25">
      <c r="A166" s="250"/>
      <c r="G166" s="219"/>
      <c r="H166" s="233">
        <v>161</v>
      </c>
      <c r="I166" s="234" t="str">
        <f t="shared" si="13"/>
        <v/>
      </c>
      <c r="J166" s="233" t="e">
        <f t="shared" si="17"/>
        <v>#NUM!</v>
      </c>
      <c r="K166" s="233" t="e">
        <f t="shared" si="14"/>
        <v>#NUM!</v>
      </c>
      <c r="L166" s="233"/>
      <c r="M166" s="235">
        <f t="shared" si="15"/>
        <v>0</v>
      </c>
    </row>
    <row r="167" spans="1:13" x14ac:dyDescent="0.25">
      <c r="A167" s="250"/>
      <c r="G167" s="219"/>
      <c r="H167" s="236">
        <v>162</v>
      </c>
      <c r="I167" s="234" t="str">
        <f t="shared" si="13"/>
        <v/>
      </c>
      <c r="J167" s="233" t="e">
        <f t="shared" si="17"/>
        <v>#NUM!</v>
      </c>
      <c r="K167" s="233" t="e">
        <f t="shared" si="14"/>
        <v>#NUM!</v>
      </c>
      <c r="L167" s="233"/>
      <c r="M167" s="235">
        <f t="shared" si="15"/>
        <v>0</v>
      </c>
    </row>
    <row r="168" spans="1:13" x14ac:dyDescent="0.25">
      <c r="A168" s="250"/>
      <c r="G168" s="219"/>
      <c r="H168" s="233">
        <v>163</v>
      </c>
      <c r="I168" s="234" t="str">
        <f t="shared" si="13"/>
        <v/>
      </c>
      <c r="J168" s="233" t="e">
        <f t="shared" si="17"/>
        <v>#NUM!</v>
      </c>
      <c r="K168" s="233" t="e">
        <f t="shared" si="14"/>
        <v>#NUM!</v>
      </c>
      <c r="L168" s="233"/>
      <c r="M168" s="235">
        <f t="shared" si="15"/>
        <v>0</v>
      </c>
    </row>
    <row r="169" spans="1:13" x14ac:dyDescent="0.25">
      <c r="A169" s="250"/>
      <c r="C169" s="249" t="s">
        <v>54</v>
      </c>
      <c r="G169" s="219"/>
      <c r="H169" s="236">
        <v>164</v>
      </c>
      <c r="I169" s="234" t="str">
        <f t="shared" si="13"/>
        <v/>
      </c>
      <c r="J169" s="233" t="e">
        <f t="shared" si="17"/>
        <v>#NUM!</v>
      </c>
      <c r="K169" s="233" t="e">
        <f t="shared" si="14"/>
        <v>#NUM!</v>
      </c>
      <c r="L169" s="233"/>
      <c r="M169" s="235">
        <f t="shared" si="15"/>
        <v>0</v>
      </c>
    </row>
    <row r="170" spans="1:13" x14ac:dyDescent="0.25">
      <c r="A170" s="250"/>
      <c r="G170" s="219"/>
      <c r="H170" s="233">
        <v>165</v>
      </c>
      <c r="I170" s="234" t="str">
        <f t="shared" si="13"/>
        <v/>
      </c>
      <c r="J170" s="233" t="e">
        <f t="shared" si="17"/>
        <v>#NUM!</v>
      </c>
      <c r="K170" s="233" t="e">
        <f t="shared" si="14"/>
        <v>#NUM!</v>
      </c>
      <c r="L170" s="233"/>
      <c r="M170" s="235">
        <f t="shared" si="15"/>
        <v>0</v>
      </c>
    </row>
    <row r="171" spans="1:13" x14ac:dyDescent="0.25">
      <c r="A171" s="250"/>
      <c r="G171" s="219"/>
      <c r="H171" s="236">
        <v>166</v>
      </c>
      <c r="I171" s="234" t="str">
        <f t="shared" si="13"/>
        <v/>
      </c>
      <c r="J171" s="233" t="e">
        <f t="shared" si="17"/>
        <v>#NUM!</v>
      </c>
      <c r="K171" s="233" t="e">
        <f t="shared" si="14"/>
        <v>#NUM!</v>
      </c>
      <c r="L171" s="233"/>
      <c r="M171" s="235">
        <f t="shared" si="15"/>
        <v>0</v>
      </c>
    </row>
    <row r="172" spans="1:13" x14ac:dyDescent="0.25">
      <c r="A172" s="250"/>
      <c r="G172" s="219"/>
      <c r="H172" s="233">
        <v>167</v>
      </c>
      <c r="I172" s="234" t="str">
        <f t="shared" si="13"/>
        <v/>
      </c>
      <c r="J172" s="233" t="e">
        <f t="shared" si="17"/>
        <v>#NUM!</v>
      </c>
      <c r="K172" s="233" t="e">
        <f t="shared" si="14"/>
        <v>#NUM!</v>
      </c>
      <c r="L172" s="233"/>
      <c r="M172" s="235">
        <f t="shared" si="15"/>
        <v>0</v>
      </c>
    </row>
    <row r="173" spans="1:13" x14ac:dyDescent="0.25">
      <c r="A173" s="250"/>
      <c r="G173" s="219"/>
      <c r="H173" s="236">
        <v>168</v>
      </c>
      <c r="I173" s="234" t="str">
        <f t="shared" si="13"/>
        <v/>
      </c>
      <c r="J173" s="233" t="e">
        <f t="shared" si="17"/>
        <v>#NUM!</v>
      </c>
      <c r="K173" s="233" t="e">
        <f t="shared" si="14"/>
        <v>#NUM!</v>
      </c>
      <c r="L173" s="233"/>
      <c r="M173" s="235">
        <f t="shared" si="15"/>
        <v>0</v>
      </c>
    </row>
    <row r="174" spans="1:13" x14ac:dyDescent="0.25">
      <c r="A174" s="250"/>
      <c r="G174" s="219"/>
      <c r="H174" s="233">
        <v>169</v>
      </c>
      <c r="I174" s="234" t="str">
        <f t="shared" si="13"/>
        <v/>
      </c>
      <c r="J174" s="233" t="e">
        <f t="shared" si="17"/>
        <v>#NUM!</v>
      </c>
      <c r="K174" s="233" t="e">
        <f t="shared" si="14"/>
        <v>#NUM!</v>
      </c>
      <c r="L174" s="233"/>
      <c r="M174" s="235">
        <f t="shared" si="15"/>
        <v>0</v>
      </c>
    </row>
    <row r="175" spans="1:13" x14ac:dyDescent="0.25">
      <c r="A175" s="250"/>
      <c r="G175" s="219"/>
      <c r="H175" s="236">
        <v>170</v>
      </c>
      <c r="I175" s="234" t="str">
        <f t="shared" si="13"/>
        <v/>
      </c>
      <c r="J175" s="233" t="e">
        <f t="shared" si="17"/>
        <v>#NUM!</v>
      </c>
      <c r="K175" s="233" t="e">
        <f t="shared" si="14"/>
        <v>#NUM!</v>
      </c>
      <c r="L175" s="233"/>
      <c r="M175" s="235">
        <f t="shared" si="15"/>
        <v>0</v>
      </c>
    </row>
    <row r="176" spans="1:13" x14ac:dyDescent="0.25">
      <c r="A176" s="250"/>
      <c r="G176" s="219"/>
      <c r="H176" s="233">
        <v>171</v>
      </c>
      <c r="I176" s="234" t="str">
        <f t="shared" si="13"/>
        <v/>
      </c>
      <c r="J176" s="233" t="e">
        <f t="shared" si="17"/>
        <v>#NUM!</v>
      </c>
      <c r="K176" s="233" t="e">
        <f t="shared" si="14"/>
        <v>#NUM!</v>
      </c>
      <c r="L176" s="233"/>
      <c r="M176" s="235">
        <f t="shared" si="15"/>
        <v>0</v>
      </c>
    </row>
    <row r="177" spans="1:13" x14ac:dyDescent="0.25">
      <c r="A177" s="250"/>
      <c r="G177" s="219"/>
      <c r="H177" s="236">
        <v>172</v>
      </c>
      <c r="I177" s="234" t="str">
        <f t="shared" si="13"/>
        <v/>
      </c>
      <c r="J177" s="233" t="e">
        <f t="shared" si="17"/>
        <v>#NUM!</v>
      </c>
      <c r="K177" s="233" t="e">
        <f t="shared" si="14"/>
        <v>#NUM!</v>
      </c>
      <c r="L177" s="233"/>
      <c r="M177" s="235">
        <f t="shared" si="15"/>
        <v>0</v>
      </c>
    </row>
    <row r="178" spans="1:13" x14ac:dyDescent="0.25">
      <c r="A178" s="250"/>
      <c r="G178" s="219"/>
      <c r="H178" s="233">
        <v>173</v>
      </c>
      <c r="I178" s="234" t="str">
        <f t="shared" si="13"/>
        <v/>
      </c>
      <c r="J178" s="233" t="e">
        <f t="shared" si="17"/>
        <v>#NUM!</v>
      </c>
      <c r="K178" s="233" t="e">
        <f t="shared" si="14"/>
        <v>#NUM!</v>
      </c>
      <c r="L178" s="233"/>
      <c r="M178" s="235">
        <f t="shared" si="15"/>
        <v>0</v>
      </c>
    </row>
    <row r="179" spans="1:13" x14ac:dyDescent="0.25">
      <c r="A179" s="250"/>
      <c r="G179" s="219"/>
      <c r="H179" s="236">
        <v>174</v>
      </c>
      <c r="I179" s="234" t="str">
        <f t="shared" si="13"/>
        <v/>
      </c>
      <c r="J179" s="233" t="e">
        <f t="shared" si="17"/>
        <v>#NUM!</v>
      </c>
      <c r="K179" s="233" t="e">
        <f t="shared" si="14"/>
        <v>#NUM!</v>
      </c>
      <c r="L179" s="233"/>
      <c r="M179" s="235">
        <f t="shared" si="15"/>
        <v>0</v>
      </c>
    </row>
    <row r="180" spans="1:13" x14ac:dyDescent="0.25">
      <c r="A180" s="250"/>
      <c r="G180" s="219"/>
      <c r="H180" s="233">
        <v>175</v>
      </c>
      <c r="I180" s="234" t="str">
        <f t="shared" si="13"/>
        <v/>
      </c>
      <c r="J180" s="233" t="e">
        <f t="shared" si="17"/>
        <v>#NUM!</v>
      </c>
      <c r="K180" s="233" t="e">
        <f t="shared" si="14"/>
        <v>#NUM!</v>
      </c>
      <c r="L180" s="233"/>
      <c r="M180" s="235">
        <f t="shared" si="15"/>
        <v>0</v>
      </c>
    </row>
    <row r="181" spans="1:13" x14ac:dyDescent="0.25">
      <c r="A181" s="250"/>
      <c r="G181" s="219"/>
      <c r="H181" s="236">
        <v>176</v>
      </c>
      <c r="I181" s="234" t="str">
        <f t="shared" si="13"/>
        <v/>
      </c>
      <c r="J181" s="233" t="e">
        <f t="shared" si="17"/>
        <v>#NUM!</v>
      </c>
      <c r="K181" s="233" t="e">
        <f t="shared" si="14"/>
        <v>#NUM!</v>
      </c>
      <c r="L181" s="233"/>
      <c r="M181" s="235">
        <f t="shared" si="15"/>
        <v>0</v>
      </c>
    </row>
    <row r="182" spans="1:13" x14ac:dyDescent="0.25">
      <c r="A182" s="250"/>
      <c r="G182" s="219"/>
      <c r="H182" s="233">
        <v>177</v>
      </c>
      <c r="I182" s="234" t="str">
        <f t="shared" si="13"/>
        <v/>
      </c>
      <c r="J182" s="233" t="e">
        <f t="shared" si="17"/>
        <v>#NUM!</v>
      </c>
      <c r="K182" s="233" t="e">
        <f t="shared" si="14"/>
        <v>#NUM!</v>
      </c>
      <c r="L182" s="233"/>
      <c r="M182" s="235">
        <f t="shared" si="15"/>
        <v>0</v>
      </c>
    </row>
    <row r="183" spans="1:13" x14ac:dyDescent="0.25">
      <c r="A183" s="250"/>
      <c r="G183" s="219"/>
      <c r="H183" s="236">
        <v>178</v>
      </c>
      <c r="I183" s="234" t="str">
        <f t="shared" si="13"/>
        <v/>
      </c>
      <c r="J183" s="233" t="e">
        <f t="shared" si="17"/>
        <v>#NUM!</v>
      </c>
      <c r="K183" s="233" t="e">
        <f t="shared" si="14"/>
        <v>#NUM!</v>
      </c>
      <c r="L183" s="233"/>
      <c r="M183" s="235">
        <f t="shared" si="15"/>
        <v>0</v>
      </c>
    </row>
    <row r="184" spans="1:13" x14ac:dyDescent="0.25">
      <c r="A184" s="250"/>
      <c r="G184" s="219"/>
      <c r="H184" s="233">
        <v>179</v>
      </c>
      <c r="I184" s="234" t="str">
        <f t="shared" si="13"/>
        <v/>
      </c>
      <c r="J184" s="233" t="e">
        <f t="shared" si="17"/>
        <v>#NUM!</v>
      </c>
      <c r="K184" s="233" t="e">
        <f t="shared" si="14"/>
        <v>#NUM!</v>
      </c>
      <c r="L184" s="233"/>
      <c r="M184" s="235">
        <f t="shared" si="15"/>
        <v>0</v>
      </c>
    </row>
    <row r="185" spans="1:13" x14ac:dyDescent="0.25">
      <c r="A185" s="250"/>
      <c r="G185" s="219"/>
      <c r="H185" s="236">
        <v>180</v>
      </c>
      <c r="I185" s="234" t="str">
        <f t="shared" si="13"/>
        <v/>
      </c>
      <c r="J185" s="233" t="e">
        <f t="shared" si="17"/>
        <v>#NUM!</v>
      </c>
      <c r="K185" s="233" t="e">
        <f t="shared" si="14"/>
        <v>#NUM!</v>
      </c>
      <c r="L185" s="233"/>
      <c r="M185" s="235">
        <f t="shared" si="15"/>
        <v>0</v>
      </c>
    </row>
    <row r="186" spans="1:13" x14ac:dyDescent="0.25">
      <c r="A186" s="250"/>
      <c r="G186" s="219"/>
      <c r="H186" s="233">
        <v>181</v>
      </c>
      <c r="I186" s="234" t="str">
        <f t="shared" si="13"/>
        <v/>
      </c>
      <c r="J186" s="233" t="e">
        <f t="shared" si="17"/>
        <v>#NUM!</v>
      </c>
      <c r="K186" s="233" t="e">
        <f t="shared" si="14"/>
        <v>#NUM!</v>
      </c>
      <c r="L186" s="233"/>
      <c r="M186" s="235">
        <f t="shared" si="15"/>
        <v>0</v>
      </c>
    </row>
    <row r="187" spans="1:13" x14ac:dyDescent="0.25">
      <c r="A187" s="250"/>
      <c r="G187" s="219"/>
      <c r="H187" s="236">
        <v>182</v>
      </c>
      <c r="I187" s="234" t="str">
        <f t="shared" si="13"/>
        <v/>
      </c>
      <c r="J187" s="233" t="e">
        <f t="shared" si="17"/>
        <v>#NUM!</v>
      </c>
      <c r="K187" s="233" t="e">
        <f t="shared" si="14"/>
        <v>#NUM!</v>
      </c>
      <c r="L187" s="233"/>
      <c r="M187" s="235">
        <f t="shared" si="15"/>
        <v>0</v>
      </c>
    </row>
    <row r="188" spans="1:13" x14ac:dyDescent="0.25">
      <c r="A188" s="250"/>
      <c r="G188" s="219"/>
      <c r="H188" s="233">
        <v>183</v>
      </c>
      <c r="I188" s="234" t="str">
        <f t="shared" si="13"/>
        <v/>
      </c>
      <c r="J188" s="233" t="e">
        <f t="shared" si="17"/>
        <v>#NUM!</v>
      </c>
      <c r="K188" s="233" t="e">
        <f t="shared" si="14"/>
        <v>#NUM!</v>
      </c>
      <c r="L188" s="233"/>
      <c r="M188" s="235">
        <f t="shared" si="15"/>
        <v>0</v>
      </c>
    </row>
    <row r="189" spans="1:13" x14ac:dyDescent="0.25">
      <c r="A189" s="250"/>
      <c r="G189" s="219"/>
      <c r="H189" s="236">
        <v>184</v>
      </c>
      <c r="I189" s="234" t="str">
        <f t="shared" si="13"/>
        <v/>
      </c>
      <c r="J189" s="233" t="e">
        <f t="shared" si="17"/>
        <v>#NUM!</v>
      </c>
      <c r="K189" s="233" t="e">
        <f t="shared" si="14"/>
        <v>#NUM!</v>
      </c>
      <c r="L189" s="233"/>
      <c r="M189" s="235">
        <f t="shared" si="15"/>
        <v>0</v>
      </c>
    </row>
    <row r="190" spans="1:13" x14ac:dyDescent="0.25">
      <c r="A190" s="250"/>
      <c r="G190" s="219"/>
      <c r="H190" s="233">
        <v>185</v>
      </c>
      <c r="I190" s="234" t="str">
        <f t="shared" si="13"/>
        <v/>
      </c>
      <c r="J190" s="233" t="e">
        <f t="shared" si="17"/>
        <v>#NUM!</v>
      </c>
      <c r="K190" s="233" t="e">
        <f t="shared" si="14"/>
        <v>#NUM!</v>
      </c>
      <c r="L190" s="233"/>
      <c r="M190" s="235">
        <f t="shared" si="15"/>
        <v>0</v>
      </c>
    </row>
    <row r="191" spans="1:13" x14ac:dyDescent="0.25">
      <c r="A191" s="250"/>
      <c r="G191" s="219"/>
      <c r="H191" s="236">
        <v>186</v>
      </c>
      <c r="I191" s="234" t="str">
        <f t="shared" si="13"/>
        <v/>
      </c>
      <c r="J191" s="233" t="e">
        <f t="shared" si="17"/>
        <v>#NUM!</v>
      </c>
      <c r="K191" s="233" t="e">
        <f t="shared" si="14"/>
        <v>#NUM!</v>
      </c>
      <c r="L191" s="233"/>
      <c r="M191" s="235">
        <f t="shared" si="15"/>
        <v>0</v>
      </c>
    </row>
    <row r="192" spans="1:13" x14ac:dyDescent="0.25">
      <c r="A192" s="250"/>
      <c r="G192" s="219"/>
      <c r="H192" s="233">
        <v>187</v>
      </c>
      <c r="I192" s="234" t="str">
        <f t="shared" si="13"/>
        <v/>
      </c>
      <c r="J192" s="233" t="e">
        <f t="shared" si="17"/>
        <v>#NUM!</v>
      </c>
      <c r="K192" s="233" t="e">
        <f t="shared" si="14"/>
        <v>#NUM!</v>
      </c>
      <c r="L192" s="233"/>
      <c r="M192" s="235">
        <f t="shared" si="15"/>
        <v>0</v>
      </c>
    </row>
    <row r="193" spans="1:13" x14ac:dyDescent="0.25">
      <c r="A193" s="250"/>
      <c r="G193" s="219"/>
      <c r="H193" s="236">
        <v>188</v>
      </c>
      <c r="I193" s="234" t="str">
        <f t="shared" si="13"/>
        <v/>
      </c>
      <c r="J193" s="233" t="e">
        <f t="shared" si="17"/>
        <v>#NUM!</v>
      </c>
      <c r="K193" s="233" t="e">
        <f t="shared" si="14"/>
        <v>#NUM!</v>
      </c>
      <c r="L193" s="233"/>
      <c r="M193" s="235">
        <f t="shared" si="15"/>
        <v>0</v>
      </c>
    </row>
    <row r="194" spans="1:13" x14ac:dyDescent="0.25">
      <c r="A194" s="250"/>
      <c r="G194" s="219"/>
      <c r="H194" s="233">
        <v>189</v>
      </c>
      <c r="I194" s="234" t="str">
        <f t="shared" si="13"/>
        <v/>
      </c>
      <c r="J194" s="233" t="e">
        <f t="shared" si="17"/>
        <v>#NUM!</v>
      </c>
      <c r="K194" s="233" t="e">
        <f t="shared" si="14"/>
        <v>#NUM!</v>
      </c>
      <c r="L194" s="233"/>
      <c r="M194" s="235">
        <f t="shared" si="15"/>
        <v>0</v>
      </c>
    </row>
    <row r="195" spans="1:13" x14ac:dyDescent="0.25">
      <c r="A195" s="250"/>
      <c r="G195" s="219"/>
      <c r="H195" s="236">
        <v>190</v>
      </c>
      <c r="I195" s="234" t="str">
        <f t="shared" si="13"/>
        <v/>
      </c>
      <c r="J195" s="233" t="e">
        <f t="shared" si="17"/>
        <v>#NUM!</v>
      </c>
      <c r="K195" s="233" t="e">
        <f t="shared" si="14"/>
        <v>#NUM!</v>
      </c>
      <c r="L195" s="233"/>
      <c r="M195" s="235">
        <f t="shared" si="15"/>
        <v>0</v>
      </c>
    </row>
    <row r="196" spans="1:13" x14ac:dyDescent="0.25">
      <c r="A196" s="250"/>
      <c r="G196" s="219"/>
      <c r="H196" s="233">
        <v>191</v>
      </c>
      <c r="I196" s="234" t="str">
        <f t="shared" si="13"/>
        <v/>
      </c>
      <c r="J196" s="233" t="e">
        <f t="shared" si="17"/>
        <v>#NUM!</v>
      </c>
      <c r="K196" s="233" t="e">
        <f t="shared" si="14"/>
        <v>#NUM!</v>
      </c>
      <c r="L196" s="233"/>
      <c r="M196" s="235">
        <f t="shared" si="15"/>
        <v>0</v>
      </c>
    </row>
    <row r="197" spans="1:13" x14ac:dyDescent="0.25">
      <c r="A197" s="250"/>
      <c r="G197" s="219"/>
      <c r="H197" s="236">
        <v>192</v>
      </c>
      <c r="I197" s="234" t="str">
        <f t="shared" si="13"/>
        <v/>
      </c>
      <c r="J197" s="233" t="e">
        <f t="shared" si="17"/>
        <v>#NUM!</v>
      </c>
      <c r="K197" s="233" t="e">
        <f t="shared" si="14"/>
        <v>#NUM!</v>
      </c>
      <c r="L197" s="233"/>
      <c r="M197" s="235">
        <f t="shared" si="15"/>
        <v>0</v>
      </c>
    </row>
    <row r="198" spans="1:13" x14ac:dyDescent="0.25">
      <c r="A198" s="250"/>
      <c r="G198" s="219"/>
      <c r="H198" s="233">
        <v>193</v>
      </c>
      <c r="I198" s="234" t="str">
        <f t="shared" ref="I198:I261" si="18">IF(H198&lt;$H$2+1,($I$2-($I$2-1)*(LOG(H198)/LOG($H$2))),"")</f>
        <v/>
      </c>
      <c r="J198" s="233" t="e">
        <f t="shared" si="17"/>
        <v>#NUM!</v>
      </c>
      <c r="K198" s="233" t="e">
        <f t="shared" ref="K198:K261" si="19">J198*$J$2</f>
        <v>#NUM!</v>
      </c>
      <c r="L198" s="233"/>
      <c r="M198" s="235">
        <f t="shared" ref="M198:M261" si="20">IF(I198&lt;&gt;"",K198+I198+L198,0)</f>
        <v>0</v>
      </c>
    </row>
    <row r="199" spans="1:13" x14ac:dyDescent="0.25">
      <c r="A199" s="250"/>
      <c r="G199" s="219"/>
      <c r="H199" s="236">
        <v>194</v>
      </c>
      <c r="I199" s="234" t="str">
        <f t="shared" si="18"/>
        <v/>
      </c>
      <c r="J199" s="233" t="e">
        <f t="shared" ref="J199:J262" si="21">INT(LOG($H$2,2))-ROUNDUP(LOG(H199,2),0)+IF(OR($H$2=1,$H$2=2,$H$2=4,$H$2=8,$H$2=16,$H$2=32,$H$2=64,$H$2=128,$H$2=256),0,1)</f>
        <v>#NUM!</v>
      </c>
      <c r="K199" s="233" t="e">
        <f t="shared" si="19"/>
        <v>#NUM!</v>
      </c>
      <c r="L199" s="233"/>
      <c r="M199" s="235">
        <f t="shared" si="20"/>
        <v>0</v>
      </c>
    </row>
    <row r="200" spans="1:13" x14ac:dyDescent="0.25">
      <c r="A200" s="250"/>
      <c r="G200" s="219"/>
      <c r="H200" s="233">
        <v>195</v>
      </c>
      <c r="I200" s="234" t="str">
        <f t="shared" si="18"/>
        <v/>
      </c>
      <c r="J200" s="233" t="e">
        <f t="shared" si="21"/>
        <v>#NUM!</v>
      </c>
      <c r="K200" s="233" t="e">
        <f t="shared" si="19"/>
        <v>#NUM!</v>
      </c>
      <c r="L200" s="233"/>
      <c r="M200" s="235">
        <f t="shared" si="20"/>
        <v>0</v>
      </c>
    </row>
    <row r="201" spans="1:13" x14ac:dyDescent="0.25">
      <c r="A201" s="250"/>
      <c r="G201" s="219"/>
      <c r="H201" s="236">
        <v>196</v>
      </c>
      <c r="I201" s="234" t="str">
        <f t="shared" si="18"/>
        <v/>
      </c>
      <c r="J201" s="233" t="e">
        <f t="shared" si="21"/>
        <v>#NUM!</v>
      </c>
      <c r="K201" s="233" t="e">
        <f t="shared" si="19"/>
        <v>#NUM!</v>
      </c>
      <c r="L201" s="233"/>
      <c r="M201" s="235">
        <f t="shared" si="20"/>
        <v>0</v>
      </c>
    </row>
    <row r="202" spans="1:13" x14ac:dyDescent="0.25">
      <c r="A202" s="250"/>
      <c r="G202" s="219"/>
      <c r="H202" s="233">
        <v>197</v>
      </c>
      <c r="I202" s="234" t="str">
        <f t="shared" si="18"/>
        <v/>
      </c>
      <c r="J202" s="233" t="e">
        <f t="shared" si="21"/>
        <v>#NUM!</v>
      </c>
      <c r="K202" s="233" t="e">
        <f t="shared" si="19"/>
        <v>#NUM!</v>
      </c>
      <c r="L202" s="233"/>
      <c r="M202" s="235">
        <f t="shared" si="20"/>
        <v>0</v>
      </c>
    </row>
    <row r="203" spans="1:13" x14ac:dyDescent="0.25">
      <c r="A203" s="250"/>
      <c r="G203" s="219"/>
      <c r="H203" s="236">
        <v>198</v>
      </c>
      <c r="I203" s="234" t="str">
        <f t="shared" si="18"/>
        <v/>
      </c>
      <c r="J203" s="233" t="e">
        <f t="shared" si="21"/>
        <v>#NUM!</v>
      </c>
      <c r="K203" s="233" t="e">
        <f t="shared" si="19"/>
        <v>#NUM!</v>
      </c>
      <c r="L203" s="233"/>
      <c r="M203" s="235">
        <f t="shared" si="20"/>
        <v>0</v>
      </c>
    </row>
    <row r="204" spans="1:13" x14ac:dyDescent="0.25">
      <c r="A204" s="250"/>
      <c r="G204" s="219"/>
      <c r="H204" s="233">
        <v>199</v>
      </c>
      <c r="I204" s="234" t="str">
        <f t="shared" si="18"/>
        <v/>
      </c>
      <c r="J204" s="233" t="e">
        <f t="shared" si="21"/>
        <v>#NUM!</v>
      </c>
      <c r="K204" s="233" t="e">
        <f t="shared" si="19"/>
        <v>#NUM!</v>
      </c>
      <c r="L204" s="233"/>
      <c r="M204" s="235">
        <f t="shared" si="20"/>
        <v>0</v>
      </c>
    </row>
    <row r="205" spans="1:13" x14ac:dyDescent="0.25">
      <c r="A205" s="250"/>
      <c r="G205" s="219"/>
      <c r="H205" s="236">
        <v>200</v>
      </c>
      <c r="I205" s="234" t="str">
        <f t="shared" si="18"/>
        <v/>
      </c>
      <c r="J205" s="233" t="e">
        <f t="shared" si="21"/>
        <v>#NUM!</v>
      </c>
      <c r="K205" s="233" t="e">
        <f t="shared" si="19"/>
        <v>#NUM!</v>
      </c>
      <c r="L205" s="233"/>
      <c r="M205" s="235">
        <f t="shared" si="20"/>
        <v>0</v>
      </c>
    </row>
    <row r="206" spans="1:13" x14ac:dyDescent="0.25">
      <c r="A206" s="250"/>
      <c r="G206" s="219"/>
      <c r="H206" s="233">
        <v>201</v>
      </c>
      <c r="I206" s="234" t="str">
        <f t="shared" si="18"/>
        <v/>
      </c>
      <c r="J206" s="233" t="e">
        <f t="shared" si="21"/>
        <v>#NUM!</v>
      </c>
      <c r="K206" s="233" t="e">
        <f t="shared" si="19"/>
        <v>#NUM!</v>
      </c>
      <c r="L206" s="233"/>
      <c r="M206" s="235">
        <f t="shared" si="20"/>
        <v>0</v>
      </c>
    </row>
    <row r="207" spans="1:13" x14ac:dyDescent="0.25">
      <c r="A207" s="250"/>
      <c r="G207" s="219"/>
      <c r="H207" s="236">
        <v>202</v>
      </c>
      <c r="I207" s="234" t="str">
        <f t="shared" si="18"/>
        <v/>
      </c>
      <c r="J207" s="233" t="e">
        <f t="shared" si="21"/>
        <v>#NUM!</v>
      </c>
      <c r="K207" s="233" t="e">
        <f t="shared" si="19"/>
        <v>#NUM!</v>
      </c>
      <c r="L207" s="233"/>
      <c r="M207" s="235">
        <f t="shared" si="20"/>
        <v>0</v>
      </c>
    </row>
    <row r="208" spans="1:13" x14ac:dyDescent="0.25">
      <c r="A208" s="250"/>
      <c r="G208" s="219"/>
      <c r="H208" s="233">
        <v>203</v>
      </c>
      <c r="I208" s="234" t="str">
        <f t="shared" si="18"/>
        <v/>
      </c>
      <c r="J208" s="233" t="e">
        <f t="shared" si="21"/>
        <v>#NUM!</v>
      </c>
      <c r="K208" s="233" t="e">
        <f t="shared" si="19"/>
        <v>#NUM!</v>
      </c>
      <c r="L208" s="233"/>
      <c r="M208" s="235">
        <f t="shared" si="20"/>
        <v>0</v>
      </c>
    </row>
    <row r="209" spans="1:13" x14ac:dyDescent="0.25">
      <c r="A209" s="250"/>
      <c r="G209" s="219"/>
      <c r="H209" s="236">
        <v>204</v>
      </c>
      <c r="I209" s="234" t="str">
        <f t="shared" si="18"/>
        <v/>
      </c>
      <c r="J209" s="233" t="e">
        <f t="shared" si="21"/>
        <v>#NUM!</v>
      </c>
      <c r="K209" s="233" t="e">
        <f t="shared" si="19"/>
        <v>#NUM!</v>
      </c>
      <c r="L209" s="233"/>
      <c r="M209" s="235">
        <f t="shared" si="20"/>
        <v>0</v>
      </c>
    </row>
    <row r="210" spans="1:13" x14ac:dyDescent="0.25">
      <c r="A210" s="250"/>
      <c r="G210" s="219"/>
      <c r="H210" s="233">
        <v>205</v>
      </c>
      <c r="I210" s="234" t="str">
        <f t="shared" si="18"/>
        <v/>
      </c>
      <c r="J210" s="233" t="e">
        <f t="shared" si="21"/>
        <v>#NUM!</v>
      </c>
      <c r="K210" s="233" t="e">
        <f t="shared" si="19"/>
        <v>#NUM!</v>
      </c>
      <c r="L210" s="233"/>
      <c r="M210" s="235">
        <f t="shared" si="20"/>
        <v>0</v>
      </c>
    </row>
    <row r="211" spans="1:13" x14ac:dyDescent="0.25">
      <c r="A211" s="250"/>
      <c r="G211" s="219"/>
      <c r="H211" s="236">
        <v>206</v>
      </c>
      <c r="I211" s="234" t="str">
        <f t="shared" si="18"/>
        <v/>
      </c>
      <c r="J211" s="233" t="e">
        <f t="shared" si="21"/>
        <v>#NUM!</v>
      </c>
      <c r="K211" s="233" t="e">
        <f t="shared" si="19"/>
        <v>#NUM!</v>
      </c>
      <c r="L211" s="233"/>
      <c r="M211" s="235">
        <f t="shared" si="20"/>
        <v>0</v>
      </c>
    </row>
    <row r="212" spans="1:13" x14ac:dyDescent="0.25">
      <c r="A212" s="250"/>
      <c r="G212" s="219"/>
      <c r="H212" s="233">
        <v>207</v>
      </c>
      <c r="I212" s="234" t="str">
        <f t="shared" si="18"/>
        <v/>
      </c>
      <c r="J212" s="233" t="e">
        <f t="shared" si="21"/>
        <v>#NUM!</v>
      </c>
      <c r="K212" s="233" t="e">
        <f t="shared" si="19"/>
        <v>#NUM!</v>
      </c>
      <c r="L212" s="233"/>
      <c r="M212" s="235">
        <f t="shared" si="20"/>
        <v>0</v>
      </c>
    </row>
    <row r="213" spans="1:13" x14ac:dyDescent="0.25">
      <c r="A213" s="250"/>
      <c r="G213" s="219"/>
      <c r="H213" s="236">
        <v>208</v>
      </c>
      <c r="I213" s="234" t="str">
        <f t="shared" si="18"/>
        <v/>
      </c>
      <c r="J213" s="233" t="e">
        <f t="shared" si="21"/>
        <v>#NUM!</v>
      </c>
      <c r="K213" s="233" t="e">
        <f t="shared" si="19"/>
        <v>#NUM!</v>
      </c>
      <c r="L213" s="233"/>
      <c r="M213" s="235">
        <f t="shared" si="20"/>
        <v>0</v>
      </c>
    </row>
    <row r="214" spans="1:13" x14ac:dyDescent="0.25">
      <c r="A214" s="250"/>
      <c r="G214" s="219"/>
      <c r="H214" s="233">
        <v>209</v>
      </c>
      <c r="I214" s="234" t="str">
        <f t="shared" si="18"/>
        <v/>
      </c>
      <c r="J214" s="233" t="e">
        <f t="shared" si="21"/>
        <v>#NUM!</v>
      </c>
      <c r="K214" s="233" t="e">
        <f t="shared" si="19"/>
        <v>#NUM!</v>
      </c>
      <c r="L214" s="233"/>
      <c r="M214" s="235">
        <f t="shared" si="20"/>
        <v>0</v>
      </c>
    </row>
    <row r="215" spans="1:13" x14ac:dyDescent="0.25">
      <c r="A215" s="250"/>
      <c r="G215" s="219"/>
      <c r="H215" s="236">
        <v>210</v>
      </c>
      <c r="I215" s="234" t="str">
        <f t="shared" si="18"/>
        <v/>
      </c>
      <c r="J215" s="233" t="e">
        <f t="shared" si="21"/>
        <v>#NUM!</v>
      </c>
      <c r="K215" s="233" t="e">
        <f t="shared" si="19"/>
        <v>#NUM!</v>
      </c>
      <c r="L215" s="233"/>
      <c r="M215" s="235">
        <f t="shared" si="20"/>
        <v>0</v>
      </c>
    </row>
    <row r="216" spans="1:13" x14ac:dyDescent="0.25">
      <c r="A216" s="250"/>
      <c r="G216" s="219"/>
      <c r="H216" s="233">
        <v>211</v>
      </c>
      <c r="I216" s="234" t="str">
        <f t="shared" si="18"/>
        <v/>
      </c>
      <c r="J216" s="233" t="e">
        <f t="shared" si="21"/>
        <v>#NUM!</v>
      </c>
      <c r="K216" s="233" t="e">
        <f t="shared" si="19"/>
        <v>#NUM!</v>
      </c>
      <c r="L216" s="233"/>
      <c r="M216" s="235">
        <f t="shared" si="20"/>
        <v>0</v>
      </c>
    </row>
    <row r="217" spans="1:13" x14ac:dyDescent="0.25">
      <c r="A217" s="250"/>
      <c r="G217" s="219"/>
      <c r="H217" s="236">
        <v>212</v>
      </c>
      <c r="I217" s="234" t="str">
        <f t="shared" si="18"/>
        <v/>
      </c>
      <c r="J217" s="233" t="e">
        <f t="shared" si="21"/>
        <v>#NUM!</v>
      </c>
      <c r="K217" s="233" t="e">
        <f t="shared" si="19"/>
        <v>#NUM!</v>
      </c>
      <c r="L217" s="233"/>
      <c r="M217" s="235">
        <f t="shared" si="20"/>
        <v>0</v>
      </c>
    </row>
    <row r="218" spans="1:13" x14ac:dyDescent="0.25">
      <c r="A218" s="250"/>
      <c r="G218" s="219"/>
      <c r="H218" s="233">
        <v>213</v>
      </c>
      <c r="I218" s="234" t="str">
        <f t="shared" si="18"/>
        <v/>
      </c>
      <c r="J218" s="233" t="e">
        <f t="shared" si="21"/>
        <v>#NUM!</v>
      </c>
      <c r="K218" s="233" t="e">
        <f t="shared" si="19"/>
        <v>#NUM!</v>
      </c>
      <c r="L218" s="233"/>
      <c r="M218" s="235">
        <f t="shared" si="20"/>
        <v>0</v>
      </c>
    </row>
    <row r="219" spans="1:13" x14ac:dyDescent="0.25">
      <c r="A219" s="250"/>
      <c r="G219" s="219"/>
      <c r="H219" s="236">
        <v>214</v>
      </c>
      <c r="I219" s="234" t="str">
        <f t="shared" si="18"/>
        <v/>
      </c>
      <c r="J219" s="233" t="e">
        <f t="shared" si="21"/>
        <v>#NUM!</v>
      </c>
      <c r="K219" s="233" t="e">
        <f t="shared" si="19"/>
        <v>#NUM!</v>
      </c>
      <c r="L219" s="233"/>
      <c r="M219" s="235">
        <f t="shared" si="20"/>
        <v>0</v>
      </c>
    </row>
    <row r="220" spans="1:13" x14ac:dyDescent="0.25">
      <c r="A220" s="250"/>
      <c r="G220" s="219"/>
      <c r="H220" s="233">
        <v>215</v>
      </c>
      <c r="I220" s="234" t="str">
        <f t="shared" si="18"/>
        <v/>
      </c>
      <c r="J220" s="233" t="e">
        <f t="shared" si="21"/>
        <v>#NUM!</v>
      </c>
      <c r="K220" s="233" t="e">
        <f t="shared" si="19"/>
        <v>#NUM!</v>
      </c>
      <c r="L220" s="233"/>
      <c r="M220" s="235">
        <f t="shared" si="20"/>
        <v>0</v>
      </c>
    </row>
    <row r="221" spans="1:13" x14ac:dyDescent="0.25">
      <c r="A221" s="250"/>
      <c r="G221" s="219"/>
      <c r="H221" s="236">
        <v>216</v>
      </c>
      <c r="I221" s="234" t="str">
        <f t="shared" si="18"/>
        <v/>
      </c>
      <c r="J221" s="233" t="e">
        <f t="shared" si="21"/>
        <v>#NUM!</v>
      </c>
      <c r="K221" s="233" t="e">
        <f t="shared" si="19"/>
        <v>#NUM!</v>
      </c>
      <c r="L221" s="233"/>
      <c r="M221" s="235">
        <f t="shared" si="20"/>
        <v>0</v>
      </c>
    </row>
    <row r="222" spans="1:13" x14ac:dyDescent="0.25">
      <c r="A222" s="250"/>
      <c r="G222" s="219"/>
      <c r="H222" s="233">
        <v>217</v>
      </c>
      <c r="I222" s="234" t="str">
        <f t="shared" si="18"/>
        <v/>
      </c>
      <c r="J222" s="233" t="e">
        <f t="shared" si="21"/>
        <v>#NUM!</v>
      </c>
      <c r="K222" s="233" t="e">
        <f t="shared" si="19"/>
        <v>#NUM!</v>
      </c>
      <c r="L222" s="233"/>
      <c r="M222" s="235">
        <f t="shared" si="20"/>
        <v>0</v>
      </c>
    </row>
    <row r="223" spans="1:13" x14ac:dyDescent="0.25">
      <c r="A223" s="250"/>
      <c r="G223" s="219"/>
      <c r="H223" s="236">
        <v>218</v>
      </c>
      <c r="I223" s="234" t="str">
        <f t="shared" si="18"/>
        <v/>
      </c>
      <c r="J223" s="233" t="e">
        <f t="shared" si="21"/>
        <v>#NUM!</v>
      </c>
      <c r="K223" s="233" t="e">
        <f t="shared" si="19"/>
        <v>#NUM!</v>
      </c>
      <c r="L223" s="233"/>
      <c r="M223" s="235">
        <f t="shared" si="20"/>
        <v>0</v>
      </c>
    </row>
    <row r="224" spans="1:13" x14ac:dyDescent="0.25">
      <c r="A224" s="250"/>
      <c r="G224" s="219"/>
      <c r="H224" s="233">
        <v>219</v>
      </c>
      <c r="I224" s="234" t="str">
        <f t="shared" si="18"/>
        <v/>
      </c>
      <c r="J224" s="233" t="e">
        <f t="shared" si="21"/>
        <v>#NUM!</v>
      </c>
      <c r="K224" s="233" t="e">
        <f t="shared" si="19"/>
        <v>#NUM!</v>
      </c>
      <c r="L224" s="233"/>
      <c r="M224" s="235">
        <f t="shared" si="20"/>
        <v>0</v>
      </c>
    </row>
    <row r="225" spans="1:13" x14ac:dyDescent="0.25">
      <c r="A225" s="250"/>
      <c r="G225" s="219"/>
      <c r="H225" s="236">
        <v>220</v>
      </c>
      <c r="I225" s="234" t="str">
        <f t="shared" si="18"/>
        <v/>
      </c>
      <c r="J225" s="233" t="e">
        <f t="shared" si="21"/>
        <v>#NUM!</v>
      </c>
      <c r="K225" s="233" t="e">
        <f t="shared" si="19"/>
        <v>#NUM!</v>
      </c>
      <c r="L225" s="233"/>
      <c r="M225" s="235">
        <f t="shared" si="20"/>
        <v>0</v>
      </c>
    </row>
    <row r="226" spans="1:13" x14ac:dyDescent="0.25">
      <c r="A226" s="250"/>
      <c r="G226" s="219"/>
      <c r="H226" s="233">
        <v>221</v>
      </c>
      <c r="I226" s="234" t="str">
        <f t="shared" si="18"/>
        <v/>
      </c>
      <c r="J226" s="233" t="e">
        <f t="shared" si="21"/>
        <v>#NUM!</v>
      </c>
      <c r="K226" s="233" t="e">
        <f t="shared" si="19"/>
        <v>#NUM!</v>
      </c>
      <c r="L226" s="233"/>
      <c r="M226" s="235">
        <f t="shared" si="20"/>
        <v>0</v>
      </c>
    </row>
    <row r="227" spans="1:13" x14ac:dyDescent="0.25">
      <c r="A227" s="250"/>
      <c r="G227" s="219"/>
      <c r="H227" s="236">
        <v>222</v>
      </c>
      <c r="I227" s="234" t="str">
        <f t="shared" si="18"/>
        <v/>
      </c>
      <c r="J227" s="233" t="e">
        <f t="shared" si="21"/>
        <v>#NUM!</v>
      </c>
      <c r="K227" s="233" t="e">
        <f t="shared" si="19"/>
        <v>#NUM!</v>
      </c>
      <c r="L227" s="233"/>
      <c r="M227" s="235">
        <f t="shared" si="20"/>
        <v>0</v>
      </c>
    </row>
    <row r="228" spans="1:13" x14ac:dyDescent="0.25">
      <c r="A228" s="250"/>
      <c r="G228" s="219"/>
      <c r="H228" s="233">
        <v>223</v>
      </c>
      <c r="I228" s="234" t="str">
        <f t="shared" si="18"/>
        <v/>
      </c>
      <c r="J228" s="233" t="e">
        <f t="shared" si="21"/>
        <v>#NUM!</v>
      </c>
      <c r="K228" s="233" t="e">
        <f t="shared" si="19"/>
        <v>#NUM!</v>
      </c>
      <c r="L228" s="233"/>
      <c r="M228" s="235">
        <f t="shared" si="20"/>
        <v>0</v>
      </c>
    </row>
    <row r="229" spans="1:13" x14ac:dyDescent="0.25">
      <c r="A229" s="250"/>
      <c r="G229" s="219"/>
      <c r="H229" s="236">
        <v>224</v>
      </c>
      <c r="I229" s="234" t="str">
        <f t="shared" si="18"/>
        <v/>
      </c>
      <c r="J229" s="233" t="e">
        <f t="shared" si="21"/>
        <v>#NUM!</v>
      </c>
      <c r="K229" s="233" t="e">
        <f t="shared" si="19"/>
        <v>#NUM!</v>
      </c>
      <c r="L229" s="233"/>
      <c r="M229" s="235">
        <f t="shared" si="20"/>
        <v>0</v>
      </c>
    </row>
    <row r="230" spans="1:13" x14ac:dyDescent="0.25">
      <c r="A230" s="250"/>
      <c r="G230" s="219"/>
      <c r="H230" s="233">
        <v>225</v>
      </c>
      <c r="I230" s="234" t="str">
        <f t="shared" si="18"/>
        <v/>
      </c>
      <c r="J230" s="233" t="e">
        <f t="shared" si="21"/>
        <v>#NUM!</v>
      </c>
      <c r="K230" s="233" t="e">
        <f t="shared" si="19"/>
        <v>#NUM!</v>
      </c>
      <c r="L230" s="233"/>
      <c r="M230" s="235">
        <f t="shared" si="20"/>
        <v>0</v>
      </c>
    </row>
    <row r="231" spans="1:13" x14ac:dyDescent="0.25">
      <c r="A231" s="250"/>
      <c r="G231" s="219"/>
      <c r="H231" s="236">
        <v>226</v>
      </c>
      <c r="I231" s="234" t="str">
        <f t="shared" si="18"/>
        <v/>
      </c>
      <c r="J231" s="233" t="e">
        <f t="shared" si="21"/>
        <v>#NUM!</v>
      </c>
      <c r="K231" s="233" t="e">
        <f t="shared" si="19"/>
        <v>#NUM!</v>
      </c>
      <c r="L231" s="233"/>
      <c r="M231" s="235">
        <f t="shared" si="20"/>
        <v>0</v>
      </c>
    </row>
    <row r="232" spans="1:13" x14ac:dyDescent="0.25">
      <c r="A232" s="250"/>
      <c r="G232" s="219"/>
      <c r="H232" s="233">
        <v>227</v>
      </c>
      <c r="I232" s="234" t="str">
        <f t="shared" si="18"/>
        <v/>
      </c>
      <c r="J232" s="233" t="e">
        <f t="shared" si="21"/>
        <v>#NUM!</v>
      </c>
      <c r="K232" s="233" t="e">
        <f t="shared" si="19"/>
        <v>#NUM!</v>
      </c>
      <c r="L232" s="233"/>
      <c r="M232" s="235">
        <f t="shared" si="20"/>
        <v>0</v>
      </c>
    </row>
    <row r="233" spans="1:13" x14ac:dyDescent="0.25">
      <c r="A233" s="250"/>
      <c r="G233" s="219"/>
      <c r="H233" s="236">
        <v>228</v>
      </c>
      <c r="I233" s="234" t="str">
        <f t="shared" si="18"/>
        <v/>
      </c>
      <c r="J233" s="233" t="e">
        <f t="shared" si="21"/>
        <v>#NUM!</v>
      </c>
      <c r="K233" s="233" t="e">
        <f t="shared" si="19"/>
        <v>#NUM!</v>
      </c>
      <c r="L233" s="233"/>
      <c r="M233" s="235">
        <f t="shared" si="20"/>
        <v>0</v>
      </c>
    </row>
    <row r="234" spans="1:13" x14ac:dyDescent="0.25">
      <c r="A234" s="250"/>
      <c r="G234" s="219"/>
      <c r="H234" s="233">
        <v>229</v>
      </c>
      <c r="I234" s="234" t="str">
        <f t="shared" si="18"/>
        <v/>
      </c>
      <c r="J234" s="233" t="e">
        <f t="shared" si="21"/>
        <v>#NUM!</v>
      </c>
      <c r="K234" s="233" t="e">
        <f t="shared" si="19"/>
        <v>#NUM!</v>
      </c>
      <c r="L234" s="233"/>
      <c r="M234" s="235">
        <f t="shared" si="20"/>
        <v>0</v>
      </c>
    </row>
    <row r="235" spans="1:13" x14ac:dyDescent="0.25">
      <c r="A235" s="250"/>
      <c r="G235" s="219"/>
      <c r="H235" s="236">
        <v>230</v>
      </c>
      <c r="I235" s="234" t="str">
        <f t="shared" si="18"/>
        <v/>
      </c>
      <c r="J235" s="233" t="e">
        <f t="shared" si="21"/>
        <v>#NUM!</v>
      </c>
      <c r="K235" s="233" t="e">
        <f t="shared" si="19"/>
        <v>#NUM!</v>
      </c>
      <c r="L235" s="233"/>
      <c r="M235" s="235">
        <f t="shared" si="20"/>
        <v>0</v>
      </c>
    </row>
    <row r="236" spans="1:13" x14ac:dyDescent="0.25">
      <c r="A236" s="250"/>
      <c r="G236" s="219"/>
      <c r="H236" s="233">
        <v>231</v>
      </c>
      <c r="I236" s="234" t="str">
        <f t="shared" si="18"/>
        <v/>
      </c>
      <c r="J236" s="233" t="e">
        <f t="shared" si="21"/>
        <v>#NUM!</v>
      </c>
      <c r="K236" s="233" t="e">
        <f t="shared" si="19"/>
        <v>#NUM!</v>
      </c>
      <c r="L236" s="233"/>
      <c r="M236" s="235">
        <f t="shared" si="20"/>
        <v>0</v>
      </c>
    </row>
    <row r="237" spans="1:13" x14ac:dyDescent="0.25">
      <c r="A237" s="250"/>
      <c r="G237" s="219"/>
      <c r="H237" s="236">
        <v>232</v>
      </c>
      <c r="I237" s="234" t="str">
        <f t="shared" si="18"/>
        <v/>
      </c>
      <c r="J237" s="233" t="e">
        <f t="shared" si="21"/>
        <v>#NUM!</v>
      </c>
      <c r="K237" s="233" t="e">
        <f t="shared" si="19"/>
        <v>#NUM!</v>
      </c>
      <c r="L237" s="233"/>
      <c r="M237" s="235">
        <f t="shared" si="20"/>
        <v>0</v>
      </c>
    </row>
    <row r="238" spans="1:13" x14ac:dyDescent="0.25">
      <c r="A238" s="250"/>
      <c r="G238" s="219"/>
      <c r="H238" s="233">
        <v>233</v>
      </c>
      <c r="I238" s="234" t="str">
        <f t="shared" si="18"/>
        <v/>
      </c>
      <c r="J238" s="233" t="e">
        <f t="shared" si="21"/>
        <v>#NUM!</v>
      </c>
      <c r="K238" s="233" t="e">
        <f t="shared" si="19"/>
        <v>#NUM!</v>
      </c>
      <c r="L238" s="233"/>
      <c r="M238" s="235">
        <f t="shared" si="20"/>
        <v>0</v>
      </c>
    </row>
    <row r="239" spans="1:13" x14ac:dyDescent="0.25">
      <c r="A239" s="250"/>
      <c r="G239" s="219"/>
      <c r="H239" s="236">
        <v>234</v>
      </c>
      <c r="I239" s="234" t="str">
        <f t="shared" si="18"/>
        <v/>
      </c>
      <c r="J239" s="233" t="e">
        <f t="shared" si="21"/>
        <v>#NUM!</v>
      </c>
      <c r="K239" s="233" t="e">
        <f t="shared" si="19"/>
        <v>#NUM!</v>
      </c>
      <c r="L239" s="233"/>
      <c r="M239" s="235">
        <f t="shared" si="20"/>
        <v>0</v>
      </c>
    </row>
    <row r="240" spans="1:13" x14ac:dyDescent="0.25">
      <c r="A240" s="250"/>
      <c r="G240" s="219"/>
      <c r="H240" s="233">
        <v>235</v>
      </c>
      <c r="I240" s="234" t="str">
        <f t="shared" si="18"/>
        <v/>
      </c>
      <c r="J240" s="233" t="e">
        <f t="shared" si="21"/>
        <v>#NUM!</v>
      </c>
      <c r="K240" s="233" t="e">
        <f t="shared" si="19"/>
        <v>#NUM!</v>
      </c>
      <c r="L240" s="233"/>
      <c r="M240" s="235">
        <f t="shared" si="20"/>
        <v>0</v>
      </c>
    </row>
    <row r="241" spans="1:13" x14ac:dyDescent="0.25">
      <c r="A241" s="250"/>
      <c r="G241" s="219"/>
      <c r="H241" s="236">
        <v>236</v>
      </c>
      <c r="I241" s="234" t="str">
        <f t="shared" si="18"/>
        <v/>
      </c>
      <c r="J241" s="233" t="e">
        <f t="shared" si="21"/>
        <v>#NUM!</v>
      </c>
      <c r="K241" s="233" t="e">
        <f t="shared" si="19"/>
        <v>#NUM!</v>
      </c>
      <c r="L241" s="233"/>
      <c r="M241" s="235">
        <f t="shared" si="20"/>
        <v>0</v>
      </c>
    </row>
    <row r="242" spans="1:13" x14ac:dyDescent="0.25">
      <c r="A242" s="250"/>
      <c r="G242" s="219"/>
      <c r="H242" s="233">
        <v>237</v>
      </c>
      <c r="I242" s="234" t="str">
        <f t="shared" si="18"/>
        <v/>
      </c>
      <c r="J242" s="233" t="e">
        <f t="shared" si="21"/>
        <v>#NUM!</v>
      </c>
      <c r="K242" s="233" t="e">
        <f t="shared" si="19"/>
        <v>#NUM!</v>
      </c>
      <c r="L242" s="233"/>
      <c r="M242" s="235">
        <f t="shared" si="20"/>
        <v>0</v>
      </c>
    </row>
    <row r="243" spans="1:13" x14ac:dyDescent="0.25">
      <c r="A243" s="250"/>
      <c r="G243" s="219"/>
      <c r="H243" s="236">
        <v>238</v>
      </c>
      <c r="I243" s="234" t="str">
        <f t="shared" si="18"/>
        <v/>
      </c>
      <c r="J243" s="233" t="e">
        <f t="shared" si="21"/>
        <v>#NUM!</v>
      </c>
      <c r="K243" s="233" t="e">
        <f t="shared" si="19"/>
        <v>#NUM!</v>
      </c>
      <c r="L243" s="233"/>
      <c r="M243" s="235">
        <f t="shared" si="20"/>
        <v>0</v>
      </c>
    </row>
    <row r="244" spans="1:13" x14ac:dyDescent="0.25">
      <c r="A244" s="250"/>
      <c r="G244" s="219"/>
      <c r="H244" s="233">
        <v>239</v>
      </c>
      <c r="I244" s="234" t="str">
        <f t="shared" si="18"/>
        <v/>
      </c>
      <c r="J244" s="233" t="e">
        <f t="shared" si="21"/>
        <v>#NUM!</v>
      </c>
      <c r="K244" s="233" t="e">
        <f t="shared" si="19"/>
        <v>#NUM!</v>
      </c>
      <c r="L244" s="233"/>
      <c r="M244" s="235">
        <f t="shared" si="20"/>
        <v>0</v>
      </c>
    </row>
    <row r="245" spans="1:13" x14ac:dyDescent="0.25">
      <c r="A245" s="250"/>
      <c r="G245" s="219"/>
      <c r="H245" s="236">
        <v>240</v>
      </c>
      <c r="I245" s="234" t="str">
        <f t="shared" si="18"/>
        <v/>
      </c>
      <c r="J245" s="233" t="e">
        <f t="shared" si="21"/>
        <v>#NUM!</v>
      </c>
      <c r="K245" s="233" t="e">
        <f t="shared" si="19"/>
        <v>#NUM!</v>
      </c>
      <c r="L245" s="233"/>
      <c r="M245" s="235">
        <f t="shared" si="20"/>
        <v>0</v>
      </c>
    </row>
    <row r="246" spans="1:13" x14ac:dyDescent="0.25">
      <c r="A246" s="250"/>
      <c r="G246" s="219"/>
      <c r="H246" s="233">
        <v>241</v>
      </c>
      <c r="I246" s="234" t="str">
        <f t="shared" si="18"/>
        <v/>
      </c>
      <c r="J246" s="233" t="e">
        <f t="shared" si="21"/>
        <v>#NUM!</v>
      </c>
      <c r="K246" s="233" t="e">
        <f t="shared" si="19"/>
        <v>#NUM!</v>
      </c>
      <c r="L246" s="233"/>
      <c r="M246" s="235">
        <f t="shared" si="20"/>
        <v>0</v>
      </c>
    </row>
    <row r="247" spans="1:13" x14ac:dyDescent="0.25">
      <c r="A247" s="250"/>
      <c r="G247" s="219"/>
      <c r="H247" s="236">
        <v>242</v>
      </c>
      <c r="I247" s="234" t="str">
        <f t="shared" si="18"/>
        <v/>
      </c>
      <c r="J247" s="233" t="e">
        <f t="shared" si="21"/>
        <v>#NUM!</v>
      </c>
      <c r="K247" s="233" t="e">
        <f t="shared" si="19"/>
        <v>#NUM!</v>
      </c>
      <c r="L247" s="233"/>
      <c r="M247" s="235">
        <f t="shared" si="20"/>
        <v>0</v>
      </c>
    </row>
    <row r="248" spans="1:13" x14ac:dyDescent="0.25">
      <c r="A248" s="250"/>
      <c r="G248" s="219"/>
      <c r="H248" s="233">
        <v>243</v>
      </c>
      <c r="I248" s="234" t="str">
        <f t="shared" si="18"/>
        <v/>
      </c>
      <c r="J248" s="233" t="e">
        <f t="shared" si="21"/>
        <v>#NUM!</v>
      </c>
      <c r="K248" s="233" t="e">
        <f t="shared" si="19"/>
        <v>#NUM!</v>
      </c>
      <c r="L248" s="233"/>
      <c r="M248" s="235">
        <f t="shared" si="20"/>
        <v>0</v>
      </c>
    </row>
    <row r="249" spans="1:13" x14ac:dyDescent="0.25">
      <c r="A249" s="250"/>
      <c r="G249" s="219"/>
      <c r="H249" s="236">
        <v>244</v>
      </c>
      <c r="I249" s="234" t="str">
        <f t="shared" si="18"/>
        <v/>
      </c>
      <c r="J249" s="233" t="e">
        <f t="shared" si="21"/>
        <v>#NUM!</v>
      </c>
      <c r="K249" s="233" t="e">
        <f t="shared" si="19"/>
        <v>#NUM!</v>
      </c>
      <c r="L249" s="233"/>
      <c r="M249" s="235">
        <f t="shared" si="20"/>
        <v>0</v>
      </c>
    </row>
    <row r="250" spans="1:13" x14ac:dyDescent="0.25">
      <c r="A250" s="250"/>
      <c r="G250" s="219"/>
      <c r="H250" s="233">
        <v>245</v>
      </c>
      <c r="I250" s="234" t="str">
        <f t="shared" si="18"/>
        <v/>
      </c>
      <c r="J250" s="233" t="e">
        <f t="shared" si="21"/>
        <v>#NUM!</v>
      </c>
      <c r="K250" s="233" t="e">
        <f t="shared" si="19"/>
        <v>#NUM!</v>
      </c>
      <c r="L250" s="233"/>
      <c r="M250" s="235">
        <f t="shared" si="20"/>
        <v>0</v>
      </c>
    </row>
    <row r="251" spans="1:13" x14ac:dyDescent="0.25">
      <c r="A251" s="250"/>
      <c r="G251" s="219"/>
      <c r="H251" s="236">
        <v>246</v>
      </c>
      <c r="I251" s="234" t="str">
        <f t="shared" si="18"/>
        <v/>
      </c>
      <c r="J251" s="233" t="e">
        <f t="shared" si="21"/>
        <v>#NUM!</v>
      </c>
      <c r="K251" s="233" t="e">
        <f t="shared" si="19"/>
        <v>#NUM!</v>
      </c>
      <c r="L251" s="233"/>
      <c r="M251" s="235">
        <f t="shared" si="20"/>
        <v>0</v>
      </c>
    </row>
    <row r="252" spans="1:13" x14ac:dyDescent="0.25">
      <c r="A252" s="250"/>
      <c r="G252" s="219"/>
      <c r="H252" s="233">
        <v>247</v>
      </c>
      <c r="I252" s="234" t="str">
        <f t="shared" si="18"/>
        <v/>
      </c>
      <c r="J252" s="233" t="e">
        <f t="shared" si="21"/>
        <v>#NUM!</v>
      </c>
      <c r="K252" s="233" t="e">
        <f t="shared" si="19"/>
        <v>#NUM!</v>
      </c>
      <c r="L252" s="233"/>
      <c r="M252" s="235">
        <f t="shared" si="20"/>
        <v>0</v>
      </c>
    </row>
    <row r="253" spans="1:13" x14ac:dyDescent="0.25">
      <c r="A253" s="250"/>
      <c r="G253" s="219"/>
      <c r="H253" s="236">
        <v>248</v>
      </c>
      <c r="I253" s="234" t="str">
        <f t="shared" si="18"/>
        <v/>
      </c>
      <c r="J253" s="233" t="e">
        <f t="shared" si="21"/>
        <v>#NUM!</v>
      </c>
      <c r="K253" s="233" t="e">
        <f t="shared" si="19"/>
        <v>#NUM!</v>
      </c>
      <c r="L253" s="233"/>
      <c r="M253" s="235">
        <f t="shared" si="20"/>
        <v>0</v>
      </c>
    </row>
    <row r="254" spans="1:13" x14ac:dyDescent="0.25">
      <c r="A254" s="250"/>
      <c r="G254" s="219"/>
      <c r="H254" s="233">
        <v>249</v>
      </c>
      <c r="I254" s="234" t="str">
        <f t="shared" si="18"/>
        <v/>
      </c>
      <c r="J254" s="233" t="e">
        <f t="shared" si="21"/>
        <v>#NUM!</v>
      </c>
      <c r="K254" s="233" t="e">
        <f t="shared" si="19"/>
        <v>#NUM!</v>
      </c>
      <c r="L254" s="233"/>
      <c r="M254" s="235">
        <f t="shared" si="20"/>
        <v>0</v>
      </c>
    </row>
    <row r="255" spans="1:13" x14ac:dyDescent="0.25">
      <c r="A255" s="250"/>
      <c r="G255" s="219"/>
      <c r="H255" s="236">
        <v>250</v>
      </c>
      <c r="I255" s="234" t="str">
        <f t="shared" si="18"/>
        <v/>
      </c>
      <c r="J255" s="233" t="e">
        <f t="shared" si="21"/>
        <v>#NUM!</v>
      </c>
      <c r="K255" s="233" t="e">
        <f t="shared" si="19"/>
        <v>#NUM!</v>
      </c>
      <c r="L255" s="233"/>
      <c r="M255" s="235">
        <f t="shared" si="20"/>
        <v>0</v>
      </c>
    </row>
    <row r="256" spans="1:13" x14ac:dyDescent="0.25">
      <c r="A256" s="250"/>
      <c r="G256" s="219"/>
      <c r="H256" s="233">
        <v>251</v>
      </c>
      <c r="I256" s="234" t="str">
        <f t="shared" si="18"/>
        <v/>
      </c>
      <c r="J256" s="233" t="e">
        <f t="shared" si="21"/>
        <v>#NUM!</v>
      </c>
      <c r="K256" s="233" t="e">
        <f t="shared" si="19"/>
        <v>#NUM!</v>
      </c>
      <c r="L256" s="233"/>
      <c r="M256" s="235">
        <f t="shared" si="20"/>
        <v>0</v>
      </c>
    </row>
    <row r="257" spans="1:13" x14ac:dyDescent="0.25">
      <c r="A257" s="250"/>
      <c r="G257" s="219"/>
      <c r="H257" s="236">
        <v>252</v>
      </c>
      <c r="I257" s="234" t="str">
        <f t="shared" si="18"/>
        <v/>
      </c>
      <c r="J257" s="233" t="e">
        <f t="shared" si="21"/>
        <v>#NUM!</v>
      </c>
      <c r="K257" s="233" t="e">
        <f t="shared" si="19"/>
        <v>#NUM!</v>
      </c>
      <c r="L257" s="233"/>
      <c r="M257" s="235">
        <f t="shared" si="20"/>
        <v>0</v>
      </c>
    </row>
    <row r="258" spans="1:13" x14ac:dyDescent="0.25">
      <c r="A258" s="250"/>
      <c r="G258" s="219"/>
      <c r="H258" s="233">
        <v>253</v>
      </c>
      <c r="I258" s="234" t="str">
        <f t="shared" si="18"/>
        <v/>
      </c>
      <c r="J258" s="233" t="e">
        <f t="shared" si="21"/>
        <v>#NUM!</v>
      </c>
      <c r="K258" s="233" t="e">
        <f t="shared" si="19"/>
        <v>#NUM!</v>
      </c>
      <c r="L258" s="233"/>
      <c r="M258" s="235">
        <f t="shared" si="20"/>
        <v>0</v>
      </c>
    </row>
    <row r="259" spans="1:13" x14ac:dyDescent="0.25">
      <c r="A259" s="250"/>
      <c r="G259" s="219"/>
      <c r="H259" s="236">
        <v>254</v>
      </c>
      <c r="I259" s="234" t="str">
        <f t="shared" si="18"/>
        <v/>
      </c>
      <c r="J259" s="233" t="e">
        <f t="shared" si="21"/>
        <v>#NUM!</v>
      </c>
      <c r="K259" s="233" t="e">
        <f t="shared" si="19"/>
        <v>#NUM!</v>
      </c>
      <c r="L259" s="233"/>
      <c r="M259" s="235">
        <f t="shared" si="20"/>
        <v>0</v>
      </c>
    </row>
    <row r="260" spans="1:13" x14ac:dyDescent="0.25">
      <c r="A260" s="250"/>
      <c r="G260" s="219"/>
      <c r="H260" s="233">
        <v>255</v>
      </c>
      <c r="I260" s="234" t="str">
        <f t="shared" si="18"/>
        <v/>
      </c>
      <c r="J260" s="233" t="e">
        <f t="shared" si="21"/>
        <v>#NUM!</v>
      </c>
      <c r="K260" s="233" t="e">
        <f t="shared" si="19"/>
        <v>#NUM!</v>
      </c>
      <c r="L260" s="233"/>
      <c r="M260" s="235">
        <f t="shared" si="20"/>
        <v>0</v>
      </c>
    </row>
    <row r="261" spans="1:13" x14ac:dyDescent="0.25">
      <c r="A261" s="250"/>
      <c r="G261" s="219"/>
      <c r="H261" s="236">
        <v>256</v>
      </c>
      <c r="I261" s="234" t="str">
        <f t="shared" si="18"/>
        <v/>
      </c>
      <c r="J261" s="233" t="e">
        <f t="shared" si="21"/>
        <v>#NUM!</v>
      </c>
      <c r="K261" s="233" t="e">
        <f t="shared" si="19"/>
        <v>#NUM!</v>
      </c>
      <c r="L261" s="233"/>
      <c r="M261" s="235">
        <f t="shared" si="20"/>
        <v>0</v>
      </c>
    </row>
    <row r="262" spans="1:13" x14ac:dyDescent="0.25">
      <c r="A262" s="250"/>
      <c r="G262" s="219"/>
      <c r="H262" s="233">
        <v>257</v>
      </c>
      <c r="I262" s="234" t="str">
        <f t="shared" ref="I262:I305" si="22">IF(H262&lt;$H$2+1,($I$2-($I$2-1)*(LOG(H262)/LOG($H$2))),"")</f>
        <v/>
      </c>
      <c r="J262" s="233" t="e">
        <f t="shared" si="21"/>
        <v>#NUM!</v>
      </c>
      <c r="K262" s="233" t="e">
        <f t="shared" ref="K262:K305" si="23">J262*$J$2</f>
        <v>#NUM!</v>
      </c>
      <c r="L262" s="233"/>
      <c r="M262" s="235">
        <f t="shared" ref="M262:M305" si="24">IF(I262&lt;&gt;"",K262+I262+L262,0)</f>
        <v>0</v>
      </c>
    </row>
    <row r="263" spans="1:13" x14ac:dyDescent="0.25">
      <c r="A263" s="250"/>
      <c r="G263" s="219"/>
      <c r="H263" s="236">
        <v>258</v>
      </c>
      <c r="I263" s="234" t="str">
        <f t="shared" si="22"/>
        <v/>
      </c>
      <c r="J263" s="233" t="e">
        <f t="shared" ref="J263:J305" si="25">INT(LOG($H$2,2))-ROUNDUP(LOG(H263,2),0)+IF(OR($H$2=1,$H$2=2,$H$2=4,$H$2=8,$H$2=16,$H$2=32,$H$2=64,$H$2=128,$H$2=256),0,1)</f>
        <v>#NUM!</v>
      </c>
      <c r="K263" s="233" t="e">
        <f t="shared" si="23"/>
        <v>#NUM!</v>
      </c>
      <c r="L263" s="233"/>
      <c r="M263" s="235">
        <f t="shared" si="24"/>
        <v>0</v>
      </c>
    </row>
    <row r="264" spans="1:13" x14ac:dyDescent="0.25">
      <c r="A264" s="250"/>
      <c r="G264" s="219"/>
      <c r="H264" s="233">
        <v>259</v>
      </c>
      <c r="I264" s="234" t="str">
        <f t="shared" si="22"/>
        <v/>
      </c>
      <c r="J264" s="233" t="e">
        <f t="shared" si="25"/>
        <v>#NUM!</v>
      </c>
      <c r="K264" s="233" t="e">
        <f t="shared" si="23"/>
        <v>#NUM!</v>
      </c>
      <c r="L264" s="233"/>
      <c r="M264" s="235">
        <f t="shared" si="24"/>
        <v>0</v>
      </c>
    </row>
    <row r="265" spans="1:13" x14ac:dyDescent="0.25">
      <c r="A265" s="250"/>
      <c r="G265" s="219"/>
      <c r="H265" s="236">
        <v>260</v>
      </c>
      <c r="I265" s="234" t="str">
        <f t="shared" si="22"/>
        <v/>
      </c>
      <c r="J265" s="233" t="e">
        <f t="shared" si="25"/>
        <v>#NUM!</v>
      </c>
      <c r="K265" s="233" t="e">
        <f t="shared" si="23"/>
        <v>#NUM!</v>
      </c>
      <c r="L265" s="233"/>
      <c r="M265" s="235">
        <f t="shared" si="24"/>
        <v>0</v>
      </c>
    </row>
    <row r="266" spans="1:13" x14ac:dyDescent="0.25">
      <c r="A266" s="250"/>
      <c r="G266" s="219"/>
      <c r="H266" s="233">
        <v>261</v>
      </c>
      <c r="I266" s="234" t="str">
        <f t="shared" si="22"/>
        <v/>
      </c>
      <c r="J266" s="233" t="e">
        <f t="shared" si="25"/>
        <v>#NUM!</v>
      </c>
      <c r="K266" s="233" t="e">
        <f t="shared" si="23"/>
        <v>#NUM!</v>
      </c>
      <c r="L266" s="233"/>
      <c r="M266" s="235">
        <f t="shared" si="24"/>
        <v>0</v>
      </c>
    </row>
    <row r="267" spans="1:13" x14ac:dyDescent="0.25">
      <c r="A267" s="250"/>
      <c r="G267" s="219"/>
      <c r="H267" s="236">
        <v>262</v>
      </c>
      <c r="I267" s="234" t="str">
        <f t="shared" si="22"/>
        <v/>
      </c>
      <c r="J267" s="233" t="e">
        <f t="shared" si="25"/>
        <v>#NUM!</v>
      </c>
      <c r="K267" s="233" t="e">
        <f t="shared" si="23"/>
        <v>#NUM!</v>
      </c>
      <c r="L267" s="233"/>
      <c r="M267" s="235">
        <f t="shared" si="24"/>
        <v>0</v>
      </c>
    </row>
    <row r="268" spans="1:13" x14ac:dyDescent="0.25">
      <c r="A268" s="250"/>
      <c r="G268" s="219"/>
      <c r="H268" s="233">
        <v>263</v>
      </c>
      <c r="I268" s="234" t="str">
        <f t="shared" si="22"/>
        <v/>
      </c>
      <c r="J268" s="233" t="e">
        <f t="shared" si="25"/>
        <v>#NUM!</v>
      </c>
      <c r="K268" s="233" t="e">
        <f t="shared" si="23"/>
        <v>#NUM!</v>
      </c>
      <c r="L268" s="233"/>
      <c r="M268" s="235">
        <f t="shared" si="24"/>
        <v>0</v>
      </c>
    </row>
    <row r="269" spans="1:13" x14ac:dyDescent="0.25">
      <c r="A269" s="250"/>
      <c r="G269" s="219"/>
      <c r="H269" s="236">
        <v>264</v>
      </c>
      <c r="I269" s="234" t="str">
        <f t="shared" si="22"/>
        <v/>
      </c>
      <c r="J269" s="233" t="e">
        <f t="shared" si="25"/>
        <v>#NUM!</v>
      </c>
      <c r="K269" s="233" t="e">
        <f t="shared" si="23"/>
        <v>#NUM!</v>
      </c>
      <c r="L269" s="233"/>
      <c r="M269" s="235">
        <f t="shared" si="24"/>
        <v>0</v>
      </c>
    </row>
    <row r="270" spans="1:13" x14ac:dyDescent="0.25">
      <c r="A270" s="250"/>
      <c r="G270" s="219"/>
      <c r="H270" s="233">
        <v>265</v>
      </c>
      <c r="I270" s="234" t="str">
        <f t="shared" si="22"/>
        <v/>
      </c>
      <c r="J270" s="233" t="e">
        <f t="shared" si="25"/>
        <v>#NUM!</v>
      </c>
      <c r="K270" s="233" t="e">
        <f t="shared" si="23"/>
        <v>#NUM!</v>
      </c>
      <c r="L270" s="233"/>
      <c r="M270" s="235">
        <f t="shared" si="24"/>
        <v>0</v>
      </c>
    </row>
    <row r="271" spans="1:13" x14ac:dyDescent="0.25">
      <c r="A271" s="250"/>
      <c r="G271" s="219"/>
      <c r="H271" s="236">
        <v>266</v>
      </c>
      <c r="I271" s="234" t="str">
        <f t="shared" si="22"/>
        <v/>
      </c>
      <c r="J271" s="233" t="e">
        <f t="shared" si="25"/>
        <v>#NUM!</v>
      </c>
      <c r="K271" s="233" t="e">
        <f t="shared" si="23"/>
        <v>#NUM!</v>
      </c>
      <c r="L271" s="233"/>
      <c r="M271" s="235">
        <f t="shared" si="24"/>
        <v>0</v>
      </c>
    </row>
    <row r="272" spans="1:13" x14ac:dyDescent="0.25">
      <c r="A272" s="250"/>
      <c r="G272" s="219"/>
      <c r="H272" s="233">
        <v>267</v>
      </c>
      <c r="I272" s="234" t="str">
        <f t="shared" si="22"/>
        <v/>
      </c>
      <c r="J272" s="233" t="e">
        <f t="shared" si="25"/>
        <v>#NUM!</v>
      </c>
      <c r="K272" s="233" t="e">
        <f t="shared" si="23"/>
        <v>#NUM!</v>
      </c>
      <c r="L272" s="233"/>
      <c r="M272" s="235">
        <f t="shared" si="24"/>
        <v>0</v>
      </c>
    </row>
    <row r="273" spans="1:13" x14ac:dyDescent="0.25">
      <c r="A273" s="250"/>
      <c r="G273" s="219"/>
      <c r="H273" s="236">
        <v>268</v>
      </c>
      <c r="I273" s="234" t="str">
        <f t="shared" si="22"/>
        <v/>
      </c>
      <c r="J273" s="233" t="e">
        <f t="shared" si="25"/>
        <v>#NUM!</v>
      </c>
      <c r="K273" s="233" t="e">
        <f t="shared" si="23"/>
        <v>#NUM!</v>
      </c>
      <c r="L273" s="233"/>
      <c r="M273" s="235">
        <f t="shared" si="24"/>
        <v>0</v>
      </c>
    </row>
    <row r="274" spans="1:13" x14ac:dyDescent="0.25">
      <c r="A274" s="250"/>
      <c r="G274" s="219"/>
      <c r="H274" s="233">
        <v>269</v>
      </c>
      <c r="I274" s="234" t="str">
        <f t="shared" si="22"/>
        <v/>
      </c>
      <c r="J274" s="233" t="e">
        <f t="shared" si="25"/>
        <v>#NUM!</v>
      </c>
      <c r="K274" s="233" t="e">
        <f t="shared" si="23"/>
        <v>#NUM!</v>
      </c>
      <c r="L274" s="233"/>
      <c r="M274" s="235">
        <f t="shared" si="24"/>
        <v>0</v>
      </c>
    </row>
    <row r="275" spans="1:13" x14ac:dyDescent="0.25">
      <c r="A275" s="250"/>
      <c r="G275" s="219"/>
      <c r="H275" s="236">
        <v>270</v>
      </c>
      <c r="I275" s="234" t="str">
        <f t="shared" si="22"/>
        <v/>
      </c>
      <c r="J275" s="233" t="e">
        <f t="shared" si="25"/>
        <v>#NUM!</v>
      </c>
      <c r="K275" s="233" t="e">
        <f t="shared" si="23"/>
        <v>#NUM!</v>
      </c>
      <c r="L275" s="233"/>
      <c r="M275" s="235">
        <f t="shared" si="24"/>
        <v>0</v>
      </c>
    </row>
    <row r="276" spans="1:13" x14ac:dyDescent="0.25">
      <c r="A276" s="250"/>
      <c r="G276" s="219"/>
      <c r="H276" s="233">
        <v>271</v>
      </c>
      <c r="I276" s="234" t="str">
        <f t="shared" si="22"/>
        <v/>
      </c>
      <c r="J276" s="233" t="e">
        <f t="shared" si="25"/>
        <v>#NUM!</v>
      </c>
      <c r="K276" s="233" t="e">
        <f t="shared" si="23"/>
        <v>#NUM!</v>
      </c>
      <c r="L276" s="233"/>
      <c r="M276" s="235">
        <f t="shared" si="24"/>
        <v>0</v>
      </c>
    </row>
    <row r="277" spans="1:13" x14ac:dyDescent="0.25">
      <c r="A277" s="250"/>
      <c r="G277" s="219"/>
      <c r="H277" s="236">
        <v>272</v>
      </c>
      <c r="I277" s="234" t="str">
        <f t="shared" si="22"/>
        <v/>
      </c>
      <c r="J277" s="233" t="e">
        <f t="shared" si="25"/>
        <v>#NUM!</v>
      </c>
      <c r="K277" s="233" t="e">
        <f t="shared" si="23"/>
        <v>#NUM!</v>
      </c>
      <c r="L277" s="233"/>
      <c r="M277" s="235">
        <f t="shared" si="24"/>
        <v>0</v>
      </c>
    </row>
    <row r="278" spans="1:13" x14ac:dyDescent="0.25">
      <c r="A278" s="250"/>
      <c r="G278" s="219"/>
      <c r="H278" s="233">
        <v>273</v>
      </c>
      <c r="I278" s="234" t="str">
        <f t="shared" si="22"/>
        <v/>
      </c>
      <c r="J278" s="233" t="e">
        <f t="shared" si="25"/>
        <v>#NUM!</v>
      </c>
      <c r="K278" s="233" t="e">
        <f t="shared" si="23"/>
        <v>#NUM!</v>
      </c>
      <c r="L278" s="233"/>
      <c r="M278" s="235">
        <f t="shared" si="24"/>
        <v>0</v>
      </c>
    </row>
    <row r="279" spans="1:13" x14ac:dyDescent="0.25">
      <c r="A279" s="250"/>
      <c r="G279" s="219"/>
      <c r="H279" s="236">
        <v>274</v>
      </c>
      <c r="I279" s="234" t="str">
        <f t="shared" si="22"/>
        <v/>
      </c>
      <c r="J279" s="233" t="e">
        <f t="shared" si="25"/>
        <v>#NUM!</v>
      </c>
      <c r="K279" s="233" t="e">
        <f t="shared" si="23"/>
        <v>#NUM!</v>
      </c>
      <c r="L279" s="233"/>
      <c r="M279" s="235">
        <f t="shared" si="24"/>
        <v>0</v>
      </c>
    </row>
    <row r="280" spans="1:13" x14ac:dyDescent="0.25">
      <c r="A280" s="250"/>
      <c r="G280" s="219"/>
      <c r="H280" s="233">
        <v>275</v>
      </c>
      <c r="I280" s="234" t="str">
        <f t="shared" si="22"/>
        <v/>
      </c>
      <c r="J280" s="233" t="e">
        <f t="shared" si="25"/>
        <v>#NUM!</v>
      </c>
      <c r="K280" s="233" t="e">
        <f t="shared" si="23"/>
        <v>#NUM!</v>
      </c>
      <c r="L280" s="233"/>
      <c r="M280" s="235">
        <f t="shared" si="24"/>
        <v>0</v>
      </c>
    </row>
    <row r="281" spans="1:13" x14ac:dyDescent="0.25">
      <c r="A281" s="250"/>
      <c r="G281" s="219"/>
      <c r="H281" s="236">
        <v>276</v>
      </c>
      <c r="I281" s="234" t="str">
        <f t="shared" si="22"/>
        <v/>
      </c>
      <c r="J281" s="233" t="e">
        <f t="shared" si="25"/>
        <v>#NUM!</v>
      </c>
      <c r="K281" s="233" t="e">
        <f t="shared" si="23"/>
        <v>#NUM!</v>
      </c>
      <c r="L281" s="233"/>
      <c r="M281" s="235">
        <f t="shared" si="24"/>
        <v>0</v>
      </c>
    </row>
    <row r="282" spans="1:13" x14ac:dyDescent="0.25">
      <c r="A282" s="250"/>
      <c r="G282" s="219"/>
      <c r="H282" s="233">
        <v>277</v>
      </c>
      <c r="I282" s="234" t="str">
        <f t="shared" si="22"/>
        <v/>
      </c>
      <c r="J282" s="233" t="e">
        <f t="shared" si="25"/>
        <v>#NUM!</v>
      </c>
      <c r="K282" s="233" t="e">
        <f t="shared" si="23"/>
        <v>#NUM!</v>
      </c>
      <c r="L282" s="233"/>
      <c r="M282" s="235">
        <f t="shared" si="24"/>
        <v>0</v>
      </c>
    </row>
    <row r="283" spans="1:13" x14ac:dyDescent="0.25">
      <c r="A283" s="250"/>
      <c r="G283" s="219"/>
      <c r="H283" s="236">
        <v>278</v>
      </c>
      <c r="I283" s="234" t="str">
        <f t="shared" si="22"/>
        <v/>
      </c>
      <c r="J283" s="233" t="e">
        <f t="shared" si="25"/>
        <v>#NUM!</v>
      </c>
      <c r="K283" s="233" t="e">
        <f t="shared" si="23"/>
        <v>#NUM!</v>
      </c>
      <c r="L283" s="233"/>
      <c r="M283" s="235">
        <f t="shared" si="24"/>
        <v>0</v>
      </c>
    </row>
    <row r="284" spans="1:13" x14ac:dyDescent="0.25">
      <c r="A284" s="250"/>
      <c r="G284" s="219"/>
      <c r="H284" s="233">
        <v>279</v>
      </c>
      <c r="I284" s="234" t="str">
        <f t="shared" si="22"/>
        <v/>
      </c>
      <c r="J284" s="233" t="e">
        <f t="shared" si="25"/>
        <v>#NUM!</v>
      </c>
      <c r="K284" s="233" t="e">
        <f t="shared" si="23"/>
        <v>#NUM!</v>
      </c>
      <c r="L284" s="233"/>
      <c r="M284" s="235">
        <f t="shared" si="24"/>
        <v>0</v>
      </c>
    </row>
    <row r="285" spans="1:13" x14ac:dyDescent="0.25">
      <c r="A285" s="250"/>
      <c r="G285" s="219"/>
      <c r="H285" s="236">
        <v>280</v>
      </c>
      <c r="I285" s="234" t="str">
        <f t="shared" si="22"/>
        <v/>
      </c>
      <c r="J285" s="233" t="e">
        <f t="shared" si="25"/>
        <v>#NUM!</v>
      </c>
      <c r="K285" s="233" t="e">
        <f t="shared" si="23"/>
        <v>#NUM!</v>
      </c>
      <c r="L285" s="233"/>
      <c r="M285" s="235">
        <f t="shared" si="24"/>
        <v>0</v>
      </c>
    </row>
    <row r="286" spans="1:13" x14ac:dyDescent="0.25">
      <c r="A286" s="250"/>
      <c r="G286" s="219"/>
      <c r="H286" s="233">
        <v>281</v>
      </c>
      <c r="I286" s="234" t="str">
        <f t="shared" si="22"/>
        <v/>
      </c>
      <c r="J286" s="233" t="e">
        <f t="shared" si="25"/>
        <v>#NUM!</v>
      </c>
      <c r="K286" s="233" t="e">
        <f t="shared" si="23"/>
        <v>#NUM!</v>
      </c>
      <c r="L286" s="233"/>
      <c r="M286" s="235">
        <f t="shared" si="24"/>
        <v>0</v>
      </c>
    </row>
    <row r="287" spans="1:13" x14ac:dyDescent="0.25">
      <c r="A287" s="250"/>
      <c r="G287" s="219"/>
      <c r="H287" s="236">
        <v>282</v>
      </c>
      <c r="I287" s="234" t="str">
        <f t="shared" si="22"/>
        <v/>
      </c>
      <c r="J287" s="233" t="e">
        <f t="shared" si="25"/>
        <v>#NUM!</v>
      </c>
      <c r="K287" s="233" t="e">
        <f t="shared" si="23"/>
        <v>#NUM!</v>
      </c>
      <c r="L287" s="233"/>
      <c r="M287" s="235">
        <f t="shared" si="24"/>
        <v>0</v>
      </c>
    </row>
    <row r="288" spans="1:13" x14ac:dyDescent="0.25">
      <c r="A288" s="250"/>
      <c r="G288" s="219"/>
      <c r="H288" s="233">
        <v>283</v>
      </c>
      <c r="I288" s="234" t="str">
        <f t="shared" si="22"/>
        <v/>
      </c>
      <c r="J288" s="233" t="e">
        <f t="shared" si="25"/>
        <v>#NUM!</v>
      </c>
      <c r="K288" s="233" t="e">
        <f t="shared" si="23"/>
        <v>#NUM!</v>
      </c>
      <c r="L288" s="233"/>
      <c r="M288" s="235">
        <f t="shared" si="24"/>
        <v>0</v>
      </c>
    </row>
    <row r="289" spans="1:13" x14ac:dyDescent="0.25">
      <c r="A289" s="250"/>
      <c r="G289" s="219"/>
      <c r="H289" s="236">
        <v>284</v>
      </c>
      <c r="I289" s="234" t="str">
        <f t="shared" si="22"/>
        <v/>
      </c>
      <c r="J289" s="233" t="e">
        <f t="shared" si="25"/>
        <v>#NUM!</v>
      </c>
      <c r="K289" s="233" t="e">
        <f t="shared" si="23"/>
        <v>#NUM!</v>
      </c>
      <c r="L289" s="233"/>
      <c r="M289" s="235">
        <f t="shared" si="24"/>
        <v>0</v>
      </c>
    </row>
    <row r="290" spans="1:13" x14ac:dyDescent="0.25">
      <c r="A290" s="250"/>
      <c r="G290" s="219"/>
      <c r="H290" s="233">
        <v>285</v>
      </c>
      <c r="I290" s="234" t="str">
        <f t="shared" si="22"/>
        <v/>
      </c>
      <c r="J290" s="233" t="e">
        <f t="shared" si="25"/>
        <v>#NUM!</v>
      </c>
      <c r="K290" s="233" t="e">
        <f t="shared" si="23"/>
        <v>#NUM!</v>
      </c>
      <c r="L290" s="233"/>
      <c r="M290" s="235">
        <f t="shared" si="24"/>
        <v>0</v>
      </c>
    </row>
    <row r="291" spans="1:13" x14ac:dyDescent="0.25">
      <c r="A291" s="250"/>
      <c r="G291" s="219"/>
      <c r="H291" s="236">
        <v>286</v>
      </c>
      <c r="I291" s="234" t="str">
        <f t="shared" si="22"/>
        <v/>
      </c>
      <c r="J291" s="233" t="e">
        <f t="shared" si="25"/>
        <v>#NUM!</v>
      </c>
      <c r="K291" s="233" t="e">
        <f t="shared" si="23"/>
        <v>#NUM!</v>
      </c>
      <c r="L291" s="233"/>
      <c r="M291" s="235">
        <f t="shared" si="24"/>
        <v>0</v>
      </c>
    </row>
    <row r="292" spans="1:13" x14ac:dyDescent="0.25">
      <c r="A292" s="250"/>
      <c r="G292" s="219"/>
      <c r="H292" s="233">
        <v>287</v>
      </c>
      <c r="I292" s="234" t="str">
        <f t="shared" si="22"/>
        <v/>
      </c>
      <c r="J292" s="233" t="e">
        <f t="shared" si="25"/>
        <v>#NUM!</v>
      </c>
      <c r="K292" s="233" t="e">
        <f t="shared" si="23"/>
        <v>#NUM!</v>
      </c>
      <c r="L292" s="233"/>
      <c r="M292" s="235">
        <f t="shared" si="24"/>
        <v>0</v>
      </c>
    </row>
    <row r="293" spans="1:13" x14ac:dyDescent="0.25">
      <c r="A293" s="250"/>
      <c r="G293" s="219"/>
      <c r="H293" s="233">
        <v>288</v>
      </c>
      <c r="I293" s="234" t="str">
        <f t="shared" si="22"/>
        <v/>
      </c>
      <c r="J293" s="233" t="e">
        <f t="shared" si="25"/>
        <v>#NUM!</v>
      </c>
      <c r="K293" s="233" t="e">
        <f t="shared" si="23"/>
        <v>#NUM!</v>
      </c>
      <c r="L293" s="233"/>
      <c r="M293" s="235">
        <f t="shared" si="24"/>
        <v>0</v>
      </c>
    </row>
    <row r="294" spans="1:13" x14ac:dyDescent="0.25">
      <c r="A294" s="250"/>
      <c r="G294" s="219"/>
      <c r="H294" s="233">
        <v>289</v>
      </c>
      <c r="I294" s="234" t="str">
        <f t="shared" si="22"/>
        <v/>
      </c>
      <c r="J294" s="233" t="e">
        <f t="shared" si="25"/>
        <v>#NUM!</v>
      </c>
      <c r="K294" s="233" t="e">
        <f t="shared" si="23"/>
        <v>#NUM!</v>
      </c>
      <c r="L294" s="233"/>
      <c r="M294" s="235">
        <f t="shared" si="24"/>
        <v>0</v>
      </c>
    </row>
    <row r="295" spans="1:13" x14ac:dyDescent="0.25">
      <c r="A295" s="250"/>
      <c r="G295" s="219"/>
      <c r="H295" s="233">
        <v>290</v>
      </c>
      <c r="I295" s="234" t="str">
        <f t="shared" si="22"/>
        <v/>
      </c>
      <c r="J295" s="233" t="e">
        <f t="shared" si="25"/>
        <v>#NUM!</v>
      </c>
      <c r="K295" s="233" t="e">
        <f t="shared" si="23"/>
        <v>#NUM!</v>
      </c>
      <c r="L295" s="233"/>
      <c r="M295" s="235">
        <f t="shared" si="24"/>
        <v>0</v>
      </c>
    </row>
    <row r="296" spans="1:13" x14ac:dyDescent="0.25">
      <c r="A296" s="250"/>
      <c r="G296" s="219"/>
      <c r="H296" s="233">
        <v>291</v>
      </c>
      <c r="I296" s="234" t="str">
        <f t="shared" si="22"/>
        <v/>
      </c>
      <c r="J296" s="233" t="e">
        <f t="shared" si="25"/>
        <v>#NUM!</v>
      </c>
      <c r="K296" s="233" t="e">
        <f t="shared" si="23"/>
        <v>#NUM!</v>
      </c>
      <c r="L296" s="233"/>
      <c r="M296" s="235">
        <f t="shared" si="24"/>
        <v>0</v>
      </c>
    </row>
    <row r="297" spans="1:13" x14ac:dyDescent="0.25">
      <c r="A297" s="250"/>
      <c r="G297" s="219"/>
      <c r="H297" s="233">
        <v>292</v>
      </c>
      <c r="I297" s="234" t="str">
        <f t="shared" si="22"/>
        <v/>
      </c>
      <c r="J297" s="233" t="e">
        <f t="shared" si="25"/>
        <v>#NUM!</v>
      </c>
      <c r="K297" s="233" t="e">
        <f t="shared" si="23"/>
        <v>#NUM!</v>
      </c>
      <c r="L297" s="233"/>
      <c r="M297" s="235">
        <f t="shared" si="24"/>
        <v>0</v>
      </c>
    </row>
    <row r="298" spans="1:13" x14ac:dyDescent="0.25">
      <c r="A298" s="250"/>
      <c r="G298" s="219"/>
      <c r="H298" s="233">
        <v>293</v>
      </c>
      <c r="I298" s="234" t="str">
        <f t="shared" si="22"/>
        <v/>
      </c>
      <c r="J298" s="233" t="e">
        <f t="shared" si="25"/>
        <v>#NUM!</v>
      </c>
      <c r="K298" s="233" t="e">
        <f t="shared" si="23"/>
        <v>#NUM!</v>
      </c>
      <c r="L298" s="233"/>
      <c r="M298" s="235">
        <f t="shared" si="24"/>
        <v>0</v>
      </c>
    </row>
    <row r="299" spans="1:13" x14ac:dyDescent="0.25">
      <c r="A299" s="250"/>
      <c r="G299" s="219"/>
      <c r="H299" s="233">
        <v>294</v>
      </c>
      <c r="I299" s="234" t="str">
        <f t="shared" si="22"/>
        <v/>
      </c>
      <c r="J299" s="233" t="e">
        <f t="shared" si="25"/>
        <v>#NUM!</v>
      </c>
      <c r="K299" s="233" t="e">
        <f t="shared" si="23"/>
        <v>#NUM!</v>
      </c>
      <c r="L299" s="233"/>
      <c r="M299" s="235">
        <f t="shared" si="24"/>
        <v>0</v>
      </c>
    </row>
    <row r="300" spans="1:13" x14ac:dyDescent="0.25">
      <c r="A300" s="250"/>
      <c r="G300" s="219"/>
      <c r="H300" s="233">
        <v>295</v>
      </c>
      <c r="I300" s="234" t="str">
        <f t="shared" si="22"/>
        <v/>
      </c>
      <c r="J300" s="233" t="e">
        <f t="shared" si="25"/>
        <v>#NUM!</v>
      </c>
      <c r="K300" s="233" t="e">
        <f t="shared" si="23"/>
        <v>#NUM!</v>
      </c>
      <c r="L300" s="233"/>
      <c r="M300" s="235">
        <f t="shared" si="24"/>
        <v>0</v>
      </c>
    </row>
    <row r="301" spans="1:13" x14ac:dyDescent="0.25">
      <c r="A301" s="250"/>
      <c r="G301" s="219"/>
      <c r="H301" s="233">
        <v>296</v>
      </c>
      <c r="I301" s="234" t="str">
        <f t="shared" si="22"/>
        <v/>
      </c>
      <c r="J301" s="233" t="e">
        <f t="shared" si="25"/>
        <v>#NUM!</v>
      </c>
      <c r="K301" s="233" t="e">
        <f t="shared" si="23"/>
        <v>#NUM!</v>
      </c>
      <c r="L301" s="233"/>
      <c r="M301" s="235">
        <f t="shared" si="24"/>
        <v>0</v>
      </c>
    </row>
    <row r="302" spans="1:13" x14ac:dyDescent="0.25">
      <c r="A302" s="250"/>
      <c r="G302" s="219"/>
      <c r="H302" s="233">
        <v>297</v>
      </c>
      <c r="I302" s="234" t="str">
        <f t="shared" si="22"/>
        <v/>
      </c>
      <c r="J302" s="233" t="e">
        <f t="shared" si="25"/>
        <v>#NUM!</v>
      </c>
      <c r="K302" s="233" t="e">
        <f t="shared" si="23"/>
        <v>#NUM!</v>
      </c>
      <c r="L302" s="233"/>
      <c r="M302" s="235">
        <f t="shared" si="24"/>
        <v>0</v>
      </c>
    </row>
    <row r="303" spans="1:13" x14ac:dyDescent="0.25">
      <c r="A303" s="250"/>
      <c r="G303" s="219"/>
      <c r="H303" s="233">
        <v>298</v>
      </c>
      <c r="I303" s="234" t="str">
        <f t="shared" si="22"/>
        <v/>
      </c>
      <c r="J303" s="233" t="e">
        <f t="shared" si="25"/>
        <v>#NUM!</v>
      </c>
      <c r="K303" s="233" t="e">
        <f t="shared" si="23"/>
        <v>#NUM!</v>
      </c>
      <c r="L303" s="233"/>
      <c r="M303" s="235">
        <f t="shared" si="24"/>
        <v>0</v>
      </c>
    </row>
    <row r="304" spans="1:13" x14ac:dyDescent="0.25">
      <c r="A304" s="250"/>
      <c r="G304" s="219"/>
      <c r="H304" s="233">
        <v>299</v>
      </c>
      <c r="I304" s="234" t="str">
        <f t="shared" si="22"/>
        <v/>
      </c>
      <c r="J304" s="233" t="e">
        <f t="shared" si="25"/>
        <v>#NUM!</v>
      </c>
      <c r="K304" s="233" t="e">
        <f t="shared" si="23"/>
        <v>#NUM!</v>
      </c>
      <c r="L304" s="233"/>
      <c r="M304" s="235">
        <f t="shared" si="24"/>
        <v>0</v>
      </c>
    </row>
    <row r="305" spans="1:16" x14ac:dyDescent="0.25">
      <c r="A305" s="250"/>
      <c r="G305" s="219"/>
      <c r="H305" s="233">
        <v>300</v>
      </c>
      <c r="I305" s="234" t="str">
        <f t="shared" si="22"/>
        <v/>
      </c>
      <c r="J305" s="233" t="e">
        <f t="shared" si="25"/>
        <v>#NUM!</v>
      </c>
      <c r="K305" s="233" t="e">
        <f t="shared" si="23"/>
        <v>#NUM!</v>
      </c>
      <c r="L305" s="233"/>
      <c r="M305" s="235">
        <f t="shared" si="24"/>
        <v>0</v>
      </c>
    </row>
    <row r="306" spans="1:16" x14ac:dyDescent="0.25">
      <c r="A306" s="251"/>
    </row>
    <row r="314" spans="1:16" x14ac:dyDescent="0.25">
      <c r="L314" s="254"/>
      <c r="P314" s="244"/>
    </row>
    <row r="315" spans="1:16" x14ac:dyDescent="0.25">
      <c r="L315" s="254"/>
      <c r="P315" s="244"/>
    </row>
    <row r="316" spans="1:16" x14ac:dyDescent="0.25">
      <c r="L316" s="254"/>
      <c r="P316" s="244"/>
    </row>
    <row r="317" spans="1:16" x14ac:dyDescent="0.25">
      <c r="L317" s="254"/>
      <c r="P317" s="244"/>
    </row>
  </sheetData>
  <conditionalFormatting sqref="J6:K305">
    <cfRule type="cellIs" dxfId="16" priority="1" operator="lessThanOrEqual">
      <formula>0</formula>
    </cfRule>
  </conditionalFormatting>
  <hyperlinks>
    <hyperlink ref="C2" r:id="rId1" xr:uid="{59B3F8E4-7CC9-46A8-B67E-B14D523F3E23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BA97-F5BF-45AF-B989-1A40F58ADE69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70" t="s">
        <v>124</v>
      </c>
      <c r="D2" s="69"/>
      <c r="E2" s="20"/>
      <c r="F2" s="20"/>
      <c r="G2" s="20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35</v>
      </c>
      <c r="C3" s="70" t="s">
        <v>125</v>
      </c>
      <c r="D3" s="70"/>
      <c r="E3" s="25"/>
      <c r="F3" s="25"/>
      <c r="G3" s="25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69" si="0">M6</f>
        <v>0</v>
      </c>
      <c r="B6" s="33" t="str">
        <f>IF(H6&gt;$H$2,"",(ROW()-5))</f>
        <v/>
      </c>
      <c r="C6" s="34" t="s">
        <v>54</v>
      </c>
      <c r="D6" s="34"/>
      <c r="E6" s="34"/>
      <c r="F6" s="34"/>
      <c r="G6" s="27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39" t="str">
        <f>IF(H7&gt;$H$2,"",(ROW()-5))</f>
        <v/>
      </c>
      <c r="C7" s="40" t="s">
        <v>54</v>
      </c>
      <c r="D7" s="40"/>
      <c r="E7" s="40"/>
      <c r="F7" s="40"/>
      <c r="G7" s="27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3" t="str">
        <f>IF(H8&gt;$H$2,"",(ROW()-5))</f>
        <v/>
      </c>
      <c r="C8" s="34" t="s">
        <v>54</v>
      </c>
      <c r="D8" s="34"/>
      <c r="E8" s="34"/>
      <c r="F8" s="34"/>
      <c r="G8" s="27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39" t="str">
        <f>IF(H9&gt;$H$2,"",3)</f>
        <v/>
      </c>
      <c r="C9" s="40" t="s">
        <v>54</v>
      </c>
      <c r="D9" s="40"/>
      <c r="E9" s="40"/>
      <c r="F9" s="40"/>
      <c r="G9" s="27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3" t="str">
        <f t="shared" ref="B10:B73" si="5">IF(H10&gt;$H$2,"",(ROW()-5))</f>
        <v/>
      </c>
      <c r="C10" s="34" t="s">
        <v>54</v>
      </c>
      <c r="D10" s="34"/>
      <c r="E10" s="34"/>
      <c r="F10" s="34"/>
      <c r="G10" s="27"/>
      <c r="H10" s="98">
        <v>5</v>
      </c>
      <c r="I10" s="99" t="str">
        <f t="shared" si="1"/>
        <v/>
      </c>
      <c r="J10" s="98">
        <v>2</v>
      </c>
      <c r="K10" s="98">
        <f t="shared" si="3"/>
        <v>20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39" t="str">
        <f t="shared" si="5"/>
        <v/>
      </c>
      <c r="C11" s="40" t="s">
        <v>54</v>
      </c>
      <c r="D11" s="40"/>
      <c r="E11" s="40"/>
      <c r="F11" s="40"/>
      <c r="G11" s="27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3" t="str">
        <f t="shared" si="5"/>
        <v/>
      </c>
      <c r="C12" s="34" t="s">
        <v>54</v>
      </c>
      <c r="D12" s="34"/>
      <c r="E12" s="34"/>
      <c r="F12" s="34"/>
      <c r="G12" s="27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39" t="str">
        <f t="shared" si="5"/>
        <v/>
      </c>
      <c r="C13" s="40" t="s">
        <v>54</v>
      </c>
      <c r="D13" s="40"/>
      <c r="E13" s="40"/>
      <c r="F13" s="40"/>
      <c r="G13" s="27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3" t="str">
        <f t="shared" si="5"/>
        <v/>
      </c>
      <c r="C14" s="34" t="s">
        <v>54</v>
      </c>
      <c r="D14" s="34"/>
      <c r="E14" s="34"/>
      <c r="F14" s="34"/>
      <c r="G14" s="27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39" t="str">
        <f t="shared" si="5"/>
        <v/>
      </c>
      <c r="C15" s="40" t="s">
        <v>54</v>
      </c>
      <c r="D15" s="40"/>
      <c r="E15" s="40"/>
      <c r="F15" s="40"/>
      <c r="G15" s="27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3" t="str">
        <f t="shared" si="5"/>
        <v/>
      </c>
      <c r="C16" s="34" t="s">
        <v>54</v>
      </c>
      <c r="D16" s="34"/>
      <c r="E16" s="34"/>
      <c r="F16" s="34"/>
      <c r="G16" s="27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0</v>
      </c>
      <c r="B17" s="39" t="str">
        <f t="shared" si="5"/>
        <v/>
      </c>
      <c r="C17" s="40" t="s">
        <v>54</v>
      </c>
      <c r="D17" s="40"/>
      <c r="E17" s="40"/>
      <c r="F17" s="40"/>
      <c r="G17" s="27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3" t="str">
        <f t="shared" si="5"/>
        <v/>
      </c>
      <c r="C18" s="34" t="s">
        <v>54</v>
      </c>
      <c r="D18" s="34"/>
      <c r="E18" s="34"/>
      <c r="F18" s="34"/>
      <c r="G18" s="27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5"/>
        <v/>
      </c>
      <c r="C19" s="40" t="s">
        <v>54</v>
      </c>
      <c r="D19" s="40"/>
      <c r="E19" s="40"/>
      <c r="F19" s="40"/>
      <c r="G19" s="27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5"/>
        <v/>
      </c>
      <c r="C20" s="34" t="s">
        <v>54</v>
      </c>
      <c r="D20" s="34"/>
      <c r="E20" s="34"/>
      <c r="F20" s="34"/>
      <c r="G20" s="27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5"/>
        <v/>
      </c>
      <c r="C21" s="40" t="s">
        <v>54</v>
      </c>
      <c r="D21" s="40"/>
      <c r="E21" s="40"/>
      <c r="F21" s="40"/>
      <c r="G21" s="27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5"/>
        <v/>
      </c>
      <c r="C22" s="34" t="s">
        <v>54</v>
      </c>
      <c r="D22" s="34"/>
      <c r="E22" s="34"/>
      <c r="F22" s="34"/>
      <c r="G22" s="27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5"/>
        <v/>
      </c>
      <c r="C23" s="40" t="s">
        <v>54</v>
      </c>
      <c r="D23" s="40"/>
      <c r="E23" s="40"/>
      <c r="F23" s="40"/>
      <c r="G23" s="27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5"/>
        <v/>
      </c>
      <c r="C24" s="34" t="s">
        <v>54</v>
      </c>
      <c r="D24" s="34"/>
      <c r="E24" s="34"/>
      <c r="F24" s="34"/>
      <c r="G24" s="27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19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19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19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19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19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19" s="88" customFormat="1" x14ac:dyDescent="0.25">
      <c r="A38" s="97">
        <f t="shared" si="0"/>
        <v>0</v>
      </c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19" s="88" customFormat="1" x14ac:dyDescent="0.25">
      <c r="A39" s="101">
        <f t="shared" si="0"/>
        <v>0</v>
      </c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19" s="88" customFormat="1" x14ac:dyDescent="0.25">
      <c r="A40" s="97">
        <f t="shared" si="0"/>
        <v>0</v>
      </c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19" s="88" customFormat="1" x14ac:dyDescent="0.25">
      <c r="A41" s="101">
        <f t="shared" si="0"/>
        <v>0</v>
      </c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19" s="88" customFormat="1" x14ac:dyDescent="0.25">
      <c r="A42" s="97">
        <f t="shared" si="0"/>
        <v>0</v>
      </c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19" s="88" customFormat="1" x14ac:dyDescent="0.25">
      <c r="A43" s="101">
        <f t="shared" si="0"/>
        <v>0</v>
      </c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19" s="88" customFormat="1" x14ac:dyDescent="0.25">
      <c r="A44" s="97">
        <f t="shared" si="0"/>
        <v>0</v>
      </c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19" s="88" customFormat="1" x14ac:dyDescent="0.25">
      <c r="A45" s="101">
        <f t="shared" si="0"/>
        <v>0</v>
      </c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19" s="88" customFormat="1" x14ac:dyDescent="0.25">
      <c r="A46" s="97">
        <f t="shared" si="0"/>
        <v>0</v>
      </c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/>
    </row>
    <row r="47" spans="1:19" s="88" customFormat="1" x14ac:dyDescent="0.25">
      <c r="A47" s="101">
        <f t="shared" si="0"/>
        <v>0</v>
      </c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19" s="88" customFormat="1" x14ac:dyDescent="0.25">
      <c r="A48" s="97">
        <f t="shared" si="0"/>
        <v>0</v>
      </c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x14ac:dyDescent="0.25">
      <c r="A49" s="101">
        <f t="shared" si="0"/>
        <v>0</v>
      </c>
      <c r="B49" s="39" t="str">
        <f t="shared" si="5"/>
        <v/>
      </c>
      <c r="C49" s="40"/>
      <c r="D49" s="40"/>
      <c r="E49" s="40"/>
      <c r="F49" s="40"/>
      <c r="G49" s="83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</row>
    <row r="50" spans="1:38" x14ac:dyDescent="0.25">
      <c r="A50" s="97">
        <f t="shared" si="0"/>
        <v>0</v>
      </c>
      <c r="B50" s="33" t="str">
        <f t="shared" si="5"/>
        <v/>
      </c>
      <c r="C50" s="34"/>
      <c r="D50" s="34"/>
      <c r="E50" s="34"/>
      <c r="F50" s="34"/>
      <c r="G50" s="83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</row>
    <row r="51" spans="1:38" x14ac:dyDescent="0.25">
      <c r="A51" s="101">
        <f t="shared" si="0"/>
        <v>0</v>
      </c>
      <c r="B51" s="39" t="str">
        <f t="shared" si="5"/>
        <v/>
      </c>
      <c r="C51" s="40"/>
      <c r="D51" s="40"/>
      <c r="E51" s="40"/>
      <c r="F51" s="40"/>
      <c r="G51" s="83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</row>
    <row r="52" spans="1:38" x14ac:dyDescent="0.25">
      <c r="A52" s="97">
        <f t="shared" si="0"/>
        <v>0</v>
      </c>
      <c r="B52" s="33" t="str">
        <f t="shared" si="5"/>
        <v/>
      </c>
      <c r="C52" s="34"/>
      <c r="D52" s="34"/>
      <c r="E52" s="34"/>
      <c r="F52" s="34"/>
      <c r="G52" s="83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</row>
    <row r="53" spans="1:38" x14ac:dyDescent="0.25">
      <c r="A53" s="101">
        <f t="shared" si="0"/>
        <v>0</v>
      </c>
      <c r="B53" s="39" t="str">
        <f t="shared" si="5"/>
        <v/>
      </c>
      <c r="C53" s="40"/>
      <c r="D53" s="40"/>
      <c r="E53" s="40"/>
      <c r="F53" s="40"/>
      <c r="G53" s="83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</row>
    <row r="54" spans="1:38" x14ac:dyDescent="0.25">
      <c r="A54" s="97">
        <f t="shared" si="0"/>
        <v>0</v>
      </c>
      <c r="B54" s="33" t="str">
        <f t="shared" si="5"/>
        <v/>
      </c>
      <c r="C54" s="34"/>
      <c r="D54" s="34"/>
      <c r="E54" s="34"/>
      <c r="F54" s="34"/>
      <c r="G54" s="83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</row>
    <row r="55" spans="1:38" x14ac:dyDescent="0.25">
      <c r="A55" s="101">
        <f t="shared" si="0"/>
        <v>0</v>
      </c>
      <c r="B55" s="39" t="str">
        <f t="shared" si="5"/>
        <v/>
      </c>
      <c r="C55" s="40"/>
      <c r="D55" s="40"/>
      <c r="E55" s="40"/>
      <c r="F55" s="40"/>
      <c r="G55" s="83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</row>
    <row r="56" spans="1:38" x14ac:dyDescent="0.25">
      <c r="A56" s="97">
        <f t="shared" si="0"/>
        <v>0</v>
      </c>
      <c r="B56" s="33" t="str">
        <f t="shared" si="5"/>
        <v/>
      </c>
      <c r="C56" s="34"/>
      <c r="D56" s="34"/>
      <c r="E56" s="34"/>
      <c r="F56" s="34"/>
      <c r="G56" s="83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</row>
    <row r="57" spans="1:38" s="83" customFormat="1" x14ac:dyDescent="0.25">
      <c r="A57" s="101">
        <f t="shared" si="0"/>
        <v>0</v>
      </c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>
        <f t="shared" si="0"/>
        <v>0</v>
      </c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0"/>
        <v>0</v>
      </c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>
        <f t="shared" si="0"/>
        <v>0</v>
      </c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0"/>
        <v>0</v>
      </c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>
        <f t="shared" si="0"/>
        <v>0</v>
      </c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0"/>
        <v>0</v>
      </c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>
        <f t="shared" si="0"/>
        <v>0</v>
      </c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0"/>
        <v>0</v>
      </c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>
        <f t="shared" si="0"/>
        <v>0</v>
      </c>
      <c r="B66" s="33" t="str">
        <f t="shared" si="5"/>
        <v/>
      </c>
      <c r="C66" s="34"/>
      <c r="D66" s="34"/>
      <c r="E66" s="34"/>
      <c r="F66" s="34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0"/>
        <v>0</v>
      </c>
      <c r="B67" s="39" t="str">
        <f t="shared" si="5"/>
        <v/>
      </c>
      <c r="C67" s="40"/>
      <c r="D67" s="40"/>
      <c r="E67" s="40"/>
      <c r="F67" s="40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>
        <f t="shared" si="0"/>
        <v>0</v>
      </c>
      <c r="B68" s="33" t="str">
        <f t="shared" si="5"/>
        <v/>
      </c>
      <c r="C68" s="34"/>
      <c r="D68" s="34"/>
      <c r="E68" s="34"/>
      <c r="F68" s="34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0"/>
        <v>0</v>
      </c>
      <c r="B69" s="39" t="str">
        <f t="shared" si="5"/>
        <v/>
      </c>
      <c r="C69" s="40"/>
      <c r="D69" s="40"/>
      <c r="E69" s="40"/>
      <c r="F69" s="40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97">
        <f t="shared" ref="A70:A133" si="6">M70</f>
        <v>0</v>
      </c>
      <c r="B70" s="33" t="str">
        <f t="shared" si="5"/>
        <v/>
      </c>
      <c r="C70" s="34"/>
      <c r="D70" s="34"/>
      <c r="E70" s="34"/>
      <c r="F70" s="34"/>
      <c r="H70" s="98">
        <v>65</v>
      </c>
      <c r="I70" s="99" t="str">
        <f t="shared" ref="I70:I133" si="7">IF(H70&lt;$H$2+1,($I$2-($I$2-1)*(LOG(H70)/LOG($H$2))),"")</f>
        <v/>
      </c>
      <c r="J70" s="98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6"/>
        <v>0</v>
      </c>
      <c r="B71" s="39" t="str">
        <f t="shared" si="5"/>
        <v/>
      </c>
      <c r="C71" s="40"/>
      <c r="D71" s="40"/>
      <c r="E71" s="40"/>
      <c r="F71" s="40"/>
      <c r="H71" s="102">
        <v>66</v>
      </c>
      <c r="I71" s="103" t="str">
        <f t="shared" si="7"/>
        <v/>
      </c>
      <c r="J71" s="102" t="e">
        <f t="shared" si="8"/>
        <v>#NUM!</v>
      </c>
      <c r="K71" s="102" t="e">
        <f t="shared" si="9"/>
        <v>#NUM!</v>
      </c>
      <c r="L71" s="102"/>
      <c r="M71" s="104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97">
        <f t="shared" si="6"/>
        <v>0</v>
      </c>
      <c r="B72" s="33" t="str">
        <f t="shared" si="5"/>
        <v/>
      </c>
      <c r="C72" s="34"/>
      <c r="D72" s="34"/>
      <c r="E72" s="34"/>
      <c r="F72" s="34"/>
      <c r="H72" s="98">
        <v>67</v>
      </c>
      <c r="I72" s="99" t="str">
        <f t="shared" si="7"/>
        <v/>
      </c>
      <c r="J72" s="98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6"/>
        <v>0</v>
      </c>
      <c r="B73" s="39" t="str">
        <f t="shared" si="5"/>
        <v/>
      </c>
      <c r="C73" s="40"/>
      <c r="D73" s="40"/>
      <c r="E73" s="40"/>
      <c r="F73" s="40"/>
      <c r="H73" s="102">
        <v>68</v>
      </c>
      <c r="I73" s="103" t="str">
        <f t="shared" si="7"/>
        <v/>
      </c>
      <c r="J73" s="102" t="e">
        <f t="shared" si="8"/>
        <v>#NUM!</v>
      </c>
      <c r="K73" s="102" t="e">
        <f t="shared" si="9"/>
        <v>#NUM!</v>
      </c>
      <c r="L73" s="102"/>
      <c r="M73" s="104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97">
        <f t="shared" si="6"/>
        <v>0</v>
      </c>
      <c r="B74" s="33" t="str">
        <f t="shared" ref="B74:B137" si="11">IF(H74&gt;$H$2,"",(ROW()-5))</f>
        <v/>
      </c>
      <c r="C74" s="34"/>
      <c r="D74" s="34"/>
      <c r="E74" s="34"/>
      <c r="F74" s="34"/>
      <c r="H74" s="98">
        <v>69</v>
      </c>
      <c r="I74" s="99" t="str">
        <f t="shared" si="7"/>
        <v/>
      </c>
      <c r="J74" s="98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6"/>
        <v>0</v>
      </c>
      <c r="B75" s="39" t="str">
        <f t="shared" si="11"/>
        <v/>
      </c>
      <c r="C75" s="40"/>
      <c r="D75" s="40"/>
      <c r="E75" s="40"/>
      <c r="F75" s="40"/>
      <c r="H75" s="102">
        <v>70</v>
      </c>
      <c r="I75" s="103" t="str">
        <f t="shared" si="7"/>
        <v/>
      </c>
      <c r="J75" s="102" t="e">
        <f t="shared" si="8"/>
        <v>#NUM!</v>
      </c>
      <c r="K75" s="102" t="e">
        <f t="shared" si="9"/>
        <v>#NUM!</v>
      </c>
      <c r="L75" s="102"/>
      <c r="M75" s="104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97">
        <f t="shared" si="6"/>
        <v>0</v>
      </c>
      <c r="B76" s="33" t="str">
        <f t="shared" si="11"/>
        <v/>
      </c>
      <c r="C76" s="34"/>
      <c r="D76" s="34"/>
      <c r="E76" s="34"/>
      <c r="F76" s="34"/>
      <c r="H76" s="98">
        <v>71</v>
      </c>
      <c r="I76" s="99" t="str">
        <f t="shared" si="7"/>
        <v/>
      </c>
      <c r="J76" s="98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6"/>
        <v>0</v>
      </c>
      <c r="B77" s="39" t="str">
        <f t="shared" si="11"/>
        <v/>
      </c>
      <c r="C77" s="40"/>
      <c r="D77" s="40"/>
      <c r="E77" s="40"/>
      <c r="F77" s="40"/>
      <c r="H77" s="102">
        <v>72</v>
      </c>
      <c r="I77" s="103" t="str">
        <f t="shared" si="7"/>
        <v/>
      </c>
      <c r="J77" s="102" t="e">
        <f t="shared" si="8"/>
        <v>#NUM!</v>
      </c>
      <c r="K77" s="102" t="e">
        <f t="shared" si="9"/>
        <v>#NUM!</v>
      </c>
      <c r="L77" s="102"/>
      <c r="M77" s="104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97">
        <f t="shared" si="6"/>
        <v>0</v>
      </c>
      <c r="B78" s="33" t="str">
        <f t="shared" si="11"/>
        <v/>
      </c>
      <c r="C78" s="34"/>
      <c r="D78" s="34"/>
      <c r="E78" s="34"/>
      <c r="F78" s="34"/>
      <c r="H78" s="98">
        <v>73</v>
      </c>
      <c r="I78" s="99" t="str">
        <f t="shared" si="7"/>
        <v/>
      </c>
      <c r="J78" s="98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6"/>
        <v>0</v>
      </c>
      <c r="B79" s="39" t="str">
        <f t="shared" si="11"/>
        <v/>
      </c>
      <c r="C79" s="40"/>
      <c r="D79" s="40"/>
      <c r="E79" s="40"/>
      <c r="F79" s="40"/>
      <c r="H79" s="102">
        <v>74</v>
      </c>
      <c r="I79" s="103" t="str">
        <f t="shared" si="7"/>
        <v/>
      </c>
      <c r="J79" s="102" t="e">
        <f t="shared" si="8"/>
        <v>#NUM!</v>
      </c>
      <c r="K79" s="102" t="e">
        <f t="shared" si="9"/>
        <v>#NUM!</v>
      </c>
      <c r="L79" s="102"/>
      <c r="M79" s="104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>
        <f t="shared" si="6"/>
        <v>0</v>
      </c>
      <c r="B80" s="33" t="str">
        <f t="shared" si="11"/>
        <v/>
      </c>
      <c r="C80" s="34"/>
      <c r="D80" s="34"/>
      <c r="E80" s="34"/>
      <c r="F80" s="34"/>
      <c r="H80" s="98">
        <v>75</v>
      </c>
      <c r="I80" s="99" t="str">
        <f t="shared" si="7"/>
        <v/>
      </c>
      <c r="J80" s="98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01">
        <f t="shared" si="6"/>
        <v>0</v>
      </c>
      <c r="B81" s="39" t="str">
        <f t="shared" si="11"/>
        <v/>
      </c>
      <c r="C81" s="40"/>
      <c r="D81" s="40"/>
      <c r="E81" s="40"/>
      <c r="F81" s="40"/>
      <c r="H81" s="102">
        <v>76</v>
      </c>
      <c r="I81" s="103" t="str">
        <f t="shared" si="7"/>
        <v/>
      </c>
      <c r="J81" s="102" t="e">
        <f t="shared" si="8"/>
        <v>#NUM!</v>
      </c>
      <c r="K81" s="102" t="e">
        <f t="shared" si="9"/>
        <v>#NUM!</v>
      </c>
      <c r="L81" s="102"/>
      <c r="M81" s="104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97">
        <f t="shared" si="6"/>
        <v>0</v>
      </c>
      <c r="B82" s="33" t="str">
        <f t="shared" si="11"/>
        <v/>
      </c>
      <c r="C82" s="34"/>
      <c r="D82" s="34"/>
      <c r="E82" s="34"/>
      <c r="F82" s="34"/>
      <c r="H82" s="98">
        <v>77</v>
      </c>
      <c r="I82" s="99" t="str">
        <f t="shared" si="7"/>
        <v/>
      </c>
      <c r="J82" s="98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01">
        <f t="shared" si="6"/>
        <v>0</v>
      </c>
      <c r="B83" s="39" t="str">
        <f t="shared" si="11"/>
        <v/>
      </c>
      <c r="C83" s="40"/>
      <c r="D83" s="40"/>
      <c r="E83" s="40"/>
      <c r="F83" s="40"/>
      <c r="H83" s="102">
        <v>78</v>
      </c>
      <c r="I83" s="103" t="str">
        <f t="shared" si="7"/>
        <v/>
      </c>
      <c r="J83" s="102" t="e">
        <f t="shared" si="8"/>
        <v>#NUM!</v>
      </c>
      <c r="K83" s="102" t="e">
        <f t="shared" si="9"/>
        <v>#NUM!</v>
      </c>
      <c r="L83" s="102"/>
      <c r="M83" s="104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97">
        <f t="shared" si="6"/>
        <v>0</v>
      </c>
      <c r="B84" s="33" t="str">
        <f t="shared" si="11"/>
        <v/>
      </c>
      <c r="C84" s="34"/>
      <c r="D84" s="34"/>
      <c r="E84" s="34"/>
      <c r="F84" s="34"/>
      <c r="H84" s="98">
        <v>79</v>
      </c>
      <c r="I84" s="99" t="str">
        <f t="shared" si="7"/>
        <v/>
      </c>
      <c r="J84" s="98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01">
        <f t="shared" si="6"/>
        <v>0</v>
      </c>
      <c r="B85" s="39" t="str">
        <f t="shared" si="11"/>
        <v/>
      </c>
      <c r="C85" s="40"/>
      <c r="D85" s="40"/>
      <c r="E85" s="40"/>
      <c r="F85" s="40"/>
      <c r="H85" s="102">
        <v>80</v>
      </c>
      <c r="I85" s="103" t="str">
        <f t="shared" si="7"/>
        <v/>
      </c>
      <c r="J85" s="102" t="e">
        <f t="shared" si="8"/>
        <v>#NUM!</v>
      </c>
      <c r="K85" s="102" t="e">
        <f t="shared" si="9"/>
        <v>#NUM!</v>
      </c>
      <c r="L85" s="102"/>
      <c r="M85" s="104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97">
        <f t="shared" si="6"/>
        <v>0</v>
      </c>
      <c r="B86" s="33" t="str">
        <f t="shared" si="11"/>
        <v/>
      </c>
      <c r="C86" s="34"/>
      <c r="D86" s="34"/>
      <c r="E86" s="34"/>
      <c r="F86" s="34"/>
      <c r="H86" s="98">
        <v>81</v>
      </c>
      <c r="I86" s="99" t="str">
        <f t="shared" si="7"/>
        <v/>
      </c>
      <c r="J86" s="98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01">
        <f t="shared" si="6"/>
        <v>0</v>
      </c>
      <c r="B87" s="39" t="str">
        <f t="shared" si="11"/>
        <v/>
      </c>
      <c r="C87" s="40"/>
      <c r="D87" s="40"/>
      <c r="E87" s="40"/>
      <c r="F87" s="40"/>
      <c r="H87" s="102">
        <v>82</v>
      </c>
      <c r="I87" s="103" t="str">
        <f t="shared" si="7"/>
        <v/>
      </c>
      <c r="J87" s="102" t="e">
        <f t="shared" si="8"/>
        <v>#NUM!</v>
      </c>
      <c r="K87" s="102" t="e">
        <f t="shared" si="9"/>
        <v>#NUM!</v>
      </c>
      <c r="L87" s="102"/>
      <c r="M87" s="104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97">
        <f t="shared" si="6"/>
        <v>0</v>
      </c>
      <c r="B88" s="33" t="str">
        <f t="shared" si="11"/>
        <v/>
      </c>
      <c r="C88" s="34"/>
      <c r="D88" s="34"/>
      <c r="E88" s="34"/>
      <c r="F88" s="34"/>
      <c r="H88" s="98">
        <v>83</v>
      </c>
      <c r="I88" s="99" t="str">
        <f t="shared" si="7"/>
        <v/>
      </c>
      <c r="J88" s="98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01">
        <f t="shared" si="6"/>
        <v>0</v>
      </c>
      <c r="B89" s="39" t="str">
        <f t="shared" si="11"/>
        <v/>
      </c>
      <c r="C89" s="40"/>
      <c r="D89" s="40"/>
      <c r="E89" s="40"/>
      <c r="F89" s="40"/>
      <c r="H89" s="102">
        <v>84</v>
      </c>
      <c r="I89" s="103" t="str">
        <f t="shared" si="7"/>
        <v/>
      </c>
      <c r="J89" s="102" t="e">
        <f t="shared" si="8"/>
        <v>#NUM!</v>
      </c>
      <c r="K89" s="102" t="e">
        <f t="shared" si="9"/>
        <v>#NUM!</v>
      </c>
      <c r="L89" s="102"/>
      <c r="M89" s="104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97">
        <f t="shared" si="6"/>
        <v>0</v>
      </c>
      <c r="B90" s="33" t="str">
        <f t="shared" si="11"/>
        <v/>
      </c>
      <c r="C90" s="34"/>
      <c r="D90" s="34"/>
      <c r="E90" s="34"/>
      <c r="F90" s="34"/>
      <c r="H90" s="98">
        <v>85</v>
      </c>
      <c r="I90" s="99" t="str">
        <f t="shared" si="7"/>
        <v/>
      </c>
      <c r="J90" s="98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01">
        <f t="shared" si="6"/>
        <v>0</v>
      </c>
      <c r="B91" s="39" t="str">
        <f t="shared" si="11"/>
        <v/>
      </c>
      <c r="C91" s="40"/>
      <c r="D91" s="40"/>
      <c r="E91" s="40"/>
      <c r="F91" s="40"/>
      <c r="H91" s="102">
        <v>86</v>
      </c>
      <c r="I91" s="103" t="str">
        <f t="shared" si="7"/>
        <v/>
      </c>
      <c r="J91" s="102" t="e">
        <f t="shared" si="8"/>
        <v>#NUM!</v>
      </c>
      <c r="K91" s="102" t="e">
        <f t="shared" si="9"/>
        <v>#NUM!</v>
      </c>
      <c r="L91" s="102"/>
      <c r="M91" s="104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97">
        <f t="shared" si="6"/>
        <v>0</v>
      </c>
      <c r="B92" s="33" t="str">
        <f t="shared" si="11"/>
        <v/>
      </c>
      <c r="C92" s="34"/>
      <c r="D92" s="34"/>
      <c r="E92" s="34"/>
      <c r="F92" s="34"/>
      <c r="H92" s="98">
        <v>87</v>
      </c>
      <c r="I92" s="99" t="str">
        <f t="shared" si="7"/>
        <v/>
      </c>
      <c r="J92" s="98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01">
        <f t="shared" si="6"/>
        <v>0</v>
      </c>
      <c r="B93" s="39" t="str">
        <f t="shared" si="11"/>
        <v/>
      </c>
      <c r="C93" s="40"/>
      <c r="D93" s="40"/>
      <c r="E93" s="40"/>
      <c r="F93" s="40"/>
      <c r="H93" s="102">
        <v>88</v>
      </c>
      <c r="I93" s="103" t="str">
        <f t="shared" si="7"/>
        <v/>
      </c>
      <c r="J93" s="102" t="e">
        <f t="shared" si="8"/>
        <v>#NUM!</v>
      </c>
      <c r="K93" s="102" t="e">
        <f t="shared" si="9"/>
        <v>#NUM!</v>
      </c>
      <c r="L93" s="102"/>
      <c r="M93" s="104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97">
        <f t="shared" si="6"/>
        <v>0</v>
      </c>
      <c r="B94" s="33" t="str">
        <f t="shared" si="11"/>
        <v/>
      </c>
      <c r="C94" s="34"/>
      <c r="D94" s="34"/>
      <c r="E94" s="34"/>
      <c r="F94" s="34"/>
      <c r="H94" s="98">
        <v>89</v>
      </c>
      <c r="I94" s="99" t="str">
        <f t="shared" si="7"/>
        <v/>
      </c>
      <c r="J94" s="98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01">
        <f t="shared" si="6"/>
        <v>0</v>
      </c>
      <c r="B95" s="39" t="str">
        <f t="shared" si="11"/>
        <v/>
      </c>
      <c r="C95" s="40"/>
      <c r="D95" s="40"/>
      <c r="E95" s="40"/>
      <c r="F95" s="40"/>
      <c r="H95" s="102">
        <v>90</v>
      </c>
      <c r="I95" s="103" t="str">
        <f t="shared" si="7"/>
        <v/>
      </c>
      <c r="J95" s="102" t="e">
        <f t="shared" si="8"/>
        <v>#NUM!</v>
      </c>
      <c r="K95" s="102" t="e">
        <f t="shared" si="9"/>
        <v>#NUM!</v>
      </c>
      <c r="L95" s="102"/>
      <c r="M95" s="104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97">
        <f t="shared" si="6"/>
        <v>0</v>
      </c>
      <c r="B96" s="33" t="str">
        <f t="shared" si="11"/>
        <v/>
      </c>
      <c r="C96" s="34"/>
      <c r="D96" s="34"/>
      <c r="E96" s="34"/>
      <c r="F96" s="34"/>
      <c r="H96" s="98">
        <v>91</v>
      </c>
      <c r="I96" s="99" t="str">
        <f t="shared" si="7"/>
        <v/>
      </c>
      <c r="J96" s="98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01">
        <f t="shared" si="6"/>
        <v>0</v>
      </c>
      <c r="B97" s="39" t="str">
        <f t="shared" si="11"/>
        <v/>
      </c>
      <c r="C97" s="40"/>
      <c r="D97" s="40"/>
      <c r="E97" s="40"/>
      <c r="F97" s="40"/>
      <c r="H97" s="102">
        <v>92</v>
      </c>
      <c r="I97" s="103" t="str">
        <f t="shared" si="7"/>
        <v/>
      </c>
      <c r="J97" s="102" t="e">
        <f t="shared" si="8"/>
        <v>#NUM!</v>
      </c>
      <c r="K97" s="102" t="e">
        <f t="shared" si="9"/>
        <v>#NUM!</v>
      </c>
      <c r="L97" s="102"/>
      <c r="M97" s="104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97">
        <f t="shared" si="6"/>
        <v>0</v>
      </c>
      <c r="B98" s="33" t="str">
        <f t="shared" si="11"/>
        <v/>
      </c>
      <c r="C98" s="34"/>
      <c r="D98" s="34"/>
      <c r="E98" s="34"/>
      <c r="F98" s="34"/>
      <c r="H98" s="98">
        <v>93</v>
      </c>
      <c r="I98" s="99" t="str">
        <f t="shared" si="7"/>
        <v/>
      </c>
      <c r="J98" s="98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01">
        <f t="shared" si="6"/>
        <v>0</v>
      </c>
      <c r="B99" s="39" t="str">
        <f t="shared" si="11"/>
        <v/>
      </c>
      <c r="C99" s="40"/>
      <c r="D99" s="40"/>
      <c r="E99" s="40"/>
      <c r="F99" s="40"/>
      <c r="H99" s="102">
        <v>94</v>
      </c>
      <c r="I99" s="103" t="str">
        <f t="shared" si="7"/>
        <v/>
      </c>
      <c r="J99" s="102" t="e">
        <f t="shared" si="8"/>
        <v>#NUM!</v>
      </c>
      <c r="K99" s="102" t="e">
        <f t="shared" si="9"/>
        <v>#NUM!</v>
      </c>
      <c r="L99" s="102"/>
      <c r="M99" s="104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97">
        <f t="shared" si="6"/>
        <v>0</v>
      </c>
      <c r="B100" s="33" t="str">
        <f t="shared" si="11"/>
        <v/>
      </c>
      <c r="C100" s="34"/>
      <c r="D100" s="34"/>
      <c r="E100" s="34"/>
      <c r="F100" s="34"/>
      <c r="H100" s="98">
        <v>95</v>
      </c>
      <c r="I100" s="99" t="str">
        <f t="shared" si="7"/>
        <v/>
      </c>
      <c r="J100" s="98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01">
        <f t="shared" si="6"/>
        <v>0</v>
      </c>
      <c r="B101" s="39" t="str">
        <f t="shared" si="11"/>
        <v/>
      </c>
      <c r="C101" s="40"/>
      <c r="D101" s="40"/>
      <c r="E101" s="40"/>
      <c r="F101" s="40"/>
      <c r="H101" s="102">
        <v>96</v>
      </c>
      <c r="I101" s="103" t="str">
        <f t="shared" si="7"/>
        <v/>
      </c>
      <c r="J101" s="102" t="e">
        <f t="shared" si="8"/>
        <v>#NUM!</v>
      </c>
      <c r="K101" s="102" t="e">
        <f t="shared" si="9"/>
        <v>#NUM!</v>
      </c>
      <c r="L101" s="102"/>
      <c r="M101" s="104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97">
        <f t="shared" si="6"/>
        <v>0</v>
      </c>
      <c r="B102" s="33" t="str">
        <f t="shared" si="11"/>
        <v/>
      </c>
      <c r="C102" s="34"/>
      <c r="D102" s="34"/>
      <c r="E102" s="34"/>
      <c r="F102" s="34"/>
      <c r="H102" s="98">
        <v>97</v>
      </c>
      <c r="I102" s="99" t="str">
        <f t="shared" si="7"/>
        <v/>
      </c>
      <c r="J102" s="98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01">
        <f t="shared" si="6"/>
        <v>0</v>
      </c>
      <c r="B103" s="39" t="str">
        <f t="shared" si="11"/>
        <v/>
      </c>
      <c r="C103" s="40"/>
      <c r="D103" s="40"/>
      <c r="E103" s="40"/>
      <c r="F103" s="40"/>
      <c r="H103" s="102">
        <v>98</v>
      </c>
      <c r="I103" s="103" t="str">
        <f t="shared" si="7"/>
        <v/>
      </c>
      <c r="J103" s="102" t="e">
        <f t="shared" si="8"/>
        <v>#NUM!</v>
      </c>
      <c r="K103" s="102" t="e">
        <f t="shared" si="9"/>
        <v>#NUM!</v>
      </c>
      <c r="L103" s="102"/>
      <c r="M103" s="104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97">
        <f t="shared" si="6"/>
        <v>0</v>
      </c>
      <c r="B104" s="33" t="str">
        <f t="shared" si="11"/>
        <v/>
      </c>
      <c r="C104" s="34"/>
      <c r="D104" s="34"/>
      <c r="E104" s="34"/>
      <c r="F104" s="34"/>
      <c r="H104" s="98">
        <v>99</v>
      </c>
      <c r="I104" s="99" t="str">
        <f t="shared" si="7"/>
        <v/>
      </c>
      <c r="J104" s="98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01">
        <f t="shared" si="6"/>
        <v>0</v>
      </c>
      <c r="B105" s="39" t="str">
        <f t="shared" si="11"/>
        <v/>
      </c>
      <c r="C105" s="40"/>
      <c r="D105" s="40"/>
      <c r="E105" s="40"/>
      <c r="F105" s="40"/>
      <c r="H105" s="102">
        <v>100</v>
      </c>
      <c r="I105" s="103" t="str">
        <f t="shared" si="7"/>
        <v/>
      </c>
      <c r="J105" s="102" t="e">
        <f t="shared" si="8"/>
        <v>#NUM!</v>
      </c>
      <c r="K105" s="102" t="e">
        <f t="shared" si="9"/>
        <v>#NUM!</v>
      </c>
      <c r="L105" s="102"/>
      <c r="M105" s="104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97">
        <f t="shared" si="6"/>
        <v>0</v>
      </c>
      <c r="B106" s="33" t="str">
        <f t="shared" si="11"/>
        <v/>
      </c>
      <c r="C106" s="34"/>
      <c r="D106" s="34"/>
      <c r="E106" s="34"/>
      <c r="F106" s="34"/>
      <c r="H106" s="98">
        <v>101</v>
      </c>
      <c r="I106" s="99" t="str">
        <f t="shared" si="7"/>
        <v/>
      </c>
      <c r="J106" s="98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01">
        <f t="shared" si="6"/>
        <v>0</v>
      </c>
      <c r="B107" s="39" t="str">
        <f t="shared" si="11"/>
        <v/>
      </c>
      <c r="C107" s="40"/>
      <c r="D107" s="40"/>
      <c r="E107" s="40"/>
      <c r="F107" s="40"/>
      <c r="H107" s="102">
        <v>102</v>
      </c>
      <c r="I107" s="103" t="str">
        <f t="shared" si="7"/>
        <v/>
      </c>
      <c r="J107" s="102" t="e">
        <f t="shared" si="8"/>
        <v>#NUM!</v>
      </c>
      <c r="K107" s="102" t="e">
        <f t="shared" si="9"/>
        <v>#NUM!</v>
      </c>
      <c r="L107" s="102"/>
      <c r="M107" s="104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97">
        <f t="shared" si="6"/>
        <v>0</v>
      </c>
      <c r="B108" s="33" t="str">
        <f t="shared" si="11"/>
        <v/>
      </c>
      <c r="C108" s="34"/>
      <c r="D108" s="34"/>
      <c r="E108" s="34"/>
      <c r="F108" s="34"/>
      <c r="H108" s="98">
        <v>103</v>
      </c>
      <c r="I108" s="99" t="str">
        <f t="shared" si="7"/>
        <v/>
      </c>
      <c r="J108" s="98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01">
        <f t="shared" si="6"/>
        <v>0</v>
      </c>
      <c r="B109" s="39" t="str">
        <f t="shared" si="11"/>
        <v/>
      </c>
      <c r="C109" s="40"/>
      <c r="D109" s="40"/>
      <c r="E109" s="40"/>
      <c r="F109" s="40"/>
      <c r="H109" s="102">
        <v>104</v>
      </c>
      <c r="I109" s="103" t="str">
        <f t="shared" si="7"/>
        <v/>
      </c>
      <c r="J109" s="102" t="e">
        <f t="shared" si="8"/>
        <v>#NUM!</v>
      </c>
      <c r="K109" s="102" t="e">
        <f t="shared" si="9"/>
        <v>#NUM!</v>
      </c>
      <c r="L109" s="102"/>
      <c r="M109" s="104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97">
        <f t="shared" si="6"/>
        <v>0</v>
      </c>
      <c r="B110" s="33" t="str">
        <f t="shared" si="11"/>
        <v/>
      </c>
      <c r="C110" s="34"/>
      <c r="D110" s="34"/>
      <c r="E110" s="34"/>
      <c r="F110" s="34"/>
      <c r="H110" s="98">
        <v>105</v>
      </c>
      <c r="I110" s="99" t="str">
        <f t="shared" si="7"/>
        <v/>
      </c>
      <c r="J110" s="98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01">
        <f t="shared" si="6"/>
        <v>0</v>
      </c>
      <c r="B111" s="39" t="str">
        <f t="shared" si="11"/>
        <v/>
      </c>
      <c r="C111" s="40"/>
      <c r="D111" s="40"/>
      <c r="E111" s="40"/>
      <c r="F111" s="40"/>
      <c r="H111" s="102">
        <v>106</v>
      </c>
      <c r="I111" s="103" t="str">
        <f t="shared" si="7"/>
        <v/>
      </c>
      <c r="J111" s="102" t="e">
        <f t="shared" si="8"/>
        <v>#NUM!</v>
      </c>
      <c r="K111" s="102" t="e">
        <f t="shared" si="9"/>
        <v>#NUM!</v>
      </c>
      <c r="L111" s="102"/>
      <c r="M111" s="104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97">
        <f t="shared" si="6"/>
        <v>0</v>
      </c>
      <c r="B112" s="33" t="str">
        <f t="shared" si="11"/>
        <v/>
      </c>
      <c r="C112" s="34"/>
      <c r="D112" s="34"/>
      <c r="E112" s="34"/>
      <c r="F112" s="34"/>
      <c r="H112" s="98">
        <v>107</v>
      </c>
      <c r="I112" s="99" t="str">
        <f t="shared" si="7"/>
        <v/>
      </c>
      <c r="J112" s="98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01">
        <f t="shared" si="6"/>
        <v>0</v>
      </c>
      <c r="B113" s="39" t="str">
        <f t="shared" si="11"/>
        <v/>
      </c>
      <c r="C113" s="40"/>
      <c r="D113" s="40"/>
      <c r="E113" s="40"/>
      <c r="F113" s="40"/>
      <c r="H113" s="102">
        <v>108</v>
      </c>
      <c r="I113" s="103" t="str">
        <f t="shared" si="7"/>
        <v/>
      </c>
      <c r="J113" s="102" t="e">
        <f t="shared" si="8"/>
        <v>#NUM!</v>
      </c>
      <c r="K113" s="102" t="e">
        <f t="shared" si="9"/>
        <v>#NUM!</v>
      </c>
      <c r="L113" s="102"/>
      <c r="M113" s="104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97">
        <f t="shared" si="6"/>
        <v>0</v>
      </c>
      <c r="B114" s="33" t="str">
        <f t="shared" si="11"/>
        <v/>
      </c>
      <c r="C114" s="34"/>
      <c r="D114" s="34"/>
      <c r="E114" s="34"/>
      <c r="F114" s="34"/>
      <c r="H114" s="98">
        <v>109</v>
      </c>
      <c r="I114" s="99" t="str">
        <f t="shared" si="7"/>
        <v/>
      </c>
      <c r="J114" s="98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01">
        <f t="shared" si="6"/>
        <v>0</v>
      </c>
      <c r="B115" s="39" t="str">
        <f t="shared" si="11"/>
        <v/>
      </c>
      <c r="C115" s="40"/>
      <c r="D115" s="40"/>
      <c r="E115" s="40"/>
      <c r="F115" s="40"/>
      <c r="H115" s="102">
        <v>110</v>
      </c>
      <c r="I115" s="103" t="str">
        <f t="shared" si="7"/>
        <v/>
      </c>
      <c r="J115" s="102" t="e">
        <f t="shared" si="8"/>
        <v>#NUM!</v>
      </c>
      <c r="K115" s="102" t="e">
        <f t="shared" si="9"/>
        <v>#NUM!</v>
      </c>
      <c r="L115" s="102"/>
      <c r="M115" s="104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97">
        <f t="shared" si="6"/>
        <v>0</v>
      </c>
      <c r="B116" s="33" t="str">
        <f t="shared" si="11"/>
        <v/>
      </c>
      <c r="C116" s="34"/>
      <c r="D116" s="34"/>
      <c r="E116" s="34"/>
      <c r="F116" s="34"/>
      <c r="H116" s="98">
        <v>111</v>
      </c>
      <c r="I116" s="99" t="str">
        <f t="shared" si="7"/>
        <v/>
      </c>
      <c r="J116" s="98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01">
        <f t="shared" si="6"/>
        <v>0</v>
      </c>
      <c r="B117" s="39" t="str">
        <f t="shared" si="11"/>
        <v/>
      </c>
      <c r="C117" s="40"/>
      <c r="D117" s="40"/>
      <c r="E117" s="40"/>
      <c r="F117" s="40"/>
      <c r="H117" s="102">
        <v>112</v>
      </c>
      <c r="I117" s="103" t="str">
        <f t="shared" si="7"/>
        <v/>
      </c>
      <c r="J117" s="102" t="e">
        <f t="shared" si="8"/>
        <v>#NUM!</v>
      </c>
      <c r="K117" s="102" t="e">
        <f t="shared" si="9"/>
        <v>#NUM!</v>
      </c>
      <c r="L117" s="102"/>
      <c r="M117" s="104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97">
        <f t="shared" si="6"/>
        <v>0</v>
      </c>
      <c r="B118" s="33" t="str">
        <f t="shared" si="11"/>
        <v/>
      </c>
      <c r="C118" s="34"/>
      <c r="D118" s="34"/>
      <c r="E118" s="34"/>
      <c r="F118" s="34"/>
      <c r="H118" s="98">
        <v>113</v>
      </c>
      <c r="I118" s="99" t="str">
        <f t="shared" si="7"/>
        <v/>
      </c>
      <c r="J118" s="98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01">
        <f t="shared" si="6"/>
        <v>0</v>
      </c>
      <c r="B119" s="39" t="str">
        <f t="shared" si="11"/>
        <v/>
      </c>
      <c r="C119" s="40"/>
      <c r="D119" s="40"/>
      <c r="E119" s="40"/>
      <c r="F119" s="40"/>
      <c r="H119" s="102">
        <v>114</v>
      </c>
      <c r="I119" s="103" t="str">
        <f t="shared" si="7"/>
        <v/>
      </c>
      <c r="J119" s="102" t="e">
        <f t="shared" si="8"/>
        <v>#NUM!</v>
      </c>
      <c r="K119" s="102" t="e">
        <f t="shared" si="9"/>
        <v>#NUM!</v>
      </c>
      <c r="L119" s="102"/>
      <c r="M119" s="104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97">
        <f t="shared" si="6"/>
        <v>0</v>
      </c>
      <c r="B120" s="33" t="str">
        <f t="shared" si="11"/>
        <v/>
      </c>
      <c r="C120" s="34"/>
      <c r="D120" s="34"/>
      <c r="E120" s="34"/>
      <c r="F120" s="34"/>
      <c r="H120" s="98">
        <v>115</v>
      </c>
      <c r="I120" s="99" t="str">
        <f t="shared" si="7"/>
        <v/>
      </c>
      <c r="J120" s="98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01">
        <f t="shared" si="6"/>
        <v>0</v>
      </c>
      <c r="B121" s="39" t="str">
        <f t="shared" si="11"/>
        <v/>
      </c>
      <c r="C121" s="40"/>
      <c r="D121" s="40"/>
      <c r="E121" s="40"/>
      <c r="F121" s="40"/>
      <c r="H121" s="102">
        <v>116</v>
      </c>
      <c r="I121" s="103" t="str">
        <f t="shared" si="7"/>
        <v/>
      </c>
      <c r="J121" s="102" t="e">
        <f t="shared" si="8"/>
        <v>#NUM!</v>
      </c>
      <c r="K121" s="102" t="e">
        <f t="shared" si="9"/>
        <v>#NUM!</v>
      </c>
      <c r="L121" s="102"/>
      <c r="M121" s="104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97">
        <f t="shared" si="6"/>
        <v>0</v>
      </c>
      <c r="B122" s="33" t="str">
        <f t="shared" si="11"/>
        <v/>
      </c>
      <c r="C122" s="34"/>
      <c r="D122" s="34"/>
      <c r="E122" s="34"/>
      <c r="F122" s="34"/>
      <c r="H122" s="98">
        <v>117</v>
      </c>
      <c r="I122" s="99" t="str">
        <f t="shared" si="7"/>
        <v/>
      </c>
      <c r="J122" s="98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01">
        <f t="shared" si="6"/>
        <v>0</v>
      </c>
      <c r="B123" s="39" t="str">
        <f t="shared" si="11"/>
        <v/>
      </c>
      <c r="C123" s="40"/>
      <c r="D123" s="40"/>
      <c r="E123" s="40"/>
      <c r="F123" s="40"/>
      <c r="H123" s="102">
        <v>118</v>
      </c>
      <c r="I123" s="103" t="str">
        <f t="shared" si="7"/>
        <v/>
      </c>
      <c r="J123" s="102" t="e">
        <f t="shared" si="8"/>
        <v>#NUM!</v>
      </c>
      <c r="K123" s="102" t="e">
        <f t="shared" si="9"/>
        <v>#NUM!</v>
      </c>
      <c r="L123" s="102"/>
      <c r="M123" s="104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97">
        <f t="shared" si="6"/>
        <v>0</v>
      </c>
      <c r="B124" s="33" t="str">
        <f t="shared" si="11"/>
        <v/>
      </c>
      <c r="C124" s="34"/>
      <c r="D124" s="34"/>
      <c r="E124" s="34"/>
      <c r="F124" s="34"/>
      <c r="H124" s="98">
        <v>119</v>
      </c>
      <c r="I124" s="99" t="str">
        <f t="shared" si="7"/>
        <v/>
      </c>
      <c r="J124" s="98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01">
        <f t="shared" si="6"/>
        <v>0</v>
      </c>
      <c r="B125" s="39" t="str">
        <f t="shared" si="11"/>
        <v/>
      </c>
      <c r="C125" s="40"/>
      <c r="D125" s="40"/>
      <c r="E125" s="40"/>
      <c r="F125" s="40"/>
      <c r="H125" s="102">
        <v>120</v>
      </c>
      <c r="I125" s="103" t="str">
        <f t="shared" si="7"/>
        <v/>
      </c>
      <c r="J125" s="102" t="e">
        <f t="shared" si="8"/>
        <v>#NUM!</v>
      </c>
      <c r="K125" s="102" t="e">
        <f t="shared" si="9"/>
        <v>#NUM!</v>
      </c>
      <c r="L125" s="102"/>
      <c r="M125" s="104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97">
        <f t="shared" si="6"/>
        <v>0</v>
      </c>
      <c r="B126" s="33" t="str">
        <f t="shared" si="11"/>
        <v/>
      </c>
      <c r="C126" s="34"/>
      <c r="D126" s="34"/>
      <c r="E126" s="34"/>
      <c r="F126" s="34"/>
      <c r="H126" s="98">
        <v>121</v>
      </c>
      <c r="I126" s="99" t="str">
        <f t="shared" si="7"/>
        <v/>
      </c>
      <c r="J126" s="98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01">
        <f t="shared" si="6"/>
        <v>0</v>
      </c>
      <c r="B127" s="39" t="str">
        <f t="shared" si="11"/>
        <v/>
      </c>
      <c r="C127" s="40"/>
      <c r="D127" s="40"/>
      <c r="E127" s="40"/>
      <c r="F127" s="40"/>
      <c r="H127" s="102">
        <v>122</v>
      </c>
      <c r="I127" s="103" t="str">
        <f t="shared" si="7"/>
        <v/>
      </c>
      <c r="J127" s="102" t="e">
        <f t="shared" si="8"/>
        <v>#NUM!</v>
      </c>
      <c r="K127" s="102" t="e">
        <f t="shared" si="9"/>
        <v>#NUM!</v>
      </c>
      <c r="L127" s="102"/>
      <c r="M127" s="104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97">
        <f t="shared" si="6"/>
        <v>0</v>
      </c>
      <c r="B128" s="33" t="str">
        <f t="shared" si="11"/>
        <v/>
      </c>
      <c r="C128" s="34"/>
      <c r="D128" s="34"/>
      <c r="E128" s="34"/>
      <c r="F128" s="34"/>
      <c r="H128" s="98">
        <v>123</v>
      </c>
      <c r="I128" s="99" t="str">
        <f t="shared" si="7"/>
        <v/>
      </c>
      <c r="J128" s="98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01">
        <f t="shared" si="6"/>
        <v>0</v>
      </c>
      <c r="B129" s="39" t="str">
        <f t="shared" si="11"/>
        <v/>
      </c>
      <c r="C129" s="40"/>
      <c r="D129" s="40"/>
      <c r="E129" s="40"/>
      <c r="F129" s="40"/>
      <c r="H129" s="102">
        <v>124</v>
      </c>
      <c r="I129" s="103" t="str">
        <f t="shared" si="7"/>
        <v/>
      </c>
      <c r="J129" s="102" t="e">
        <f t="shared" si="8"/>
        <v>#NUM!</v>
      </c>
      <c r="K129" s="102" t="e">
        <f t="shared" si="9"/>
        <v>#NUM!</v>
      </c>
      <c r="L129" s="102"/>
      <c r="M129" s="104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97">
        <f t="shared" si="6"/>
        <v>0</v>
      </c>
      <c r="B130" s="33" t="str">
        <f t="shared" si="11"/>
        <v/>
      </c>
      <c r="C130" s="34"/>
      <c r="D130" s="34"/>
      <c r="E130" s="34"/>
      <c r="F130" s="34"/>
      <c r="H130" s="98">
        <v>125</v>
      </c>
      <c r="I130" s="99" t="str">
        <f t="shared" si="7"/>
        <v/>
      </c>
      <c r="J130" s="98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01">
        <f t="shared" si="6"/>
        <v>0</v>
      </c>
      <c r="B131" s="39" t="str">
        <f t="shared" si="11"/>
        <v/>
      </c>
      <c r="C131" s="40"/>
      <c r="D131" s="40"/>
      <c r="E131" s="40"/>
      <c r="F131" s="40"/>
      <c r="H131" s="102">
        <v>126</v>
      </c>
      <c r="I131" s="103" t="str">
        <f t="shared" si="7"/>
        <v/>
      </c>
      <c r="J131" s="102" t="e">
        <f t="shared" si="8"/>
        <v>#NUM!</v>
      </c>
      <c r="K131" s="102" t="e">
        <f t="shared" si="9"/>
        <v>#NUM!</v>
      </c>
      <c r="L131" s="102"/>
      <c r="M131" s="104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97">
        <f t="shared" si="6"/>
        <v>0</v>
      </c>
      <c r="B132" s="33" t="str">
        <f t="shared" si="11"/>
        <v/>
      </c>
      <c r="C132" s="34"/>
      <c r="D132" s="34"/>
      <c r="E132" s="34"/>
      <c r="F132" s="34"/>
      <c r="H132" s="98">
        <v>127</v>
      </c>
      <c r="I132" s="99" t="str">
        <f t="shared" si="7"/>
        <v/>
      </c>
      <c r="J132" s="98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01">
        <f t="shared" si="6"/>
        <v>0</v>
      </c>
      <c r="B133" s="39" t="str">
        <f t="shared" si="11"/>
        <v/>
      </c>
      <c r="C133" s="40"/>
      <c r="D133" s="40"/>
      <c r="E133" s="40"/>
      <c r="F133" s="40"/>
      <c r="H133" s="102">
        <v>128</v>
      </c>
      <c r="I133" s="103" t="str">
        <f t="shared" si="7"/>
        <v/>
      </c>
      <c r="J133" s="102" t="e">
        <f t="shared" si="8"/>
        <v>#NUM!</v>
      </c>
      <c r="K133" s="102" t="e">
        <f t="shared" si="9"/>
        <v>#NUM!</v>
      </c>
      <c r="L133" s="102"/>
      <c r="M133" s="104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97">
        <f t="shared" ref="A134:A140" si="12">M134</f>
        <v>0</v>
      </c>
      <c r="B134" s="33" t="str">
        <f t="shared" si="11"/>
        <v/>
      </c>
      <c r="C134" s="34"/>
      <c r="D134" s="34"/>
      <c r="E134" s="34"/>
      <c r="F134" s="34"/>
      <c r="H134" s="98">
        <v>129</v>
      </c>
      <c r="I134" s="99" t="str">
        <f t="shared" ref="I134:I197" si="13">IF(H134&lt;$H$2+1,($I$2-($I$2-1)*(LOG(H134)/LOG($H$2))),"")</f>
        <v/>
      </c>
      <c r="J134" s="98" t="e">
        <f t="shared" ref="J134:J197" si="14">INT(LOG($H$2,2))-ROUNDUP(LOG(H134,2),0)+IF(OR($H$2=1,$H$2=2,$H$2=4,$H$2=8,$H$2=16,$H$2=32,$H$2=64,$H$2=128,$H$2=256),0,1)</f>
        <v>#NUM!</v>
      </c>
      <c r="K134" s="98" t="e">
        <f t="shared" ref="K134:K197" si="15">J134*$J$2</f>
        <v>#NUM!</v>
      </c>
      <c r="L134" s="98"/>
      <c r="M134" s="100">
        <f t="shared" ref="M134:M197" si="16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01">
        <f t="shared" si="12"/>
        <v>0</v>
      </c>
      <c r="B135" s="39" t="str">
        <f t="shared" si="11"/>
        <v/>
      </c>
      <c r="C135" s="40"/>
      <c r="D135" s="40"/>
      <c r="E135" s="40"/>
      <c r="F135" s="40"/>
      <c r="H135" s="102">
        <v>130</v>
      </c>
      <c r="I135" s="103" t="str">
        <f t="shared" si="13"/>
        <v/>
      </c>
      <c r="J135" s="102" t="e">
        <f t="shared" si="14"/>
        <v>#NUM!</v>
      </c>
      <c r="K135" s="102" t="e">
        <f t="shared" si="15"/>
        <v>#NUM!</v>
      </c>
      <c r="L135" s="102"/>
      <c r="M135" s="104">
        <f t="shared" si="16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97">
        <f t="shared" si="12"/>
        <v>0</v>
      </c>
      <c r="B136" s="33" t="str">
        <f t="shared" si="11"/>
        <v/>
      </c>
      <c r="C136" s="34"/>
      <c r="D136" s="34"/>
      <c r="E136" s="34"/>
      <c r="F136" s="34"/>
      <c r="H136" s="98">
        <v>131</v>
      </c>
      <c r="I136" s="99" t="str">
        <f t="shared" si="13"/>
        <v/>
      </c>
      <c r="J136" s="98" t="e">
        <f t="shared" si="14"/>
        <v>#NUM!</v>
      </c>
      <c r="K136" s="98" t="e">
        <f t="shared" si="15"/>
        <v>#NUM!</v>
      </c>
      <c r="L136" s="98"/>
      <c r="M136" s="100">
        <f t="shared" si="16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01">
        <f t="shared" si="12"/>
        <v>0</v>
      </c>
      <c r="B137" s="39" t="str">
        <f t="shared" si="11"/>
        <v/>
      </c>
      <c r="C137" s="40"/>
      <c r="D137" s="40"/>
      <c r="E137" s="40"/>
      <c r="F137" s="40"/>
      <c r="H137" s="102">
        <v>132</v>
      </c>
      <c r="I137" s="103" t="str">
        <f t="shared" si="13"/>
        <v/>
      </c>
      <c r="J137" s="102" t="e">
        <f t="shared" si="14"/>
        <v>#NUM!</v>
      </c>
      <c r="K137" s="102" t="e">
        <f t="shared" si="15"/>
        <v>#NUM!</v>
      </c>
      <c r="L137" s="102"/>
      <c r="M137" s="104">
        <f t="shared" si="16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97">
        <f t="shared" si="12"/>
        <v>0</v>
      </c>
      <c r="B138" s="33" t="str">
        <f t="shared" ref="B138:B140" si="17">IF(H138&gt;$H$2,"",(ROW()-5))</f>
        <v/>
      </c>
      <c r="C138" s="34"/>
      <c r="D138" s="34"/>
      <c r="E138" s="34"/>
      <c r="F138" s="34"/>
      <c r="H138" s="98">
        <v>133</v>
      </c>
      <c r="I138" s="99" t="str">
        <f t="shared" si="13"/>
        <v/>
      </c>
      <c r="J138" s="98" t="e">
        <f t="shared" si="14"/>
        <v>#NUM!</v>
      </c>
      <c r="K138" s="98" t="e">
        <f t="shared" si="15"/>
        <v>#NUM!</v>
      </c>
      <c r="L138" s="98"/>
      <c r="M138" s="100">
        <f t="shared" si="16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01">
        <f t="shared" si="12"/>
        <v>0</v>
      </c>
      <c r="B139" s="39" t="str">
        <f t="shared" si="17"/>
        <v/>
      </c>
      <c r="C139" s="40"/>
      <c r="D139" s="40"/>
      <c r="E139" s="40"/>
      <c r="F139" s="40"/>
      <c r="H139" s="102">
        <v>134</v>
      </c>
      <c r="I139" s="103" t="str">
        <f t="shared" si="13"/>
        <v/>
      </c>
      <c r="J139" s="102" t="e">
        <f t="shared" si="14"/>
        <v>#NUM!</v>
      </c>
      <c r="K139" s="102" t="e">
        <f t="shared" si="15"/>
        <v>#NUM!</v>
      </c>
      <c r="L139" s="102"/>
      <c r="M139" s="104">
        <f t="shared" si="16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97">
        <f t="shared" si="12"/>
        <v>0</v>
      </c>
      <c r="B140" s="33" t="str">
        <f t="shared" si="17"/>
        <v/>
      </c>
      <c r="C140" s="34"/>
      <c r="D140" s="34"/>
      <c r="E140" s="34"/>
      <c r="F140" s="34"/>
      <c r="H140" s="98">
        <v>135</v>
      </c>
      <c r="I140" s="99" t="str">
        <f t="shared" si="13"/>
        <v/>
      </c>
      <c r="J140" s="98" t="e">
        <f t="shared" si="14"/>
        <v>#NUM!</v>
      </c>
      <c r="K140" s="98" t="e">
        <f t="shared" si="15"/>
        <v>#NUM!</v>
      </c>
      <c r="L140" s="98"/>
      <c r="M140" s="100">
        <f t="shared" si="16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x14ac:dyDescent="0.25">
      <c r="A141" s="119"/>
      <c r="G141" s="83"/>
      <c r="H141" s="102">
        <v>136</v>
      </c>
      <c r="I141" s="99" t="str">
        <f t="shared" si="13"/>
        <v/>
      </c>
      <c r="J141" s="98" t="e">
        <f t="shared" si="14"/>
        <v>#NUM!</v>
      </c>
      <c r="K141" s="98" t="e">
        <f t="shared" si="15"/>
        <v>#NUM!</v>
      </c>
      <c r="L141" s="98"/>
      <c r="M141" s="100">
        <f t="shared" si="16"/>
        <v>0</v>
      </c>
    </row>
    <row r="142" spans="1:38" x14ac:dyDescent="0.25">
      <c r="A142" s="119"/>
      <c r="G142" s="83"/>
      <c r="H142" s="98">
        <v>137</v>
      </c>
      <c r="I142" s="99" t="str">
        <f t="shared" si="13"/>
        <v/>
      </c>
      <c r="J142" s="98" t="e">
        <f t="shared" si="14"/>
        <v>#NUM!</v>
      </c>
      <c r="K142" s="98" t="e">
        <f t="shared" si="15"/>
        <v>#NUM!</v>
      </c>
      <c r="L142" s="98"/>
      <c r="M142" s="100">
        <f t="shared" si="16"/>
        <v>0</v>
      </c>
    </row>
    <row r="143" spans="1:38" x14ac:dyDescent="0.25">
      <c r="A143" s="119"/>
      <c r="G143" s="83"/>
      <c r="H143" s="102">
        <v>138</v>
      </c>
      <c r="I143" s="99" t="str">
        <f t="shared" si="13"/>
        <v/>
      </c>
      <c r="J143" s="98" t="e">
        <f t="shared" si="14"/>
        <v>#NUM!</v>
      </c>
      <c r="K143" s="98" t="e">
        <f t="shared" si="15"/>
        <v>#NUM!</v>
      </c>
      <c r="L143" s="98"/>
      <c r="M143" s="100">
        <f t="shared" si="16"/>
        <v>0</v>
      </c>
    </row>
    <row r="144" spans="1:38" x14ac:dyDescent="0.25">
      <c r="A144" s="119"/>
      <c r="G144" s="83"/>
      <c r="H144" s="98">
        <v>139</v>
      </c>
      <c r="I144" s="99" t="str">
        <f t="shared" si="13"/>
        <v/>
      </c>
      <c r="J144" s="98" t="e">
        <f t="shared" si="14"/>
        <v>#NUM!</v>
      </c>
      <c r="K144" s="98" t="e">
        <f t="shared" si="15"/>
        <v>#NUM!</v>
      </c>
      <c r="L144" s="98"/>
      <c r="M144" s="100">
        <f t="shared" si="16"/>
        <v>0</v>
      </c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102">
        <v>140</v>
      </c>
      <c r="I145" s="99" t="str">
        <f t="shared" si="13"/>
        <v/>
      </c>
      <c r="J145" s="98" t="e">
        <f t="shared" si="14"/>
        <v>#NUM!</v>
      </c>
      <c r="K145" s="98" t="e">
        <f t="shared" si="15"/>
        <v>#NUM!</v>
      </c>
      <c r="L145" s="98"/>
      <c r="M145" s="100">
        <f t="shared" si="16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3"/>
        <v/>
      </c>
      <c r="J146" s="98" t="e">
        <f t="shared" si="14"/>
        <v>#NUM!</v>
      </c>
      <c r="K146" s="98" t="e">
        <f t="shared" si="15"/>
        <v>#NUM!</v>
      </c>
      <c r="L146" s="98"/>
      <c r="M146" s="100">
        <f t="shared" si="16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102">
        <v>142</v>
      </c>
      <c r="I147" s="99" t="str">
        <f t="shared" si="13"/>
        <v/>
      </c>
      <c r="J147" s="98" t="e">
        <f t="shared" si="14"/>
        <v>#NUM!</v>
      </c>
      <c r="K147" s="98" t="e">
        <f t="shared" si="15"/>
        <v>#NUM!</v>
      </c>
      <c r="L147" s="98"/>
      <c r="M147" s="100">
        <f t="shared" si="16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3"/>
        <v/>
      </c>
      <c r="J148" s="98" t="e">
        <f t="shared" si="14"/>
        <v>#NUM!</v>
      </c>
      <c r="K148" s="98" t="e">
        <f t="shared" si="15"/>
        <v>#NUM!</v>
      </c>
      <c r="L148" s="98"/>
      <c r="M148" s="100">
        <f t="shared" si="16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102">
        <v>144</v>
      </c>
      <c r="I149" s="99" t="str">
        <f t="shared" si="13"/>
        <v/>
      </c>
      <c r="J149" s="98" t="e">
        <f t="shared" si="14"/>
        <v>#NUM!</v>
      </c>
      <c r="K149" s="98" t="e">
        <f t="shared" si="15"/>
        <v>#NUM!</v>
      </c>
      <c r="L149" s="98"/>
      <c r="M149" s="100">
        <f t="shared" si="16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3"/>
        <v/>
      </c>
      <c r="J150" s="98" t="e">
        <f t="shared" si="14"/>
        <v>#NUM!</v>
      </c>
      <c r="K150" s="98" t="e">
        <f t="shared" si="15"/>
        <v>#NUM!</v>
      </c>
      <c r="L150" s="98"/>
      <c r="M150" s="100">
        <f t="shared" si="16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102">
        <v>146</v>
      </c>
      <c r="I151" s="99" t="str">
        <f t="shared" si="13"/>
        <v/>
      </c>
      <c r="J151" s="98" t="e">
        <f t="shared" si="14"/>
        <v>#NUM!</v>
      </c>
      <c r="K151" s="98" t="e">
        <f t="shared" si="15"/>
        <v>#NUM!</v>
      </c>
      <c r="L151" s="98"/>
      <c r="M151" s="100">
        <f t="shared" si="16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3"/>
        <v/>
      </c>
      <c r="J152" s="98" t="e">
        <f t="shared" si="14"/>
        <v>#NUM!</v>
      </c>
      <c r="K152" s="98" t="e">
        <f t="shared" si="15"/>
        <v>#NUM!</v>
      </c>
      <c r="L152" s="98"/>
      <c r="M152" s="100">
        <f t="shared" si="16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102">
        <v>148</v>
      </c>
      <c r="I153" s="99" t="str">
        <f t="shared" si="13"/>
        <v/>
      </c>
      <c r="J153" s="98" t="e">
        <f t="shared" si="14"/>
        <v>#NUM!</v>
      </c>
      <c r="K153" s="98" t="e">
        <f t="shared" si="15"/>
        <v>#NUM!</v>
      </c>
      <c r="L153" s="98"/>
      <c r="M153" s="100">
        <f t="shared" si="16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3"/>
        <v/>
      </c>
      <c r="J154" s="98" t="e">
        <f t="shared" si="14"/>
        <v>#NUM!</v>
      </c>
      <c r="K154" s="98" t="e">
        <f t="shared" si="15"/>
        <v>#NUM!</v>
      </c>
      <c r="L154" s="98"/>
      <c r="M154" s="100">
        <f t="shared" si="16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102">
        <v>150</v>
      </c>
      <c r="I155" s="99" t="str">
        <f t="shared" si="13"/>
        <v/>
      </c>
      <c r="J155" s="98" t="e">
        <f t="shared" si="14"/>
        <v>#NUM!</v>
      </c>
      <c r="K155" s="98" t="e">
        <f t="shared" si="15"/>
        <v>#NUM!</v>
      </c>
      <c r="L155" s="98"/>
      <c r="M155" s="100">
        <f t="shared" si="16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3"/>
        <v/>
      </c>
      <c r="J156" s="98" t="e">
        <f t="shared" si="14"/>
        <v>#NUM!</v>
      </c>
      <c r="K156" s="98" t="e">
        <f t="shared" si="15"/>
        <v>#NUM!</v>
      </c>
      <c r="L156" s="98"/>
      <c r="M156" s="100">
        <f t="shared" si="16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102">
        <v>152</v>
      </c>
      <c r="I157" s="99" t="str">
        <f t="shared" si="13"/>
        <v/>
      </c>
      <c r="J157" s="98" t="e">
        <f t="shared" si="14"/>
        <v>#NUM!</v>
      </c>
      <c r="K157" s="98" t="e">
        <f t="shared" si="15"/>
        <v>#NUM!</v>
      </c>
      <c r="L157" s="98"/>
      <c r="M157" s="100">
        <f t="shared" si="16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3"/>
        <v/>
      </c>
      <c r="J158" s="98" t="e">
        <f t="shared" si="14"/>
        <v>#NUM!</v>
      </c>
      <c r="K158" s="98" t="e">
        <f t="shared" si="15"/>
        <v>#NUM!</v>
      </c>
      <c r="L158" s="98"/>
      <c r="M158" s="100">
        <f t="shared" si="16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102">
        <v>154</v>
      </c>
      <c r="I159" s="99" t="str">
        <f t="shared" si="13"/>
        <v/>
      </c>
      <c r="J159" s="98" t="e">
        <f t="shared" si="14"/>
        <v>#NUM!</v>
      </c>
      <c r="K159" s="98" t="e">
        <f t="shared" si="15"/>
        <v>#NUM!</v>
      </c>
      <c r="L159" s="98"/>
      <c r="M159" s="100">
        <f t="shared" si="16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3"/>
        <v/>
      </c>
      <c r="J160" s="98" t="e">
        <f t="shared" si="14"/>
        <v>#NUM!</v>
      </c>
      <c r="K160" s="98" t="e">
        <f t="shared" si="15"/>
        <v>#NUM!</v>
      </c>
      <c r="L160" s="98"/>
      <c r="M160" s="100">
        <f t="shared" si="16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102">
        <v>156</v>
      </c>
      <c r="I161" s="99" t="str">
        <f t="shared" si="13"/>
        <v/>
      </c>
      <c r="J161" s="98" t="e">
        <f t="shared" si="14"/>
        <v>#NUM!</v>
      </c>
      <c r="K161" s="98" t="e">
        <f t="shared" si="15"/>
        <v>#NUM!</v>
      </c>
      <c r="L161" s="98"/>
      <c r="M161" s="100">
        <f t="shared" si="16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3"/>
        <v/>
      </c>
      <c r="J162" s="98" t="e">
        <f t="shared" si="14"/>
        <v>#NUM!</v>
      </c>
      <c r="K162" s="98" t="e">
        <f t="shared" si="15"/>
        <v>#NUM!</v>
      </c>
      <c r="L162" s="98"/>
      <c r="M162" s="100">
        <f t="shared" si="16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102">
        <v>158</v>
      </c>
      <c r="I163" s="99" t="str">
        <f t="shared" si="13"/>
        <v/>
      </c>
      <c r="J163" s="98" t="e">
        <f t="shared" si="14"/>
        <v>#NUM!</v>
      </c>
      <c r="K163" s="98" t="e">
        <f t="shared" si="15"/>
        <v>#NUM!</v>
      </c>
      <c r="L163" s="98"/>
      <c r="M163" s="100">
        <f t="shared" si="16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3"/>
        <v/>
      </c>
      <c r="J164" s="98" t="e">
        <f t="shared" si="14"/>
        <v>#NUM!</v>
      </c>
      <c r="K164" s="98" t="e">
        <f t="shared" si="15"/>
        <v>#NUM!</v>
      </c>
      <c r="L164" s="98"/>
      <c r="M164" s="100">
        <f t="shared" si="16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102">
        <v>160</v>
      </c>
      <c r="I165" s="99" t="str">
        <f t="shared" si="13"/>
        <v/>
      </c>
      <c r="J165" s="98" t="e">
        <f t="shared" si="14"/>
        <v>#NUM!</v>
      </c>
      <c r="K165" s="98" t="e">
        <f t="shared" si="15"/>
        <v>#NUM!</v>
      </c>
      <c r="L165" s="98"/>
      <c r="M165" s="100">
        <f t="shared" si="16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3"/>
        <v/>
      </c>
      <c r="J166" s="98" t="e">
        <f t="shared" si="14"/>
        <v>#NUM!</v>
      </c>
      <c r="K166" s="98" t="e">
        <f t="shared" si="15"/>
        <v>#NUM!</v>
      </c>
      <c r="L166" s="98"/>
      <c r="M166" s="100">
        <f t="shared" si="16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102">
        <v>162</v>
      </c>
      <c r="I167" s="99" t="str">
        <f t="shared" si="13"/>
        <v/>
      </c>
      <c r="J167" s="98" t="e">
        <f t="shared" si="14"/>
        <v>#NUM!</v>
      </c>
      <c r="K167" s="98" t="e">
        <f t="shared" si="15"/>
        <v>#NUM!</v>
      </c>
      <c r="L167" s="98"/>
      <c r="M167" s="100">
        <f t="shared" si="16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3"/>
        <v/>
      </c>
      <c r="J168" s="98" t="e">
        <f t="shared" si="14"/>
        <v>#NUM!</v>
      </c>
      <c r="K168" s="98" t="e">
        <f t="shared" si="15"/>
        <v>#NUM!</v>
      </c>
      <c r="L168" s="98"/>
      <c r="M168" s="100">
        <f t="shared" si="16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102">
        <v>164</v>
      </c>
      <c r="I169" s="99" t="str">
        <f t="shared" si="13"/>
        <v/>
      </c>
      <c r="J169" s="98" t="e">
        <f t="shared" si="14"/>
        <v>#NUM!</v>
      </c>
      <c r="K169" s="98" t="e">
        <f t="shared" si="15"/>
        <v>#NUM!</v>
      </c>
      <c r="L169" s="98"/>
      <c r="M169" s="100">
        <f t="shared" si="16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3"/>
        <v/>
      </c>
      <c r="J170" s="98" t="e">
        <f t="shared" si="14"/>
        <v>#NUM!</v>
      </c>
      <c r="K170" s="98" t="e">
        <f t="shared" si="15"/>
        <v>#NUM!</v>
      </c>
      <c r="L170" s="98"/>
      <c r="M170" s="100">
        <f t="shared" si="16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102">
        <v>166</v>
      </c>
      <c r="I171" s="99" t="str">
        <f t="shared" si="13"/>
        <v/>
      </c>
      <c r="J171" s="98" t="e">
        <f t="shared" si="14"/>
        <v>#NUM!</v>
      </c>
      <c r="K171" s="98" t="e">
        <f t="shared" si="15"/>
        <v>#NUM!</v>
      </c>
      <c r="L171" s="98"/>
      <c r="M171" s="100">
        <f t="shared" si="16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3"/>
        <v/>
      </c>
      <c r="J172" s="98" t="e">
        <f t="shared" si="14"/>
        <v>#NUM!</v>
      </c>
      <c r="K172" s="98" t="e">
        <f t="shared" si="15"/>
        <v>#NUM!</v>
      </c>
      <c r="L172" s="98"/>
      <c r="M172" s="100">
        <f t="shared" si="16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102">
        <v>168</v>
      </c>
      <c r="I173" s="99" t="str">
        <f t="shared" si="13"/>
        <v/>
      </c>
      <c r="J173" s="98" t="e">
        <f t="shared" si="14"/>
        <v>#NUM!</v>
      </c>
      <c r="K173" s="98" t="e">
        <f t="shared" si="15"/>
        <v>#NUM!</v>
      </c>
      <c r="L173" s="98"/>
      <c r="M173" s="100">
        <f t="shared" si="16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3"/>
        <v/>
      </c>
      <c r="J174" s="98" t="e">
        <f t="shared" si="14"/>
        <v>#NUM!</v>
      </c>
      <c r="K174" s="98" t="e">
        <f t="shared" si="15"/>
        <v>#NUM!</v>
      </c>
      <c r="L174" s="98"/>
      <c r="M174" s="100">
        <f t="shared" si="16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102">
        <v>170</v>
      </c>
      <c r="I175" s="99" t="str">
        <f t="shared" si="13"/>
        <v/>
      </c>
      <c r="J175" s="98" t="e">
        <f t="shared" si="14"/>
        <v>#NUM!</v>
      </c>
      <c r="K175" s="98" t="e">
        <f t="shared" si="15"/>
        <v>#NUM!</v>
      </c>
      <c r="L175" s="98"/>
      <c r="M175" s="100">
        <f t="shared" si="16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3"/>
        <v/>
      </c>
      <c r="J176" s="98" t="e">
        <f t="shared" si="14"/>
        <v>#NUM!</v>
      </c>
      <c r="K176" s="98" t="e">
        <f t="shared" si="15"/>
        <v>#NUM!</v>
      </c>
      <c r="L176" s="98"/>
      <c r="M176" s="100">
        <f t="shared" si="16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102">
        <v>172</v>
      </c>
      <c r="I177" s="99" t="str">
        <f t="shared" si="13"/>
        <v/>
      </c>
      <c r="J177" s="98" t="e">
        <f t="shared" si="14"/>
        <v>#NUM!</v>
      </c>
      <c r="K177" s="98" t="e">
        <f t="shared" si="15"/>
        <v>#NUM!</v>
      </c>
      <c r="L177" s="98"/>
      <c r="M177" s="100">
        <f t="shared" si="16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3"/>
        <v/>
      </c>
      <c r="J178" s="98" t="e">
        <f t="shared" si="14"/>
        <v>#NUM!</v>
      </c>
      <c r="K178" s="98" t="e">
        <f t="shared" si="15"/>
        <v>#NUM!</v>
      </c>
      <c r="L178" s="98"/>
      <c r="M178" s="100">
        <f t="shared" si="16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102">
        <v>174</v>
      </c>
      <c r="I179" s="99" t="str">
        <f t="shared" si="13"/>
        <v/>
      </c>
      <c r="J179" s="98" t="e">
        <f t="shared" si="14"/>
        <v>#NUM!</v>
      </c>
      <c r="K179" s="98" t="e">
        <f t="shared" si="15"/>
        <v>#NUM!</v>
      </c>
      <c r="L179" s="98"/>
      <c r="M179" s="100">
        <f t="shared" si="16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3"/>
        <v/>
      </c>
      <c r="J180" s="98" t="e">
        <f t="shared" si="14"/>
        <v>#NUM!</v>
      </c>
      <c r="K180" s="98" t="e">
        <f t="shared" si="15"/>
        <v>#NUM!</v>
      </c>
      <c r="L180" s="98"/>
      <c r="M180" s="100">
        <f t="shared" si="16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102">
        <v>176</v>
      </c>
      <c r="I181" s="99" t="str">
        <f t="shared" si="13"/>
        <v/>
      </c>
      <c r="J181" s="98" t="e">
        <f t="shared" si="14"/>
        <v>#NUM!</v>
      </c>
      <c r="K181" s="98" t="e">
        <f t="shared" si="15"/>
        <v>#NUM!</v>
      </c>
      <c r="L181" s="98"/>
      <c r="M181" s="100">
        <f t="shared" si="16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3"/>
        <v/>
      </c>
      <c r="J182" s="98" t="e">
        <f t="shared" si="14"/>
        <v>#NUM!</v>
      </c>
      <c r="K182" s="98" t="e">
        <f t="shared" si="15"/>
        <v>#NUM!</v>
      </c>
      <c r="L182" s="98"/>
      <c r="M182" s="100">
        <f t="shared" si="16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102">
        <v>178</v>
      </c>
      <c r="I183" s="99" t="str">
        <f t="shared" si="13"/>
        <v/>
      </c>
      <c r="J183" s="98" t="e">
        <f t="shared" si="14"/>
        <v>#NUM!</v>
      </c>
      <c r="K183" s="98" t="e">
        <f t="shared" si="15"/>
        <v>#NUM!</v>
      </c>
      <c r="L183" s="98"/>
      <c r="M183" s="100">
        <f t="shared" si="16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3"/>
        <v/>
      </c>
      <c r="J184" s="98" t="e">
        <f t="shared" si="14"/>
        <v>#NUM!</v>
      </c>
      <c r="K184" s="98" t="e">
        <f t="shared" si="15"/>
        <v>#NUM!</v>
      </c>
      <c r="L184" s="98"/>
      <c r="M184" s="100">
        <f t="shared" si="16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102">
        <v>180</v>
      </c>
      <c r="I185" s="99" t="str">
        <f t="shared" si="13"/>
        <v/>
      </c>
      <c r="J185" s="98" t="e">
        <f t="shared" si="14"/>
        <v>#NUM!</v>
      </c>
      <c r="K185" s="98" t="e">
        <f t="shared" si="15"/>
        <v>#NUM!</v>
      </c>
      <c r="L185" s="98"/>
      <c r="M185" s="100">
        <f t="shared" si="16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3"/>
        <v/>
      </c>
      <c r="J186" s="98" t="e">
        <f t="shared" si="14"/>
        <v>#NUM!</v>
      </c>
      <c r="K186" s="98" t="e">
        <f t="shared" si="15"/>
        <v>#NUM!</v>
      </c>
      <c r="L186" s="98"/>
      <c r="M186" s="100">
        <f t="shared" si="16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102">
        <v>182</v>
      </c>
      <c r="I187" s="99" t="str">
        <f t="shared" si="13"/>
        <v/>
      </c>
      <c r="J187" s="98" t="e">
        <f t="shared" si="14"/>
        <v>#NUM!</v>
      </c>
      <c r="K187" s="98" t="e">
        <f t="shared" si="15"/>
        <v>#NUM!</v>
      </c>
      <c r="L187" s="98"/>
      <c r="M187" s="100">
        <f t="shared" si="16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3"/>
        <v/>
      </c>
      <c r="J188" s="98" t="e">
        <f t="shared" si="14"/>
        <v>#NUM!</v>
      </c>
      <c r="K188" s="98" t="e">
        <f t="shared" si="15"/>
        <v>#NUM!</v>
      </c>
      <c r="L188" s="98"/>
      <c r="M188" s="100">
        <f t="shared" si="16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102">
        <v>184</v>
      </c>
      <c r="I189" s="99" t="str">
        <f t="shared" si="13"/>
        <v/>
      </c>
      <c r="J189" s="98" t="e">
        <f t="shared" si="14"/>
        <v>#NUM!</v>
      </c>
      <c r="K189" s="98" t="e">
        <f t="shared" si="15"/>
        <v>#NUM!</v>
      </c>
      <c r="L189" s="98"/>
      <c r="M189" s="100">
        <f t="shared" si="16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3"/>
        <v/>
      </c>
      <c r="J190" s="98" t="e">
        <f t="shared" si="14"/>
        <v>#NUM!</v>
      </c>
      <c r="K190" s="98" t="e">
        <f t="shared" si="15"/>
        <v>#NUM!</v>
      </c>
      <c r="L190" s="98"/>
      <c r="M190" s="100">
        <f t="shared" si="16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102">
        <v>186</v>
      </c>
      <c r="I191" s="99" t="str">
        <f t="shared" si="13"/>
        <v/>
      </c>
      <c r="J191" s="98" t="e">
        <f t="shared" si="14"/>
        <v>#NUM!</v>
      </c>
      <c r="K191" s="98" t="e">
        <f t="shared" si="15"/>
        <v>#NUM!</v>
      </c>
      <c r="L191" s="98"/>
      <c r="M191" s="100">
        <f t="shared" si="16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3"/>
        <v/>
      </c>
      <c r="J192" s="98" t="e">
        <f t="shared" si="14"/>
        <v>#NUM!</v>
      </c>
      <c r="K192" s="98" t="e">
        <f t="shared" si="15"/>
        <v>#NUM!</v>
      </c>
      <c r="L192" s="98"/>
      <c r="M192" s="100">
        <f t="shared" si="16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102">
        <v>188</v>
      </c>
      <c r="I193" s="99" t="str">
        <f t="shared" si="13"/>
        <v/>
      </c>
      <c r="J193" s="98" t="e">
        <f t="shared" si="14"/>
        <v>#NUM!</v>
      </c>
      <c r="K193" s="98" t="e">
        <f t="shared" si="15"/>
        <v>#NUM!</v>
      </c>
      <c r="L193" s="98"/>
      <c r="M193" s="100">
        <f t="shared" si="16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3"/>
        <v/>
      </c>
      <c r="J194" s="98" t="e">
        <f t="shared" si="14"/>
        <v>#NUM!</v>
      </c>
      <c r="K194" s="98" t="e">
        <f t="shared" si="15"/>
        <v>#NUM!</v>
      </c>
      <c r="L194" s="98"/>
      <c r="M194" s="100">
        <f t="shared" si="16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102">
        <v>190</v>
      </c>
      <c r="I195" s="99" t="str">
        <f t="shared" si="13"/>
        <v/>
      </c>
      <c r="J195" s="98" t="e">
        <f t="shared" si="14"/>
        <v>#NUM!</v>
      </c>
      <c r="K195" s="98" t="e">
        <f t="shared" si="15"/>
        <v>#NUM!</v>
      </c>
      <c r="L195" s="98"/>
      <c r="M195" s="100">
        <f t="shared" si="16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3"/>
        <v/>
      </c>
      <c r="J196" s="98" t="e">
        <f t="shared" si="14"/>
        <v>#NUM!</v>
      </c>
      <c r="K196" s="98" t="e">
        <f t="shared" si="15"/>
        <v>#NUM!</v>
      </c>
      <c r="L196" s="98"/>
      <c r="M196" s="100">
        <f t="shared" si="16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102">
        <v>192</v>
      </c>
      <c r="I197" s="99" t="str">
        <f t="shared" si="13"/>
        <v/>
      </c>
      <c r="J197" s="98" t="e">
        <f t="shared" si="14"/>
        <v>#NUM!</v>
      </c>
      <c r="K197" s="98" t="e">
        <f t="shared" si="15"/>
        <v>#NUM!</v>
      </c>
      <c r="L197" s="98"/>
      <c r="M197" s="100">
        <f t="shared" si="16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8">IF(H198&lt;$H$2+1,($I$2-($I$2-1)*(LOG(H198)/LOG($H$2))),"")</f>
        <v/>
      </c>
      <c r="J198" s="98" t="e">
        <f t="shared" ref="J198:J261" si="19">INT(LOG($H$2,2))-ROUNDUP(LOG(H198,2),0)+IF(OR($H$2=1,$H$2=2,$H$2=4,$H$2=8,$H$2=16,$H$2=32,$H$2=64,$H$2=128,$H$2=256),0,1)</f>
        <v>#NUM!</v>
      </c>
      <c r="K198" s="98" t="e">
        <f t="shared" ref="K198:K261" si="20">J198*$J$2</f>
        <v>#NUM!</v>
      </c>
      <c r="L198" s="98"/>
      <c r="M198" s="100">
        <f t="shared" ref="M198:M261" si="21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102">
        <v>194</v>
      </c>
      <c r="I199" s="99" t="str">
        <f t="shared" si="18"/>
        <v/>
      </c>
      <c r="J199" s="98" t="e">
        <f t="shared" si="19"/>
        <v>#NUM!</v>
      </c>
      <c r="K199" s="98" t="e">
        <f t="shared" si="20"/>
        <v>#NUM!</v>
      </c>
      <c r="L199" s="98"/>
      <c r="M199" s="100">
        <f t="shared" si="21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8"/>
        <v/>
      </c>
      <c r="J200" s="98" t="e">
        <f t="shared" si="19"/>
        <v>#NUM!</v>
      </c>
      <c r="K200" s="98" t="e">
        <f t="shared" si="20"/>
        <v>#NUM!</v>
      </c>
      <c r="L200" s="98"/>
      <c r="M200" s="100">
        <f t="shared" si="21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102">
        <v>196</v>
      </c>
      <c r="I201" s="99" t="str">
        <f t="shared" si="18"/>
        <v/>
      </c>
      <c r="J201" s="98" t="e">
        <f t="shared" si="19"/>
        <v>#NUM!</v>
      </c>
      <c r="K201" s="98" t="e">
        <f t="shared" si="20"/>
        <v>#NUM!</v>
      </c>
      <c r="L201" s="98"/>
      <c r="M201" s="100">
        <f t="shared" si="21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8"/>
        <v/>
      </c>
      <c r="J202" s="98" t="e">
        <f t="shared" si="19"/>
        <v>#NUM!</v>
      </c>
      <c r="K202" s="98" t="e">
        <f t="shared" si="20"/>
        <v>#NUM!</v>
      </c>
      <c r="L202" s="98"/>
      <c r="M202" s="100">
        <f t="shared" si="21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102">
        <v>198</v>
      </c>
      <c r="I203" s="99" t="str">
        <f t="shared" si="18"/>
        <v/>
      </c>
      <c r="J203" s="98" t="e">
        <f t="shared" si="19"/>
        <v>#NUM!</v>
      </c>
      <c r="K203" s="98" t="e">
        <f t="shared" si="20"/>
        <v>#NUM!</v>
      </c>
      <c r="L203" s="98"/>
      <c r="M203" s="100">
        <f t="shared" si="21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8"/>
        <v/>
      </c>
      <c r="J204" s="98" t="e">
        <f t="shared" si="19"/>
        <v>#NUM!</v>
      </c>
      <c r="K204" s="98" t="e">
        <f t="shared" si="20"/>
        <v>#NUM!</v>
      </c>
      <c r="L204" s="98"/>
      <c r="M204" s="100">
        <f t="shared" si="21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102">
        <v>200</v>
      </c>
      <c r="I205" s="99" t="str">
        <f t="shared" si="18"/>
        <v/>
      </c>
      <c r="J205" s="98" t="e">
        <f t="shared" si="19"/>
        <v>#NUM!</v>
      </c>
      <c r="K205" s="98" t="e">
        <f t="shared" si="20"/>
        <v>#NUM!</v>
      </c>
      <c r="L205" s="98"/>
      <c r="M205" s="100">
        <f t="shared" si="21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8"/>
        <v/>
      </c>
      <c r="J206" s="98" t="e">
        <f t="shared" si="19"/>
        <v>#NUM!</v>
      </c>
      <c r="K206" s="98" t="e">
        <f t="shared" si="20"/>
        <v>#NUM!</v>
      </c>
      <c r="L206" s="98"/>
      <c r="M206" s="100">
        <f t="shared" si="21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102">
        <v>202</v>
      </c>
      <c r="I207" s="99" t="str">
        <f t="shared" si="18"/>
        <v/>
      </c>
      <c r="J207" s="98" t="e">
        <f t="shared" si="19"/>
        <v>#NUM!</v>
      </c>
      <c r="K207" s="98" t="e">
        <f t="shared" si="20"/>
        <v>#NUM!</v>
      </c>
      <c r="L207" s="98"/>
      <c r="M207" s="100">
        <f t="shared" si="21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8"/>
        <v/>
      </c>
      <c r="J208" s="98" t="e">
        <f t="shared" si="19"/>
        <v>#NUM!</v>
      </c>
      <c r="K208" s="98" t="e">
        <f t="shared" si="20"/>
        <v>#NUM!</v>
      </c>
      <c r="L208" s="98"/>
      <c r="M208" s="100">
        <f t="shared" si="21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102">
        <v>204</v>
      </c>
      <c r="I209" s="99" t="str">
        <f t="shared" si="18"/>
        <v/>
      </c>
      <c r="J209" s="98" t="e">
        <f t="shared" si="19"/>
        <v>#NUM!</v>
      </c>
      <c r="K209" s="98" t="e">
        <f t="shared" si="20"/>
        <v>#NUM!</v>
      </c>
      <c r="L209" s="98"/>
      <c r="M209" s="100">
        <f t="shared" si="21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8"/>
        <v/>
      </c>
      <c r="J210" s="98" t="e">
        <f t="shared" si="19"/>
        <v>#NUM!</v>
      </c>
      <c r="K210" s="98" t="e">
        <f t="shared" si="20"/>
        <v>#NUM!</v>
      </c>
      <c r="L210" s="98"/>
      <c r="M210" s="100">
        <f t="shared" si="21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102">
        <v>206</v>
      </c>
      <c r="I211" s="99" t="str">
        <f t="shared" si="18"/>
        <v/>
      </c>
      <c r="J211" s="98" t="e">
        <f t="shared" si="19"/>
        <v>#NUM!</v>
      </c>
      <c r="K211" s="98" t="e">
        <f t="shared" si="20"/>
        <v>#NUM!</v>
      </c>
      <c r="L211" s="98"/>
      <c r="M211" s="100">
        <f t="shared" si="21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8"/>
        <v/>
      </c>
      <c r="J212" s="98" t="e">
        <f t="shared" si="19"/>
        <v>#NUM!</v>
      </c>
      <c r="K212" s="98" t="e">
        <f t="shared" si="20"/>
        <v>#NUM!</v>
      </c>
      <c r="L212" s="98"/>
      <c r="M212" s="100">
        <f t="shared" si="21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102">
        <v>208</v>
      </c>
      <c r="I213" s="99" t="str">
        <f t="shared" si="18"/>
        <v/>
      </c>
      <c r="J213" s="98" t="e">
        <f t="shared" si="19"/>
        <v>#NUM!</v>
      </c>
      <c r="K213" s="98" t="e">
        <f t="shared" si="20"/>
        <v>#NUM!</v>
      </c>
      <c r="L213" s="98"/>
      <c r="M213" s="100">
        <f t="shared" si="21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8"/>
        <v/>
      </c>
      <c r="J214" s="98" t="e">
        <f t="shared" si="19"/>
        <v>#NUM!</v>
      </c>
      <c r="K214" s="98" t="e">
        <f t="shared" si="20"/>
        <v>#NUM!</v>
      </c>
      <c r="L214" s="98"/>
      <c r="M214" s="100">
        <f t="shared" si="21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102">
        <v>210</v>
      </c>
      <c r="I215" s="99" t="str">
        <f t="shared" si="18"/>
        <v/>
      </c>
      <c r="J215" s="98" t="e">
        <f t="shared" si="19"/>
        <v>#NUM!</v>
      </c>
      <c r="K215" s="98" t="e">
        <f t="shared" si="20"/>
        <v>#NUM!</v>
      </c>
      <c r="L215" s="98"/>
      <c r="M215" s="100">
        <f t="shared" si="21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8"/>
        <v/>
      </c>
      <c r="J216" s="98" t="e">
        <f t="shared" si="19"/>
        <v>#NUM!</v>
      </c>
      <c r="K216" s="98" t="e">
        <f t="shared" si="20"/>
        <v>#NUM!</v>
      </c>
      <c r="L216" s="98"/>
      <c r="M216" s="100">
        <f t="shared" si="21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102">
        <v>212</v>
      </c>
      <c r="I217" s="99" t="str">
        <f t="shared" si="18"/>
        <v/>
      </c>
      <c r="J217" s="98" t="e">
        <f t="shared" si="19"/>
        <v>#NUM!</v>
      </c>
      <c r="K217" s="98" t="e">
        <f t="shared" si="20"/>
        <v>#NUM!</v>
      </c>
      <c r="L217" s="98"/>
      <c r="M217" s="100">
        <f t="shared" si="21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8"/>
        <v/>
      </c>
      <c r="J218" s="98" t="e">
        <f t="shared" si="19"/>
        <v>#NUM!</v>
      </c>
      <c r="K218" s="98" t="e">
        <f t="shared" si="20"/>
        <v>#NUM!</v>
      </c>
      <c r="L218" s="98"/>
      <c r="M218" s="100">
        <f t="shared" si="21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102">
        <v>214</v>
      </c>
      <c r="I219" s="99" t="str">
        <f t="shared" si="18"/>
        <v/>
      </c>
      <c r="J219" s="98" t="e">
        <f t="shared" si="19"/>
        <v>#NUM!</v>
      </c>
      <c r="K219" s="98" t="e">
        <f t="shared" si="20"/>
        <v>#NUM!</v>
      </c>
      <c r="L219" s="98"/>
      <c r="M219" s="100">
        <f t="shared" si="21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8"/>
        <v/>
      </c>
      <c r="J220" s="98" t="e">
        <f t="shared" si="19"/>
        <v>#NUM!</v>
      </c>
      <c r="K220" s="98" t="e">
        <f t="shared" si="20"/>
        <v>#NUM!</v>
      </c>
      <c r="L220" s="98"/>
      <c r="M220" s="100">
        <f t="shared" si="21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102">
        <v>216</v>
      </c>
      <c r="I221" s="99" t="str">
        <f t="shared" si="18"/>
        <v/>
      </c>
      <c r="J221" s="98" t="e">
        <f t="shared" si="19"/>
        <v>#NUM!</v>
      </c>
      <c r="K221" s="98" t="e">
        <f t="shared" si="20"/>
        <v>#NUM!</v>
      </c>
      <c r="L221" s="98"/>
      <c r="M221" s="100">
        <f t="shared" si="21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8"/>
        <v/>
      </c>
      <c r="J222" s="98" t="e">
        <f t="shared" si="19"/>
        <v>#NUM!</v>
      </c>
      <c r="K222" s="98" t="e">
        <f t="shared" si="20"/>
        <v>#NUM!</v>
      </c>
      <c r="L222" s="98"/>
      <c r="M222" s="100">
        <f t="shared" si="21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102">
        <v>218</v>
      </c>
      <c r="I223" s="99" t="str">
        <f t="shared" si="18"/>
        <v/>
      </c>
      <c r="J223" s="98" t="e">
        <f t="shared" si="19"/>
        <v>#NUM!</v>
      </c>
      <c r="K223" s="98" t="e">
        <f t="shared" si="20"/>
        <v>#NUM!</v>
      </c>
      <c r="L223" s="98"/>
      <c r="M223" s="100">
        <f t="shared" si="21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8"/>
        <v/>
      </c>
      <c r="J224" s="98" t="e">
        <f t="shared" si="19"/>
        <v>#NUM!</v>
      </c>
      <c r="K224" s="98" t="e">
        <f t="shared" si="20"/>
        <v>#NUM!</v>
      </c>
      <c r="L224" s="98"/>
      <c r="M224" s="100">
        <f t="shared" si="21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102">
        <v>220</v>
      </c>
      <c r="I225" s="99" t="str">
        <f t="shared" si="18"/>
        <v/>
      </c>
      <c r="J225" s="98" t="e">
        <f t="shared" si="19"/>
        <v>#NUM!</v>
      </c>
      <c r="K225" s="98" t="e">
        <f t="shared" si="20"/>
        <v>#NUM!</v>
      </c>
      <c r="L225" s="98"/>
      <c r="M225" s="100">
        <f t="shared" si="21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8"/>
        <v/>
      </c>
      <c r="J226" s="98" t="e">
        <f t="shared" si="19"/>
        <v>#NUM!</v>
      </c>
      <c r="K226" s="98" t="e">
        <f t="shared" si="20"/>
        <v>#NUM!</v>
      </c>
      <c r="L226" s="98"/>
      <c r="M226" s="100">
        <f t="shared" si="21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102">
        <v>222</v>
      </c>
      <c r="I227" s="99" t="str">
        <f t="shared" si="18"/>
        <v/>
      </c>
      <c r="J227" s="98" t="e">
        <f t="shared" si="19"/>
        <v>#NUM!</v>
      </c>
      <c r="K227" s="98" t="e">
        <f t="shared" si="20"/>
        <v>#NUM!</v>
      </c>
      <c r="L227" s="98"/>
      <c r="M227" s="100">
        <f t="shared" si="21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8"/>
        <v/>
      </c>
      <c r="J228" s="98" t="e">
        <f t="shared" si="19"/>
        <v>#NUM!</v>
      </c>
      <c r="K228" s="98" t="e">
        <f t="shared" si="20"/>
        <v>#NUM!</v>
      </c>
      <c r="L228" s="98"/>
      <c r="M228" s="100">
        <f t="shared" si="21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102">
        <v>224</v>
      </c>
      <c r="I229" s="99" t="str">
        <f t="shared" si="18"/>
        <v/>
      </c>
      <c r="J229" s="98" t="e">
        <f t="shared" si="19"/>
        <v>#NUM!</v>
      </c>
      <c r="K229" s="98" t="e">
        <f t="shared" si="20"/>
        <v>#NUM!</v>
      </c>
      <c r="L229" s="98"/>
      <c r="M229" s="100">
        <f t="shared" si="21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8"/>
        <v/>
      </c>
      <c r="J230" s="98" t="e">
        <f t="shared" si="19"/>
        <v>#NUM!</v>
      </c>
      <c r="K230" s="98" t="e">
        <f t="shared" si="20"/>
        <v>#NUM!</v>
      </c>
      <c r="L230" s="98"/>
      <c r="M230" s="100">
        <f t="shared" si="21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102">
        <v>226</v>
      </c>
      <c r="I231" s="99" t="str">
        <f t="shared" si="18"/>
        <v/>
      </c>
      <c r="J231" s="98" t="e">
        <f t="shared" si="19"/>
        <v>#NUM!</v>
      </c>
      <c r="K231" s="98" t="e">
        <f t="shared" si="20"/>
        <v>#NUM!</v>
      </c>
      <c r="L231" s="98"/>
      <c r="M231" s="100">
        <f t="shared" si="21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8"/>
        <v/>
      </c>
      <c r="J232" s="98" t="e">
        <f t="shared" si="19"/>
        <v>#NUM!</v>
      </c>
      <c r="K232" s="98" t="e">
        <f t="shared" si="20"/>
        <v>#NUM!</v>
      </c>
      <c r="L232" s="98"/>
      <c r="M232" s="100">
        <f t="shared" si="21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102">
        <v>228</v>
      </c>
      <c r="I233" s="99" t="str">
        <f t="shared" si="18"/>
        <v/>
      </c>
      <c r="J233" s="98" t="e">
        <f t="shared" si="19"/>
        <v>#NUM!</v>
      </c>
      <c r="K233" s="98" t="e">
        <f t="shared" si="20"/>
        <v>#NUM!</v>
      </c>
      <c r="L233" s="98"/>
      <c r="M233" s="100">
        <f t="shared" si="21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8"/>
        <v/>
      </c>
      <c r="J234" s="98" t="e">
        <f t="shared" si="19"/>
        <v>#NUM!</v>
      </c>
      <c r="K234" s="98" t="e">
        <f t="shared" si="20"/>
        <v>#NUM!</v>
      </c>
      <c r="L234" s="98"/>
      <c r="M234" s="100">
        <f t="shared" si="21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102">
        <v>230</v>
      </c>
      <c r="I235" s="99" t="str">
        <f t="shared" si="18"/>
        <v/>
      </c>
      <c r="J235" s="98" t="e">
        <f t="shared" si="19"/>
        <v>#NUM!</v>
      </c>
      <c r="K235" s="98" t="e">
        <f t="shared" si="20"/>
        <v>#NUM!</v>
      </c>
      <c r="L235" s="98"/>
      <c r="M235" s="100">
        <f t="shared" si="21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8"/>
        <v/>
      </c>
      <c r="J236" s="98" t="e">
        <f t="shared" si="19"/>
        <v>#NUM!</v>
      </c>
      <c r="K236" s="98" t="e">
        <f t="shared" si="20"/>
        <v>#NUM!</v>
      </c>
      <c r="L236" s="98"/>
      <c r="M236" s="100">
        <f t="shared" si="21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102">
        <v>232</v>
      </c>
      <c r="I237" s="99" t="str">
        <f t="shared" si="18"/>
        <v/>
      </c>
      <c r="J237" s="98" t="e">
        <f t="shared" si="19"/>
        <v>#NUM!</v>
      </c>
      <c r="K237" s="98" t="e">
        <f t="shared" si="20"/>
        <v>#NUM!</v>
      </c>
      <c r="L237" s="98"/>
      <c r="M237" s="100">
        <f t="shared" si="21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8"/>
        <v/>
      </c>
      <c r="J238" s="98" t="e">
        <f t="shared" si="19"/>
        <v>#NUM!</v>
      </c>
      <c r="K238" s="98" t="e">
        <f t="shared" si="20"/>
        <v>#NUM!</v>
      </c>
      <c r="L238" s="98"/>
      <c r="M238" s="100">
        <f t="shared" si="21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102">
        <v>234</v>
      </c>
      <c r="I239" s="99" t="str">
        <f t="shared" si="18"/>
        <v/>
      </c>
      <c r="J239" s="98" t="e">
        <f t="shared" si="19"/>
        <v>#NUM!</v>
      </c>
      <c r="K239" s="98" t="e">
        <f t="shared" si="20"/>
        <v>#NUM!</v>
      </c>
      <c r="L239" s="98"/>
      <c r="M239" s="100">
        <f t="shared" si="21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8"/>
        <v/>
      </c>
      <c r="J240" s="98" t="e">
        <f t="shared" si="19"/>
        <v>#NUM!</v>
      </c>
      <c r="K240" s="98" t="e">
        <f t="shared" si="20"/>
        <v>#NUM!</v>
      </c>
      <c r="L240" s="98"/>
      <c r="M240" s="100">
        <f t="shared" si="21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102">
        <v>236</v>
      </c>
      <c r="I241" s="99" t="str">
        <f t="shared" si="18"/>
        <v/>
      </c>
      <c r="J241" s="98" t="e">
        <f t="shared" si="19"/>
        <v>#NUM!</v>
      </c>
      <c r="K241" s="98" t="e">
        <f t="shared" si="20"/>
        <v>#NUM!</v>
      </c>
      <c r="L241" s="98"/>
      <c r="M241" s="100">
        <f t="shared" si="21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8"/>
        <v/>
      </c>
      <c r="J242" s="98" t="e">
        <f t="shared" si="19"/>
        <v>#NUM!</v>
      </c>
      <c r="K242" s="98" t="e">
        <f t="shared" si="20"/>
        <v>#NUM!</v>
      </c>
      <c r="L242" s="98"/>
      <c r="M242" s="100">
        <f t="shared" si="21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102">
        <v>238</v>
      </c>
      <c r="I243" s="99" t="str">
        <f t="shared" si="18"/>
        <v/>
      </c>
      <c r="J243" s="98" t="e">
        <f t="shared" si="19"/>
        <v>#NUM!</v>
      </c>
      <c r="K243" s="98" t="e">
        <f t="shared" si="20"/>
        <v>#NUM!</v>
      </c>
      <c r="L243" s="98"/>
      <c r="M243" s="100">
        <f t="shared" si="21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8"/>
        <v/>
      </c>
      <c r="J244" s="98" t="e">
        <f t="shared" si="19"/>
        <v>#NUM!</v>
      </c>
      <c r="K244" s="98" t="e">
        <f t="shared" si="20"/>
        <v>#NUM!</v>
      </c>
      <c r="L244" s="98"/>
      <c r="M244" s="100">
        <f t="shared" si="21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102">
        <v>240</v>
      </c>
      <c r="I245" s="99" t="str">
        <f t="shared" si="18"/>
        <v/>
      </c>
      <c r="J245" s="98" t="e">
        <f t="shared" si="19"/>
        <v>#NUM!</v>
      </c>
      <c r="K245" s="98" t="e">
        <f t="shared" si="20"/>
        <v>#NUM!</v>
      </c>
      <c r="L245" s="98"/>
      <c r="M245" s="100">
        <f t="shared" si="21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8"/>
        <v/>
      </c>
      <c r="J246" s="98" t="e">
        <f t="shared" si="19"/>
        <v>#NUM!</v>
      </c>
      <c r="K246" s="98" t="e">
        <f t="shared" si="20"/>
        <v>#NUM!</v>
      </c>
      <c r="L246" s="98"/>
      <c r="M246" s="100">
        <f t="shared" si="21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102">
        <v>242</v>
      </c>
      <c r="I247" s="99" t="str">
        <f t="shared" si="18"/>
        <v/>
      </c>
      <c r="J247" s="98" t="e">
        <f t="shared" si="19"/>
        <v>#NUM!</v>
      </c>
      <c r="K247" s="98" t="e">
        <f t="shared" si="20"/>
        <v>#NUM!</v>
      </c>
      <c r="L247" s="98"/>
      <c r="M247" s="100">
        <f t="shared" si="21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8"/>
        <v/>
      </c>
      <c r="J248" s="98" t="e">
        <f t="shared" si="19"/>
        <v>#NUM!</v>
      </c>
      <c r="K248" s="98" t="e">
        <f t="shared" si="20"/>
        <v>#NUM!</v>
      </c>
      <c r="L248" s="98"/>
      <c r="M248" s="100">
        <f t="shared" si="21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102">
        <v>244</v>
      </c>
      <c r="I249" s="99" t="str">
        <f t="shared" si="18"/>
        <v/>
      </c>
      <c r="J249" s="98" t="e">
        <f t="shared" si="19"/>
        <v>#NUM!</v>
      </c>
      <c r="K249" s="98" t="e">
        <f t="shared" si="20"/>
        <v>#NUM!</v>
      </c>
      <c r="L249" s="98"/>
      <c r="M249" s="100">
        <f t="shared" si="21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8"/>
        <v/>
      </c>
      <c r="J250" s="98" t="e">
        <f t="shared" si="19"/>
        <v>#NUM!</v>
      </c>
      <c r="K250" s="98" t="e">
        <f t="shared" si="20"/>
        <v>#NUM!</v>
      </c>
      <c r="L250" s="98"/>
      <c r="M250" s="100">
        <f t="shared" si="21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102">
        <v>246</v>
      </c>
      <c r="I251" s="99" t="str">
        <f t="shared" si="18"/>
        <v/>
      </c>
      <c r="J251" s="98" t="e">
        <f t="shared" si="19"/>
        <v>#NUM!</v>
      </c>
      <c r="K251" s="98" t="e">
        <f t="shared" si="20"/>
        <v>#NUM!</v>
      </c>
      <c r="L251" s="98"/>
      <c r="M251" s="100">
        <f t="shared" si="21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8"/>
        <v/>
      </c>
      <c r="J252" s="98" t="e">
        <f t="shared" si="19"/>
        <v>#NUM!</v>
      </c>
      <c r="K252" s="98" t="e">
        <f t="shared" si="20"/>
        <v>#NUM!</v>
      </c>
      <c r="L252" s="98"/>
      <c r="M252" s="100">
        <f t="shared" si="21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102">
        <v>248</v>
      </c>
      <c r="I253" s="99" t="str">
        <f t="shared" si="18"/>
        <v/>
      </c>
      <c r="J253" s="98" t="e">
        <f t="shared" si="19"/>
        <v>#NUM!</v>
      </c>
      <c r="K253" s="98" t="e">
        <f t="shared" si="20"/>
        <v>#NUM!</v>
      </c>
      <c r="L253" s="98"/>
      <c r="M253" s="100">
        <f t="shared" si="21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8"/>
        <v/>
      </c>
      <c r="J254" s="98" t="e">
        <f t="shared" si="19"/>
        <v>#NUM!</v>
      </c>
      <c r="K254" s="98" t="e">
        <f t="shared" si="20"/>
        <v>#NUM!</v>
      </c>
      <c r="L254" s="98"/>
      <c r="M254" s="100">
        <f t="shared" si="21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102">
        <v>250</v>
      </c>
      <c r="I255" s="99" t="str">
        <f t="shared" si="18"/>
        <v/>
      </c>
      <c r="J255" s="98" t="e">
        <f t="shared" si="19"/>
        <v>#NUM!</v>
      </c>
      <c r="K255" s="98" t="e">
        <f t="shared" si="20"/>
        <v>#NUM!</v>
      </c>
      <c r="L255" s="98"/>
      <c r="M255" s="100">
        <f t="shared" si="21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8"/>
        <v/>
      </c>
      <c r="J256" s="98" t="e">
        <f t="shared" si="19"/>
        <v>#NUM!</v>
      </c>
      <c r="K256" s="98" t="e">
        <f t="shared" si="20"/>
        <v>#NUM!</v>
      </c>
      <c r="L256" s="98"/>
      <c r="M256" s="100">
        <f t="shared" si="21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102">
        <v>252</v>
      </c>
      <c r="I257" s="99" t="str">
        <f t="shared" si="18"/>
        <v/>
      </c>
      <c r="J257" s="98" t="e">
        <f t="shared" si="19"/>
        <v>#NUM!</v>
      </c>
      <c r="K257" s="98" t="e">
        <f t="shared" si="20"/>
        <v>#NUM!</v>
      </c>
      <c r="L257" s="98"/>
      <c r="M257" s="100">
        <f t="shared" si="21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8"/>
        <v/>
      </c>
      <c r="J258" s="98" t="e">
        <f t="shared" si="19"/>
        <v>#NUM!</v>
      </c>
      <c r="K258" s="98" t="e">
        <f t="shared" si="20"/>
        <v>#NUM!</v>
      </c>
      <c r="L258" s="98"/>
      <c r="M258" s="100">
        <f t="shared" si="21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102">
        <v>254</v>
      </c>
      <c r="I259" s="99" t="str">
        <f t="shared" si="18"/>
        <v/>
      </c>
      <c r="J259" s="98" t="e">
        <f t="shared" si="19"/>
        <v>#NUM!</v>
      </c>
      <c r="K259" s="98" t="e">
        <f t="shared" si="20"/>
        <v>#NUM!</v>
      </c>
      <c r="L259" s="98"/>
      <c r="M259" s="100">
        <f t="shared" si="21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8"/>
        <v/>
      </c>
      <c r="J260" s="98" t="e">
        <f t="shared" si="19"/>
        <v>#NUM!</v>
      </c>
      <c r="K260" s="98" t="e">
        <f t="shared" si="20"/>
        <v>#NUM!</v>
      </c>
      <c r="L260" s="98"/>
      <c r="M260" s="100">
        <f t="shared" si="21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102">
        <v>256</v>
      </c>
      <c r="I261" s="99" t="str">
        <f t="shared" si="18"/>
        <v/>
      </c>
      <c r="J261" s="98" t="e">
        <f t="shared" si="19"/>
        <v>#NUM!</v>
      </c>
      <c r="K261" s="98" t="e">
        <f t="shared" si="20"/>
        <v>#NUM!</v>
      </c>
      <c r="L261" s="98"/>
      <c r="M261" s="100">
        <f t="shared" si="21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2">IF(H262&lt;$H$2+1,($I$2-($I$2-1)*(LOG(H262)/LOG($H$2))),"")</f>
        <v/>
      </c>
      <c r="J262" s="98" t="e">
        <f t="shared" ref="J262:J305" si="23">INT(LOG($H$2,2))-ROUNDUP(LOG(H262,2),0)+IF(OR($H$2=1,$H$2=2,$H$2=4,$H$2=8,$H$2=16,$H$2=32,$H$2=64,$H$2=128,$H$2=256),0,1)</f>
        <v>#NUM!</v>
      </c>
      <c r="K262" s="98" t="e">
        <f t="shared" ref="K262:K305" si="24">J262*$J$2</f>
        <v>#NUM!</v>
      </c>
      <c r="L262" s="98"/>
      <c r="M262" s="100">
        <f t="shared" ref="M262:M305" si="25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102">
        <v>258</v>
      </c>
      <c r="I263" s="99" t="str">
        <f t="shared" si="22"/>
        <v/>
      </c>
      <c r="J263" s="98" t="e">
        <f t="shared" si="23"/>
        <v>#NUM!</v>
      </c>
      <c r="K263" s="98" t="e">
        <f t="shared" si="24"/>
        <v>#NUM!</v>
      </c>
      <c r="L263" s="98"/>
      <c r="M263" s="100">
        <f t="shared" si="25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2"/>
        <v/>
      </c>
      <c r="J264" s="98" t="e">
        <f t="shared" si="23"/>
        <v>#NUM!</v>
      </c>
      <c r="K264" s="98" t="e">
        <f t="shared" si="24"/>
        <v>#NUM!</v>
      </c>
      <c r="L264" s="98"/>
      <c r="M264" s="100">
        <f t="shared" si="25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102">
        <v>260</v>
      </c>
      <c r="I265" s="99" t="str">
        <f t="shared" si="22"/>
        <v/>
      </c>
      <c r="J265" s="98" t="e">
        <f t="shared" si="23"/>
        <v>#NUM!</v>
      </c>
      <c r="K265" s="98" t="e">
        <f t="shared" si="24"/>
        <v>#NUM!</v>
      </c>
      <c r="L265" s="98"/>
      <c r="M265" s="100">
        <f t="shared" si="25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2"/>
        <v/>
      </c>
      <c r="J266" s="98" t="e">
        <f t="shared" si="23"/>
        <v>#NUM!</v>
      </c>
      <c r="K266" s="98" t="e">
        <f t="shared" si="24"/>
        <v>#NUM!</v>
      </c>
      <c r="L266" s="98"/>
      <c r="M266" s="100">
        <f t="shared" si="25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102">
        <v>262</v>
      </c>
      <c r="I267" s="99" t="str">
        <f t="shared" si="22"/>
        <v/>
      </c>
      <c r="J267" s="98" t="e">
        <f t="shared" si="23"/>
        <v>#NUM!</v>
      </c>
      <c r="K267" s="98" t="e">
        <f t="shared" si="24"/>
        <v>#NUM!</v>
      </c>
      <c r="L267" s="98"/>
      <c r="M267" s="100">
        <f t="shared" si="25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2"/>
        <v/>
      </c>
      <c r="J268" s="98" t="e">
        <f t="shared" si="23"/>
        <v>#NUM!</v>
      </c>
      <c r="K268" s="98" t="e">
        <f t="shared" si="24"/>
        <v>#NUM!</v>
      </c>
      <c r="L268" s="98"/>
      <c r="M268" s="100">
        <f t="shared" si="25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102">
        <v>264</v>
      </c>
      <c r="I269" s="99" t="str">
        <f t="shared" si="22"/>
        <v/>
      </c>
      <c r="J269" s="98" t="e">
        <f t="shared" si="23"/>
        <v>#NUM!</v>
      </c>
      <c r="K269" s="98" t="e">
        <f t="shared" si="24"/>
        <v>#NUM!</v>
      </c>
      <c r="L269" s="98"/>
      <c r="M269" s="100">
        <f t="shared" si="25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2"/>
        <v/>
      </c>
      <c r="J270" s="98" t="e">
        <f t="shared" si="23"/>
        <v>#NUM!</v>
      </c>
      <c r="K270" s="98" t="e">
        <f t="shared" si="24"/>
        <v>#NUM!</v>
      </c>
      <c r="L270" s="98"/>
      <c r="M270" s="100">
        <f t="shared" si="25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102">
        <v>266</v>
      </c>
      <c r="I271" s="99" t="str">
        <f t="shared" si="22"/>
        <v/>
      </c>
      <c r="J271" s="98" t="e">
        <f t="shared" si="23"/>
        <v>#NUM!</v>
      </c>
      <c r="K271" s="98" t="e">
        <f t="shared" si="24"/>
        <v>#NUM!</v>
      </c>
      <c r="L271" s="98"/>
      <c r="M271" s="100">
        <f t="shared" si="25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2"/>
        <v/>
      </c>
      <c r="J272" s="98" t="e">
        <f t="shared" si="23"/>
        <v>#NUM!</v>
      </c>
      <c r="K272" s="98" t="e">
        <f t="shared" si="24"/>
        <v>#NUM!</v>
      </c>
      <c r="L272" s="98"/>
      <c r="M272" s="100">
        <f t="shared" si="25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102">
        <v>268</v>
      </c>
      <c r="I273" s="99" t="str">
        <f t="shared" si="22"/>
        <v/>
      </c>
      <c r="J273" s="98" t="e">
        <f t="shared" si="23"/>
        <v>#NUM!</v>
      </c>
      <c r="K273" s="98" t="e">
        <f t="shared" si="24"/>
        <v>#NUM!</v>
      </c>
      <c r="L273" s="98"/>
      <c r="M273" s="100">
        <f t="shared" si="25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2"/>
        <v/>
      </c>
      <c r="J274" s="98" t="e">
        <f t="shared" si="23"/>
        <v>#NUM!</v>
      </c>
      <c r="K274" s="98" t="e">
        <f t="shared" si="24"/>
        <v>#NUM!</v>
      </c>
      <c r="L274" s="98"/>
      <c r="M274" s="100">
        <f t="shared" si="25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102">
        <v>270</v>
      </c>
      <c r="I275" s="99" t="str">
        <f t="shared" si="22"/>
        <v/>
      </c>
      <c r="J275" s="98" t="e">
        <f t="shared" si="23"/>
        <v>#NUM!</v>
      </c>
      <c r="K275" s="98" t="e">
        <f t="shared" si="24"/>
        <v>#NUM!</v>
      </c>
      <c r="L275" s="98"/>
      <c r="M275" s="100">
        <f t="shared" si="25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2"/>
        <v/>
      </c>
      <c r="J276" s="98" t="e">
        <f t="shared" si="23"/>
        <v>#NUM!</v>
      </c>
      <c r="K276" s="98" t="e">
        <f t="shared" si="24"/>
        <v>#NUM!</v>
      </c>
      <c r="L276" s="98"/>
      <c r="M276" s="100">
        <f t="shared" si="25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102">
        <v>272</v>
      </c>
      <c r="I277" s="99" t="str">
        <f t="shared" si="22"/>
        <v/>
      </c>
      <c r="J277" s="98" t="e">
        <f t="shared" si="23"/>
        <v>#NUM!</v>
      </c>
      <c r="K277" s="98" t="e">
        <f t="shared" si="24"/>
        <v>#NUM!</v>
      </c>
      <c r="L277" s="98"/>
      <c r="M277" s="100">
        <f t="shared" si="25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2"/>
        <v/>
      </c>
      <c r="J278" s="98" t="e">
        <f t="shared" si="23"/>
        <v>#NUM!</v>
      </c>
      <c r="K278" s="98" t="e">
        <f t="shared" si="24"/>
        <v>#NUM!</v>
      </c>
      <c r="L278" s="98"/>
      <c r="M278" s="100">
        <f t="shared" si="25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102">
        <v>274</v>
      </c>
      <c r="I279" s="99" t="str">
        <f t="shared" si="22"/>
        <v/>
      </c>
      <c r="J279" s="98" t="e">
        <f t="shared" si="23"/>
        <v>#NUM!</v>
      </c>
      <c r="K279" s="98" t="e">
        <f t="shared" si="24"/>
        <v>#NUM!</v>
      </c>
      <c r="L279" s="98"/>
      <c r="M279" s="100">
        <f t="shared" si="25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2"/>
        <v/>
      </c>
      <c r="J280" s="98" t="e">
        <f t="shared" si="23"/>
        <v>#NUM!</v>
      </c>
      <c r="K280" s="98" t="e">
        <f t="shared" si="24"/>
        <v>#NUM!</v>
      </c>
      <c r="L280" s="98"/>
      <c r="M280" s="100">
        <f t="shared" si="25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102">
        <v>276</v>
      </c>
      <c r="I281" s="99" t="str">
        <f t="shared" si="22"/>
        <v/>
      </c>
      <c r="J281" s="98" t="e">
        <f t="shared" si="23"/>
        <v>#NUM!</v>
      </c>
      <c r="K281" s="98" t="e">
        <f t="shared" si="24"/>
        <v>#NUM!</v>
      </c>
      <c r="L281" s="98"/>
      <c r="M281" s="100">
        <f t="shared" si="25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2"/>
        <v/>
      </c>
      <c r="J282" s="98" t="e">
        <f t="shared" si="23"/>
        <v>#NUM!</v>
      </c>
      <c r="K282" s="98" t="e">
        <f t="shared" si="24"/>
        <v>#NUM!</v>
      </c>
      <c r="L282" s="98"/>
      <c r="M282" s="100">
        <f t="shared" si="25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102">
        <v>278</v>
      </c>
      <c r="I283" s="99" t="str">
        <f t="shared" si="22"/>
        <v/>
      </c>
      <c r="J283" s="98" t="e">
        <f t="shared" si="23"/>
        <v>#NUM!</v>
      </c>
      <c r="K283" s="98" t="e">
        <f t="shared" si="24"/>
        <v>#NUM!</v>
      </c>
      <c r="L283" s="98"/>
      <c r="M283" s="100">
        <f t="shared" si="25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2"/>
        <v/>
      </c>
      <c r="J284" s="98" t="e">
        <f t="shared" si="23"/>
        <v>#NUM!</v>
      </c>
      <c r="K284" s="98" t="e">
        <f t="shared" si="24"/>
        <v>#NUM!</v>
      </c>
      <c r="L284" s="98"/>
      <c r="M284" s="100">
        <f t="shared" si="25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102">
        <v>280</v>
      </c>
      <c r="I285" s="99" t="str">
        <f t="shared" si="22"/>
        <v/>
      </c>
      <c r="J285" s="98" t="e">
        <f t="shared" si="23"/>
        <v>#NUM!</v>
      </c>
      <c r="K285" s="98" t="e">
        <f t="shared" si="24"/>
        <v>#NUM!</v>
      </c>
      <c r="L285" s="98"/>
      <c r="M285" s="100">
        <f t="shared" si="25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2"/>
        <v/>
      </c>
      <c r="J286" s="98" t="e">
        <f t="shared" si="23"/>
        <v>#NUM!</v>
      </c>
      <c r="K286" s="98" t="e">
        <f t="shared" si="24"/>
        <v>#NUM!</v>
      </c>
      <c r="L286" s="98"/>
      <c r="M286" s="100">
        <f t="shared" si="25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102">
        <v>282</v>
      </c>
      <c r="I287" s="99" t="str">
        <f t="shared" si="22"/>
        <v/>
      </c>
      <c r="J287" s="98" t="e">
        <f t="shared" si="23"/>
        <v>#NUM!</v>
      </c>
      <c r="K287" s="98" t="e">
        <f t="shared" si="24"/>
        <v>#NUM!</v>
      </c>
      <c r="L287" s="98"/>
      <c r="M287" s="100">
        <f t="shared" si="25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2"/>
        <v/>
      </c>
      <c r="J288" s="98" t="e">
        <f t="shared" si="23"/>
        <v>#NUM!</v>
      </c>
      <c r="K288" s="98" t="e">
        <f t="shared" si="24"/>
        <v>#NUM!</v>
      </c>
      <c r="L288" s="98"/>
      <c r="M288" s="100">
        <f t="shared" si="25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102">
        <v>284</v>
      </c>
      <c r="I289" s="99" t="str">
        <f t="shared" si="22"/>
        <v/>
      </c>
      <c r="J289" s="98" t="e">
        <f t="shared" si="23"/>
        <v>#NUM!</v>
      </c>
      <c r="K289" s="98" t="e">
        <f t="shared" si="24"/>
        <v>#NUM!</v>
      </c>
      <c r="L289" s="98"/>
      <c r="M289" s="100">
        <f t="shared" si="25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2"/>
        <v/>
      </c>
      <c r="J290" s="98" t="e">
        <f t="shared" si="23"/>
        <v>#NUM!</v>
      </c>
      <c r="K290" s="98" t="e">
        <f t="shared" si="24"/>
        <v>#NUM!</v>
      </c>
      <c r="L290" s="98"/>
      <c r="M290" s="100">
        <f t="shared" si="25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102">
        <v>286</v>
      </c>
      <c r="I291" s="99" t="str">
        <f t="shared" si="22"/>
        <v/>
      </c>
      <c r="J291" s="98" t="e">
        <f t="shared" si="23"/>
        <v>#NUM!</v>
      </c>
      <c r="K291" s="98" t="e">
        <f t="shared" si="24"/>
        <v>#NUM!</v>
      </c>
      <c r="L291" s="98"/>
      <c r="M291" s="100">
        <f t="shared" si="25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2"/>
        <v/>
      </c>
      <c r="J292" s="98" t="e">
        <f t="shared" si="23"/>
        <v>#NUM!</v>
      </c>
      <c r="K292" s="98" t="e">
        <f t="shared" si="24"/>
        <v>#NUM!</v>
      </c>
      <c r="L292" s="98"/>
      <c r="M292" s="100">
        <f t="shared" si="25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2"/>
        <v/>
      </c>
      <c r="J293" s="98" t="e">
        <f t="shared" si="23"/>
        <v>#NUM!</v>
      </c>
      <c r="K293" s="98" t="e">
        <f t="shared" si="24"/>
        <v>#NUM!</v>
      </c>
      <c r="L293" s="98"/>
      <c r="M293" s="100">
        <f t="shared" si="25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2"/>
        <v/>
      </c>
      <c r="J294" s="98" t="e">
        <f t="shared" si="23"/>
        <v>#NUM!</v>
      </c>
      <c r="K294" s="98" t="e">
        <f t="shared" si="24"/>
        <v>#NUM!</v>
      </c>
      <c r="L294" s="98"/>
      <c r="M294" s="100">
        <f t="shared" si="25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2"/>
        <v/>
      </c>
      <c r="J295" s="98" t="e">
        <f t="shared" si="23"/>
        <v>#NUM!</v>
      </c>
      <c r="K295" s="98" t="e">
        <f t="shared" si="24"/>
        <v>#NUM!</v>
      </c>
      <c r="L295" s="98"/>
      <c r="M295" s="100">
        <f t="shared" si="25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2"/>
        <v/>
      </c>
      <c r="J296" s="98" t="e">
        <f t="shared" si="23"/>
        <v>#NUM!</v>
      </c>
      <c r="K296" s="98" t="e">
        <f t="shared" si="24"/>
        <v>#NUM!</v>
      </c>
      <c r="L296" s="98"/>
      <c r="M296" s="100">
        <f t="shared" si="25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2"/>
        <v/>
      </c>
      <c r="J297" s="98" t="e">
        <f t="shared" si="23"/>
        <v>#NUM!</v>
      </c>
      <c r="K297" s="98" t="e">
        <f t="shared" si="24"/>
        <v>#NUM!</v>
      </c>
      <c r="L297" s="98"/>
      <c r="M297" s="100">
        <f t="shared" si="25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2"/>
        <v/>
      </c>
      <c r="J298" s="98" t="e">
        <f t="shared" si="23"/>
        <v>#NUM!</v>
      </c>
      <c r="K298" s="98" t="e">
        <f t="shared" si="24"/>
        <v>#NUM!</v>
      </c>
      <c r="L298" s="98"/>
      <c r="M298" s="100">
        <f t="shared" si="25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2"/>
        <v/>
      </c>
      <c r="J299" s="98" t="e">
        <f t="shared" si="23"/>
        <v>#NUM!</v>
      </c>
      <c r="K299" s="98" t="e">
        <f t="shared" si="24"/>
        <v>#NUM!</v>
      </c>
      <c r="L299" s="98"/>
      <c r="M299" s="100">
        <f t="shared" si="25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2"/>
        <v/>
      </c>
      <c r="J300" s="98" t="e">
        <f t="shared" si="23"/>
        <v>#NUM!</v>
      </c>
      <c r="K300" s="98" t="e">
        <f t="shared" si="24"/>
        <v>#NUM!</v>
      </c>
      <c r="L300" s="98"/>
      <c r="M300" s="100">
        <f t="shared" si="25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2"/>
        <v/>
      </c>
      <c r="J301" s="98" t="e">
        <f t="shared" si="23"/>
        <v>#NUM!</v>
      </c>
      <c r="K301" s="98" t="e">
        <f t="shared" si="24"/>
        <v>#NUM!</v>
      </c>
      <c r="L301" s="98"/>
      <c r="M301" s="100">
        <f t="shared" si="25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2"/>
        <v/>
      </c>
      <c r="J302" s="98" t="e">
        <f t="shared" si="23"/>
        <v>#NUM!</v>
      </c>
      <c r="K302" s="98" t="e">
        <f t="shared" si="24"/>
        <v>#NUM!</v>
      </c>
      <c r="L302" s="98"/>
      <c r="M302" s="100">
        <f t="shared" si="25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2"/>
        <v/>
      </c>
      <c r="J303" s="98" t="e">
        <f t="shared" si="23"/>
        <v>#NUM!</v>
      </c>
      <c r="K303" s="98" t="e">
        <f t="shared" si="24"/>
        <v>#NUM!</v>
      </c>
      <c r="L303" s="98"/>
      <c r="M303" s="100">
        <f t="shared" si="25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2"/>
        <v/>
      </c>
      <c r="J304" s="98" t="e">
        <f t="shared" si="23"/>
        <v>#NUM!</v>
      </c>
      <c r="K304" s="98" t="e">
        <f t="shared" si="24"/>
        <v>#NUM!</v>
      </c>
      <c r="L304" s="98"/>
      <c r="M304" s="100">
        <f t="shared" si="25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2"/>
        <v/>
      </c>
      <c r="J305" s="98" t="e">
        <f t="shared" si="23"/>
        <v>#NUM!</v>
      </c>
      <c r="K305" s="98" t="e">
        <f t="shared" si="24"/>
        <v>#NUM!</v>
      </c>
      <c r="L305" s="98"/>
      <c r="M305" s="100">
        <f t="shared" si="25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F084-5BF3-4B99-AA25-E300AB777263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ht="14.45" customHeight="1" x14ac:dyDescent="0.25">
      <c r="A2" s="83"/>
      <c r="B2" s="19" t="s">
        <v>33</v>
      </c>
      <c r="C2" s="168" t="s">
        <v>126</v>
      </c>
      <c r="D2" s="69"/>
      <c r="E2" s="20"/>
      <c r="F2" s="20"/>
      <c r="G2" s="20"/>
      <c r="H2" s="89">
        <v>21</v>
      </c>
      <c r="I2" s="90">
        <v>50</v>
      </c>
      <c r="J2" s="90">
        <v>10</v>
      </c>
      <c r="K2" s="124">
        <f>3*H2^(1/3)</f>
        <v>8.2767725291433614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35</v>
      </c>
      <c r="C3" s="130" t="s">
        <v>127</v>
      </c>
      <c r="D3" s="70"/>
      <c r="E3" s="25"/>
      <c r="F3" s="25"/>
      <c r="G3" s="25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60" si="0">M6</f>
        <v>124.83031758743009</v>
      </c>
      <c r="B6" s="33">
        <f>IF(H6&gt;$H$2,"",(ROW()-5))</f>
        <v>1</v>
      </c>
      <c r="C6" s="34" t="s">
        <v>54</v>
      </c>
      <c r="D6" s="34"/>
      <c r="E6" s="34"/>
      <c r="F6" s="34"/>
      <c r="G6" s="27"/>
      <c r="H6" s="98">
        <v>1</v>
      </c>
      <c r="I6" s="99">
        <f t="shared" ref="I6:I69" si="1">IF(H6&lt;$H$2+1,($I$2-($I$2-1)*(LOG(H6)/LOG($H$2))),"")</f>
        <v>50</v>
      </c>
      <c r="J6" s="98">
        <f t="shared" ref="J6:J69" si="2">INT(LOG($H$2,2))-ROUNDUP(LOG(H6,2),0)+IF(OR($H$2=1,$H$2=2,$H$2=4,$H$2=8,$H$2=16,$H$2=32,$H$2=64,$H$2=128,$H$2=256),0,1)</f>
        <v>5</v>
      </c>
      <c r="K6" s="98">
        <f t="shared" ref="K6:K69" si="3">J6*$J$2</f>
        <v>50</v>
      </c>
      <c r="L6" s="100">
        <f>3*K2</f>
        <v>24.830317587430084</v>
      </c>
      <c r="M6" s="100">
        <f t="shared" ref="M6:M69" si="4">IF(I6&lt;&gt;"",K6+I6+L6,0)</f>
        <v>124.83031758743009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95.397702872136023</v>
      </c>
      <c r="B7" s="39">
        <f>IF(H7&gt;$H$2,"",(ROW()-5))</f>
        <v>2</v>
      </c>
      <c r="C7" s="40" t="s">
        <v>20</v>
      </c>
      <c r="D7" s="40"/>
      <c r="E7" s="40"/>
      <c r="F7" s="40"/>
      <c r="G7" s="27"/>
      <c r="H7" s="102">
        <v>2</v>
      </c>
      <c r="I7" s="103">
        <f t="shared" si="1"/>
        <v>38.844157813849307</v>
      </c>
      <c r="J7" s="102">
        <f t="shared" si="2"/>
        <v>4</v>
      </c>
      <c r="K7" s="102">
        <f t="shared" si="3"/>
        <v>40</v>
      </c>
      <c r="L7" s="104">
        <f>2*K2</f>
        <v>16.553545058286723</v>
      </c>
      <c r="M7" s="104">
        <f t="shared" si="4"/>
        <v>95.397702872136023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70.595181000131376</v>
      </c>
      <c r="B8" s="33">
        <f>IF(H8&gt;$H$2,"",(ROW()-5))</f>
        <v>3</v>
      </c>
      <c r="C8" s="34" t="s">
        <v>54</v>
      </c>
      <c r="D8" s="34"/>
      <c r="E8" s="34"/>
      <c r="F8" s="34"/>
      <c r="G8" s="27"/>
      <c r="H8" s="98">
        <v>3</v>
      </c>
      <c r="I8" s="99">
        <f t="shared" si="1"/>
        <v>32.318408470988018</v>
      </c>
      <c r="J8" s="98">
        <f t="shared" si="2"/>
        <v>3</v>
      </c>
      <c r="K8" s="98">
        <f t="shared" si="3"/>
        <v>30</v>
      </c>
      <c r="L8" s="100">
        <f>K2</f>
        <v>8.2767725291433614</v>
      </c>
      <c r="M8" s="100">
        <f t="shared" si="4"/>
        <v>70.595181000131376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70.595181000131376</v>
      </c>
      <c r="B9" s="39">
        <f>IF(H9&gt;$H$2,"",3)</f>
        <v>3</v>
      </c>
      <c r="C9" s="40" t="s">
        <v>54</v>
      </c>
      <c r="D9" s="40"/>
      <c r="E9" s="40"/>
      <c r="F9" s="40"/>
      <c r="G9" s="27"/>
      <c r="H9" s="102">
        <v>3</v>
      </c>
      <c r="I9" s="103">
        <f t="shared" si="1"/>
        <v>32.318408470988018</v>
      </c>
      <c r="J9" s="102">
        <f t="shared" si="2"/>
        <v>3</v>
      </c>
      <c r="K9" s="102">
        <f t="shared" si="3"/>
        <v>30</v>
      </c>
      <c r="L9" s="104">
        <f>K2</f>
        <v>8.2767725291433614</v>
      </c>
      <c r="M9" s="104">
        <f t="shared" si="4"/>
        <v>70.595181000131376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44.096936605847048</v>
      </c>
      <c r="B10" s="33">
        <f t="shared" ref="B10:B65" si="5">IF(H10&gt;$H$2,"",(ROW()-5))</f>
        <v>5</v>
      </c>
      <c r="C10" s="34" t="s">
        <v>54</v>
      </c>
      <c r="D10" s="34"/>
      <c r="E10" s="34"/>
      <c r="F10" s="34"/>
      <c r="G10" s="27"/>
      <c r="H10" s="98">
        <v>5</v>
      </c>
      <c r="I10" s="99">
        <f t="shared" si="1"/>
        <v>24.096936605847045</v>
      </c>
      <c r="J10" s="98">
        <f t="shared" si="2"/>
        <v>2</v>
      </c>
      <c r="K10" s="98">
        <f t="shared" si="3"/>
        <v>20</v>
      </c>
      <c r="L10" s="98"/>
      <c r="M10" s="100">
        <f t="shared" si="4"/>
        <v>44.096936605847048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41.162566284837325</v>
      </c>
      <c r="B11" s="39">
        <f t="shared" si="5"/>
        <v>6</v>
      </c>
      <c r="C11" s="40" t="s">
        <v>54</v>
      </c>
      <c r="D11" s="40"/>
      <c r="E11" s="40"/>
      <c r="F11" s="40"/>
      <c r="G11" s="27"/>
      <c r="H11" s="102">
        <v>6</v>
      </c>
      <c r="I11" s="103">
        <f t="shared" si="1"/>
        <v>21.162566284837325</v>
      </c>
      <c r="J11" s="102">
        <f t="shared" si="2"/>
        <v>2</v>
      </c>
      <c r="K11" s="102">
        <f t="shared" si="3"/>
        <v>20</v>
      </c>
      <c r="L11" s="102"/>
      <c r="M11" s="104">
        <f t="shared" si="4"/>
        <v>41.162566284837325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38.681591529011982</v>
      </c>
      <c r="B12" s="33">
        <f t="shared" si="5"/>
        <v>7</v>
      </c>
      <c r="C12" s="34" t="s">
        <v>54</v>
      </c>
      <c r="D12" s="34"/>
      <c r="E12" s="34"/>
      <c r="F12" s="34"/>
      <c r="G12" s="27"/>
      <c r="H12" s="98">
        <v>7</v>
      </c>
      <c r="I12" s="99">
        <f t="shared" si="1"/>
        <v>18.681591529011982</v>
      </c>
      <c r="J12" s="98">
        <f t="shared" si="2"/>
        <v>2</v>
      </c>
      <c r="K12" s="98">
        <f t="shared" si="3"/>
        <v>20</v>
      </c>
      <c r="L12" s="98"/>
      <c r="M12" s="100">
        <f t="shared" si="4"/>
        <v>38.681591529011982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36.532473441547907</v>
      </c>
      <c r="B13" s="39">
        <f t="shared" si="5"/>
        <v>8</v>
      </c>
      <c r="C13" s="40" t="s">
        <v>54</v>
      </c>
      <c r="D13" s="40"/>
      <c r="E13" s="40"/>
      <c r="F13" s="40"/>
      <c r="G13" s="27"/>
      <c r="H13" s="102">
        <v>8</v>
      </c>
      <c r="I13" s="103">
        <f t="shared" si="1"/>
        <v>16.532473441547907</v>
      </c>
      <c r="J13" s="102">
        <f t="shared" si="2"/>
        <v>2</v>
      </c>
      <c r="K13" s="102">
        <f t="shared" si="3"/>
        <v>20</v>
      </c>
      <c r="L13" s="102"/>
      <c r="M13" s="104">
        <f t="shared" si="4"/>
        <v>36.532473441547907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24.636816941976043</v>
      </c>
      <c r="B14" s="33">
        <f t="shared" si="5"/>
        <v>9</v>
      </c>
      <c r="C14" s="34" t="s">
        <v>54</v>
      </c>
      <c r="D14" s="34"/>
      <c r="E14" s="34"/>
      <c r="F14" s="34"/>
      <c r="G14" s="27"/>
      <c r="H14" s="98">
        <v>9</v>
      </c>
      <c r="I14" s="99">
        <f t="shared" si="1"/>
        <v>14.636816941976043</v>
      </c>
      <c r="J14" s="98">
        <f t="shared" si="2"/>
        <v>1</v>
      </c>
      <c r="K14" s="98">
        <f t="shared" si="3"/>
        <v>10</v>
      </c>
      <c r="L14" s="98"/>
      <c r="M14" s="100">
        <f t="shared" si="4"/>
        <v>24.636816941976043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22.941094419696348</v>
      </c>
      <c r="B15" s="39">
        <f t="shared" si="5"/>
        <v>10</v>
      </c>
      <c r="C15" s="40" t="s">
        <v>54</v>
      </c>
      <c r="D15" s="40"/>
      <c r="E15" s="40"/>
      <c r="F15" s="40"/>
      <c r="G15" s="27"/>
      <c r="H15" s="102">
        <v>10</v>
      </c>
      <c r="I15" s="103">
        <f t="shared" si="1"/>
        <v>12.941094419696348</v>
      </c>
      <c r="J15" s="102">
        <f t="shared" si="2"/>
        <v>1</v>
      </c>
      <c r="K15" s="102">
        <f t="shared" si="3"/>
        <v>10</v>
      </c>
      <c r="L15" s="102"/>
      <c r="M15" s="104">
        <f t="shared" si="4"/>
        <v>22.941094419696348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21.407126808702444</v>
      </c>
      <c r="B16" s="33">
        <f t="shared" si="5"/>
        <v>11</v>
      </c>
      <c r="C16" s="34" t="s">
        <v>54</v>
      </c>
      <c r="D16" s="34"/>
      <c r="E16" s="34"/>
      <c r="F16" s="34"/>
      <c r="G16" s="27"/>
      <c r="H16" s="98">
        <v>11</v>
      </c>
      <c r="I16" s="99">
        <f t="shared" si="1"/>
        <v>11.407126808702444</v>
      </c>
      <c r="J16" s="98">
        <f t="shared" si="2"/>
        <v>1</v>
      </c>
      <c r="K16" s="98">
        <f t="shared" si="3"/>
        <v>10</v>
      </c>
      <c r="L16" s="98"/>
      <c r="M16" s="100">
        <f t="shared" si="4"/>
        <v>21.407126808702444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20.006724098686625</v>
      </c>
      <c r="B17" s="39">
        <f t="shared" si="5"/>
        <v>12</v>
      </c>
      <c r="C17" s="40" t="s">
        <v>54</v>
      </c>
      <c r="D17" s="40"/>
      <c r="E17" s="40"/>
      <c r="F17" s="40"/>
      <c r="G17" s="27"/>
      <c r="H17" s="102">
        <v>12</v>
      </c>
      <c r="I17" s="103">
        <f t="shared" si="1"/>
        <v>10.006724098686625</v>
      </c>
      <c r="J17" s="102">
        <f t="shared" si="2"/>
        <v>1</v>
      </c>
      <c r="K17" s="102">
        <f t="shared" si="3"/>
        <v>10</v>
      </c>
      <c r="L17" s="102"/>
      <c r="M17" s="104">
        <f t="shared" si="4"/>
        <v>20.006724098686625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18.718478485054014</v>
      </c>
      <c r="B18" s="33">
        <f t="shared" si="5"/>
        <v>13</v>
      </c>
      <c r="C18" s="34" t="s">
        <v>54</v>
      </c>
      <c r="D18" s="34"/>
      <c r="E18" s="34"/>
      <c r="F18" s="34"/>
      <c r="G18" s="27"/>
      <c r="H18" s="98">
        <v>13</v>
      </c>
      <c r="I18" s="99">
        <f t="shared" si="1"/>
        <v>8.718478485054014</v>
      </c>
      <c r="J18" s="98">
        <f t="shared" si="2"/>
        <v>1</v>
      </c>
      <c r="K18" s="98">
        <f t="shared" si="3"/>
        <v>10</v>
      </c>
      <c r="L18" s="98"/>
      <c r="M18" s="100">
        <f t="shared" si="4"/>
        <v>18.718478485054014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17.525749342861289</v>
      </c>
      <c r="B19" s="39">
        <f t="shared" si="5"/>
        <v>14</v>
      </c>
      <c r="C19" s="40" t="s">
        <v>54</v>
      </c>
      <c r="D19" s="40"/>
      <c r="E19" s="40"/>
      <c r="F19" s="40"/>
      <c r="G19" s="27"/>
      <c r="H19" s="102">
        <v>14</v>
      </c>
      <c r="I19" s="103">
        <f t="shared" si="1"/>
        <v>7.5257493428612889</v>
      </c>
      <c r="J19" s="102">
        <f t="shared" si="2"/>
        <v>1</v>
      </c>
      <c r="K19" s="102">
        <f t="shared" si="3"/>
        <v>10</v>
      </c>
      <c r="L19" s="102"/>
      <c r="M19" s="104">
        <f t="shared" si="4"/>
        <v>17.525749342861289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16.41534507683506</v>
      </c>
      <c r="B20" s="33">
        <f t="shared" si="5"/>
        <v>15</v>
      </c>
      <c r="C20" s="34" t="s">
        <v>54</v>
      </c>
      <c r="D20" s="34"/>
      <c r="E20" s="34"/>
      <c r="F20" s="34"/>
      <c r="G20" s="27"/>
      <c r="H20" s="98">
        <v>15</v>
      </c>
      <c r="I20" s="99">
        <f t="shared" si="1"/>
        <v>6.4153450768350595</v>
      </c>
      <c r="J20" s="98">
        <f t="shared" si="2"/>
        <v>1</v>
      </c>
      <c r="K20" s="98">
        <f t="shared" si="3"/>
        <v>10</v>
      </c>
      <c r="L20" s="98"/>
      <c r="M20" s="100">
        <f t="shared" si="4"/>
        <v>16.41534507683506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15.376631255397214</v>
      </c>
      <c r="B21" s="39">
        <f t="shared" si="5"/>
        <v>16</v>
      </c>
      <c r="C21" s="40" t="s">
        <v>54</v>
      </c>
      <c r="D21" s="40"/>
      <c r="E21" s="40"/>
      <c r="F21" s="40"/>
      <c r="G21" s="27"/>
      <c r="H21" s="102">
        <v>16</v>
      </c>
      <c r="I21" s="103">
        <f t="shared" si="1"/>
        <v>5.3766312553972142</v>
      </c>
      <c r="J21" s="102">
        <f t="shared" si="2"/>
        <v>1</v>
      </c>
      <c r="K21" s="102">
        <f t="shared" si="3"/>
        <v>10</v>
      </c>
      <c r="L21" s="102"/>
      <c r="M21" s="104">
        <f t="shared" si="4"/>
        <v>15.376631255397214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4.4009096012560747</v>
      </c>
      <c r="B22" s="33">
        <f t="shared" si="5"/>
        <v>17</v>
      </c>
      <c r="C22" s="34" t="s">
        <v>54</v>
      </c>
      <c r="D22" s="34"/>
      <c r="E22" s="34"/>
      <c r="F22" s="34"/>
      <c r="G22" s="27"/>
      <c r="H22" s="98">
        <v>17</v>
      </c>
      <c r="I22" s="99">
        <f t="shared" si="1"/>
        <v>4.4009096012560747</v>
      </c>
      <c r="J22" s="98">
        <f t="shared" si="2"/>
        <v>0</v>
      </c>
      <c r="K22" s="98">
        <f t="shared" si="3"/>
        <v>0</v>
      </c>
      <c r="L22" s="98"/>
      <c r="M22" s="100">
        <f t="shared" si="4"/>
        <v>4.4009096012560747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3.4809747558253505</v>
      </c>
      <c r="B23" s="39">
        <f t="shared" si="5"/>
        <v>18</v>
      </c>
      <c r="C23" s="40" t="s">
        <v>54</v>
      </c>
      <c r="D23" s="40"/>
      <c r="E23" s="40"/>
      <c r="F23" s="40"/>
      <c r="G23" s="27"/>
      <c r="H23" s="102">
        <v>18</v>
      </c>
      <c r="I23" s="103">
        <f t="shared" si="1"/>
        <v>3.4809747558253505</v>
      </c>
      <c r="J23" s="102">
        <f t="shared" si="2"/>
        <v>0</v>
      </c>
      <c r="K23" s="102">
        <f t="shared" si="3"/>
        <v>0</v>
      </c>
      <c r="L23" s="102"/>
      <c r="M23" s="104">
        <f t="shared" si="4"/>
        <v>3.4809747558253505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2.6107910418158227</v>
      </c>
      <c r="B24" s="33">
        <f t="shared" si="5"/>
        <v>19</v>
      </c>
      <c r="C24" s="34" t="s">
        <v>54</v>
      </c>
      <c r="D24" s="34"/>
      <c r="E24" s="34"/>
      <c r="F24" s="34"/>
      <c r="G24" s="27"/>
      <c r="H24" s="98">
        <v>19</v>
      </c>
      <c r="I24" s="99">
        <f t="shared" si="1"/>
        <v>2.6107910418158227</v>
      </c>
      <c r="J24" s="98">
        <f t="shared" si="2"/>
        <v>0</v>
      </c>
      <c r="K24" s="98">
        <f t="shared" si="3"/>
        <v>0</v>
      </c>
      <c r="L24" s="98"/>
      <c r="M24" s="100">
        <f t="shared" si="4"/>
        <v>2.6107910418158227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1.7852522335456484</v>
      </c>
      <c r="B25" s="39">
        <f t="shared" si="5"/>
        <v>20</v>
      </c>
      <c r="C25" s="40" t="s">
        <v>54</v>
      </c>
      <c r="D25" s="40"/>
      <c r="E25" s="40"/>
      <c r="F25" s="40"/>
      <c r="G25" s="27"/>
      <c r="H25" s="102">
        <v>20</v>
      </c>
      <c r="I25" s="103">
        <f t="shared" si="1"/>
        <v>1.7852522335456484</v>
      </c>
      <c r="J25" s="102">
        <f t="shared" si="2"/>
        <v>0</v>
      </c>
      <c r="K25" s="102">
        <f t="shared" si="3"/>
        <v>0</v>
      </c>
      <c r="L25" s="102"/>
      <c r="M25" s="104">
        <f t="shared" si="4"/>
        <v>1.7852522335456484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1</v>
      </c>
      <c r="B26" s="33">
        <f t="shared" si="5"/>
        <v>21</v>
      </c>
      <c r="C26" s="34" t="s">
        <v>54</v>
      </c>
      <c r="D26" s="34"/>
      <c r="E26" s="34"/>
      <c r="F26" s="34"/>
      <c r="G26" s="27"/>
      <c r="H26" s="98">
        <v>21</v>
      </c>
      <c r="I26" s="99">
        <f t="shared" si="1"/>
        <v>1</v>
      </c>
      <c r="J26" s="98">
        <f t="shared" si="2"/>
        <v>0</v>
      </c>
      <c r="K26" s="98">
        <f t="shared" si="3"/>
        <v>0</v>
      </c>
      <c r="L26" s="98"/>
      <c r="M26" s="100">
        <f t="shared" si="4"/>
        <v>1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2">
        <f t="shared" si="2"/>
        <v>0</v>
      </c>
      <c r="K27" s="102">
        <f t="shared" si="3"/>
        <v>0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8">
        <f t="shared" si="2"/>
        <v>0</v>
      </c>
      <c r="K28" s="98">
        <f t="shared" si="3"/>
        <v>0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2">
        <f t="shared" si="2"/>
        <v>0</v>
      </c>
      <c r="K29" s="102">
        <f t="shared" si="3"/>
        <v>0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8">
        <f t="shared" si="2"/>
        <v>0</v>
      </c>
      <c r="K30" s="98">
        <f t="shared" si="3"/>
        <v>0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2">
        <f t="shared" si="2"/>
        <v>0</v>
      </c>
      <c r="K31" s="102">
        <f t="shared" si="3"/>
        <v>0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8">
        <f t="shared" si="2"/>
        <v>0</v>
      </c>
      <c r="K32" s="98">
        <f t="shared" si="3"/>
        <v>0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2">
        <f t="shared" si="2"/>
        <v>0</v>
      </c>
      <c r="K33" s="102">
        <f t="shared" si="3"/>
        <v>0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8">
        <f t="shared" si="2"/>
        <v>0</v>
      </c>
      <c r="K34" s="98">
        <f t="shared" si="3"/>
        <v>0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2">
        <f t="shared" si="2"/>
        <v>0</v>
      </c>
      <c r="K35" s="102">
        <f t="shared" si="3"/>
        <v>0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8">
        <f t="shared" si="2"/>
        <v>0</v>
      </c>
      <c r="K36" s="98">
        <f t="shared" si="3"/>
        <v>0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2">
        <f t="shared" si="2"/>
        <v>0</v>
      </c>
      <c r="K37" s="102">
        <f t="shared" si="3"/>
        <v>0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si="0"/>
        <v>0</v>
      </c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8">
        <f t="shared" si="2"/>
        <v>-1</v>
      </c>
      <c r="K38" s="98">
        <f t="shared" si="3"/>
        <v>-10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0"/>
        <v>0</v>
      </c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2">
        <f t="shared" si="2"/>
        <v>-1</v>
      </c>
      <c r="K39" s="102">
        <f t="shared" si="3"/>
        <v>-10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0"/>
        <v>0</v>
      </c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8">
        <f t="shared" si="2"/>
        <v>-1</v>
      </c>
      <c r="K40" s="98">
        <f t="shared" si="3"/>
        <v>-10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0"/>
        <v>0</v>
      </c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2">
        <f t="shared" si="2"/>
        <v>-1</v>
      </c>
      <c r="K41" s="102">
        <f t="shared" si="3"/>
        <v>-10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0"/>
        <v>0</v>
      </c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8">
        <f t="shared" si="2"/>
        <v>-1</v>
      </c>
      <c r="K42" s="98">
        <f t="shared" si="3"/>
        <v>-10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0"/>
        <v>0</v>
      </c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2">
        <f t="shared" si="2"/>
        <v>-1</v>
      </c>
      <c r="K43" s="102">
        <f t="shared" si="3"/>
        <v>-10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0"/>
        <v>0</v>
      </c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8">
        <f t="shared" si="2"/>
        <v>-1</v>
      </c>
      <c r="K44" s="98">
        <f t="shared" si="3"/>
        <v>-10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0"/>
        <v>0</v>
      </c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2">
        <f t="shared" si="2"/>
        <v>-1</v>
      </c>
      <c r="K45" s="102">
        <f t="shared" si="3"/>
        <v>-10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0"/>
        <v>0</v>
      </c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8">
        <f t="shared" si="2"/>
        <v>-1</v>
      </c>
      <c r="K46" s="98">
        <f t="shared" si="3"/>
        <v>-10</v>
      </c>
      <c r="L46" s="98"/>
      <c r="M46" s="100">
        <f t="shared" si="4"/>
        <v>0</v>
      </c>
      <c r="N46" s="83"/>
      <c r="O46" s="83"/>
      <c r="P46" s="83"/>
      <c r="Q46" s="83"/>
      <c r="R46" s="83">
        <f>LOG($H$2,2)</f>
        <v>4.3923174227787607</v>
      </c>
      <c r="T46" s="88">
        <f>LOG(H38,2)</f>
        <v>5.0443941193584534</v>
      </c>
      <c r="U46" s="88">
        <f>R46-T46</f>
        <v>-0.65207669657969269</v>
      </c>
    </row>
    <row r="47" spans="1:21" s="88" customFormat="1" x14ac:dyDescent="0.25">
      <c r="A47" s="101">
        <f t="shared" si="0"/>
        <v>0</v>
      </c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2">
        <f t="shared" si="2"/>
        <v>-1</v>
      </c>
      <c r="K47" s="102">
        <f t="shared" si="3"/>
        <v>-10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0"/>
        <v>0</v>
      </c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8">
        <f t="shared" si="2"/>
        <v>-1</v>
      </c>
      <c r="K48" s="98">
        <f t="shared" si="3"/>
        <v>-10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0"/>
        <v>0</v>
      </c>
      <c r="B49" s="39" t="str">
        <f t="shared" si="5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2">
        <f t="shared" si="2"/>
        <v>-1</v>
      </c>
      <c r="K49" s="102">
        <f t="shared" si="3"/>
        <v>-10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0"/>
        <v>0</v>
      </c>
      <c r="B50" s="33" t="str">
        <f t="shared" si="5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8">
        <f t="shared" si="2"/>
        <v>-1</v>
      </c>
      <c r="K50" s="98">
        <f t="shared" si="3"/>
        <v>-10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0"/>
        <v>0</v>
      </c>
      <c r="B51" s="39" t="str">
        <f t="shared" si="5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2">
        <f t="shared" si="2"/>
        <v>-1</v>
      </c>
      <c r="K51" s="102">
        <f t="shared" si="3"/>
        <v>-10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0"/>
        <v>0</v>
      </c>
      <c r="B52" s="33" t="str">
        <f t="shared" si="5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8">
        <f t="shared" si="2"/>
        <v>-1</v>
      </c>
      <c r="K52" s="98">
        <f t="shared" si="3"/>
        <v>-10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0"/>
        <v>0</v>
      </c>
      <c r="B53" s="39" t="str">
        <f t="shared" si="5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2">
        <f t="shared" si="2"/>
        <v>-1</v>
      </c>
      <c r="K53" s="102">
        <f t="shared" si="3"/>
        <v>-10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0"/>
        <v>0</v>
      </c>
      <c r="B54" s="33" t="str">
        <f t="shared" si="5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8">
        <f t="shared" si="2"/>
        <v>-1</v>
      </c>
      <c r="K54" s="98">
        <f t="shared" si="3"/>
        <v>-10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0"/>
        <v>0</v>
      </c>
      <c r="B55" s="39" t="str">
        <f t="shared" si="5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2">
        <f t="shared" si="2"/>
        <v>-1</v>
      </c>
      <c r="K55" s="102">
        <f t="shared" si="3"/>
        <v>-10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0"/>
        <v>0</v>
      </c>
      <c r="B56" s="33" t="str">
        <f t="shared" si="5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8">
        <f t="shared" si="2"/>
        <v>-1</v>
      </c>
      <c r="K56" s="98">
        <f t="shared" si="3"/>
        <v>-10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0"/>
        <v>0</v>
      </c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2">
        <f t="shared" si="2"/>
        <v>-1</v>
      </c>
      <c r="K57" s="102">
        <f t="shared" si="3"/>
        <v>-10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0"/>
        <v>0</v>
      </c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8">
        <f t="shared" si="2"/>
        <v>-1</v>
      </c>
      <c r="K58" s="98">
        <f t="shared" si="3"/>
        <v>-10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0"/>
        <v>0</v>
      </c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2">
        <f t="shared" si="2"/>
        <v>-1</v>
      </c>
      <c r="K59" s="102">
        <f t="shared" si="3"/>
        <v>-10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0"/>
        <v>0</v>
      </c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8">
        <f t="shared" si="2"/>
        <v>-1</v>
      </c>
      <c r="K60" s="98">
        <f t="shared" si="3"/>
        <v>-10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2">
        <f t="shared" si="2"/>
        <v>-1</v>
      </c>
      <c r="K61" s="102">
        <f t="shared" si="3"/>
        <v>-10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8">
        <f t="shared" si="2"/>
        <v>-1</v>
      </c>
      <c r="K62" s="98">
        <f t="shared" si="3"/>
        <v>-10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2">
        <f t="shared" si="2"/>
        <v>-1</v>
      </c>
      <c r="K63" s="102">
        <f t="shared" si="3"/>
        <v>-10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8">
        <f t="shared" si="2"/>
        <v>-1</v>
      </c>
      <c r="K64" s="98">
        <f t="shared" si="3"/>
        <v>-10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2">
        <f t="shared" si="2"/>
        <v>-1</v>
      </c>
      <c r="K65" s="102">
        <f t="shared" si="3"/>
        <v>-10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8">
        <f t="shared" si="2"/>
        <v>-1</v>
      </c>
      <c r="K66" s="98">
        <f t="shared" si="3"/>
        <v>-10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8">
        <f t="shared" si="2"/>
        <v>-1</v>
      </c>
      <c r="K67" s="98">
        <f t="shared" si="3"/>
        <v>-10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/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8">
        <f t="shared" si="2"/>
        <v>-1</v>
      </c>
      <c r="K68" s="98">
        <f t="shared" si="3"/>
        <v>-10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/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8">
        <f t="shared" si="2"/>
        <v>-1</v>
      </c>
      <c r="K69" s="98">
        <f t="shared" si="3"/>
        <v>-10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6">IF(H70&lt;$H$2+1,($I$2-($I$2-1)*(LOG(H70)/LOG($H$2))),"")</f>
        <v/>
      </c>
      <c r="J70" s="98">
        <f t="shared" ref="J70:J133" si="7">INT(LOG($H$2,2))-ROUNDUP(LOG(H70,2),0)+IF(OR($H$2=1,$H$2=2,$H$2=4,$H$2=8,$H$2=16,$H$2=32,$H$2=64,$H$2=128,$H$2=256),0,1)</f>
        <v>-2</v>
      </c>
      <c r="K70" s="98">
        <f t="shared" ref="K70:K133" si="8">J70*$J$2</f>
        <v>-20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6"/>
        <v/>
      </c>
      <c r="J71" s="98">
        <f t="shared" si="7"/>
        <v>-2</v>
      </c>
      <c r="K71" s="98">
        <f t="shared" si="8"/>
        <v>-20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6"/>
        <v/>
      </c>
      <c r="J72" s="98">
        <f t="shared" si="7"/>
        <v>-2</v>
      </c>
      <c r="K72" s="98">
        <f t="shared" si="8"/>
        <v>-20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6"/>
        <v/>
      </c>
      <c r="J73" s="98">
        <f t="shared" si="7"/>
        <v>-2</v>
      </c>
      <c r="K73" s="98">
        <f t="shared" si="8"/>
        <v>-20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6"/>
        <v/>
      </c>
      <c r="J74" s="98">
        <f t="shared" si="7"/>
        <v>-2</v>
      </c>
      <c r="K74" s="98">
        <f t="shared" si="8"/>
        <v>-20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6"/>
        <v/>
      </c>
      <c r="J75" s="98">
        <f t="shared" si="7"/>
        <v>-2</v>
      </c>
      <c r="K75" s="98">
        <f t="shared" si="8"/>
        <v>-20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6"/>
        <v/>
      </c>
      <c r="J76" s="98">
        <f t="shared" si="7"/>
        <v>-2</v>
      </c>
      <c r="K76" s="98">
        <f t="shared" si="8"/>
        <v>-20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6"/>
        <v/>
      </c>
      <c r="J77" s="98">
        <f t="shared" si="7"/>
        <v>-2</v>
      </c>
      <c r="K77" s="98">
        <f t="shared" si="8"/>
        <v>-20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6"/>
        <v/>
      </c>
      <c r="J78" s="98">
        <f t="shared" si="7"/>
        <v>-2</v>
      </c>
      <c r="K78" s="98">
        <f t="shared" si="8"/>
        <v>-20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6"/>
        <v/>
      </c>
      <c r="J79" s="98">
        <f t="shared" si="7"/>
        <v>-2</v>
      </c>
      <c r="K79" s="98">
        <f t="shared" si="8"/>
        <v>-20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6"/>
        <v/>
      </c>
      <c r="J80" s="98">
        <f t="shared" si="7"/>
        <v>-2</v>
      </c>
      <c r="K80" s="98">
        <f t="shared" si="8"/>
        <v>-20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6"/>
        <v/>
      </c>
      <c r="J81" s="98">
        <f t="shared" si="7"/>
        <v>-2</v>
      </c>
      <c r="K81" s="98">
        <f t="shared" si="8"/>
        <v>-20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6"/>
        <v/>
      </c>
      <c r="J82" s="98">
        <f t="shared" si="7"/>
        <v>-2</v>
      </c>
      <c r="K82" s="98">
        <f t="shared" si="8"/>
        <v>-20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6"/>
        <v/>
      </c>
      <c r="J83" s="98">
        <f t="shared" si="7"/>
        <v>-2</v>
      </c>
      <c r="K83" s="98">
        <f t="shared" si="8"/>
        <v>-20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6"/>
        <v/>
      </c>
      <c r="J84" s="98">
        <f t="shared" si="7"/>
        <v>-2</v>
      </c>
      <c r="K84" s="98">
        <f t="shared" si="8"/>
        <v>-20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6"/>
        <v/>
      </c>
      <c r="J85" s="98">
        <f t="shared" si="7"/>
        <v>-2</v>
      </c>
      <c r="K85" s="98">
        <f t="shared" si="8"/>
        <v>-20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6"/>
        <v/>
      </c>
      <c r="J86" s="98">
        <f t="shared" si="7"/>
        <v>-2</v>
      </c>
      <c r="K86" s="98">
        <f t="shared" si="8"/>
        <v>-20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6"/>
        <v/>
      </c>
      <c r="J87" s="98">
        <f t="shared" si="7"/>
        <v>-2</v>
      </c>
      <c r="K87" s="98">
        <f t="shared" si="8"/>
        <v>-20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6"/>
        <v/>
      </c>
      <c r="J88" s="98">
        <f t="shared" si="7"/>
        <v>-2</v>
      </c>
      <c r="K88" s="98">
        <f t="shared" si="8"/>
        <v>-20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6"/>
        <v/>
      </c>
      <c r="J89" s="98">
        <f t="shared" si="7"/>
        <v>-2</v>
      </c>
      <c r="K89" s="98">
        <f t="shared" si="8"/>
        <v>-20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6"/>
        <v/>
      </c>
      <c r="J90" s="98">
        <f t="shared" si="7"/>
        <v>-2</v>
      </c>
      <c r="K90" s="98">
        <f t="shared" si="8"/>
        <v>-20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6"/>
        <v/>
      </c>
      <c r="J91" s="98">
        <f t="shared" si="7"/>
        <v>-2</v>
      </c>
      <c r="K91" s="98">
        <f t="shared" si="8"/>
        <v>-20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6"/>
        <v/>
      </c>
      <c r="J92" s="98">
        <f t="shared" si="7"/>
        <v>-2</v>
      </c>
      <c r="K92" s="98">
        <f t="shared" si="8"/>
        <v>-20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6"/>
        <v/>
      </c>
      <c r="J93" s="98">
        <f t="shared" si="7"/>
        <v>-2</v>
      </c>
      <c r="K93" s="98">
        <f t="shared" si="8"/>
        <v>-20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6"/>
        <v/>
      </c>
      <c r="J94" s="98">
        <f t="shared" si="7"/>
        <v>-2</v>
      </c>
      <c r="K94" s="98">
        <f t="shared" si="8"/>
        <v>-20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6"/>
        <v/>
      </c>
      <c r="J95" s="98">
        <f t="shared" si="7"/>
        <v>-2</v>
      </c>
      <c r="K95" s="98">
        <f t="shared" si="8"/>
        <v>-20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6"/>
        <v/>
      </c>
      <c r="J96" s="98">
        <f t="shared" si="7"/>
        <v>-2</v>
      </c>
      <c r="K96" s="98">
        <f t="shared" si="8"/>
        <v>-20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6"/>
        <v/>
      </c>
      <c r="J97" s="98">
        <f t="shared" si="7"/>
        <v>-2</v>
      </c>
      <c r="K97" s="98">
        <f t="shared" si="8"/>
        <v>-20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6"/>
        <v/>
      </c>
      <c r="J98" s="98">
        <f t="shared" si="7"/>
        <v>-2</v>
      </c>
      <c r="K98" s="98">
        <f t="shared" si="8"/>
        <v>-20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6"/>
        <v/>
      </c>
      <c r="J99" s="98">
        <f t="shared" si="7"/>
        <v>-2</v>
      </c>
      <c r="K99" s="98">
        <f t="shared" si="8"/>
        <v>-20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6"/>
        <v/>
      </c>
      <c r="J100" s="98">
        <f t="shared" si="7"/>
        <v>-2</v>
      </c>
      <c r="K100" s="98">
        <f t="shared" si="8"/>
        <v>-20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6"/>
        <v/>
      </c>
      <c r="J101" s="98">
        <f t="shared" si="7"/>
        <v>-2</v>
      </c>
      <c r="K101" s="98">
        <f t="shared" si="8"/>
        <v>-20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6"/>
        <v/>
      </c>
      <c r="J102" s="98">
        <f t="shared" si="7"/>
        <v>-2</v>
      </c>
      <c r="K102" s="98">
        <f t="shared" si="8"/>
        <v>-20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6"/>
        <v/>
      </c>
      <c r="J103" s="98">
        <f t="shared" si="7"/>
        <v>-2</v>
      </c>
      <c r="K103" s="98">
        <f t="shared" si="8"/>
        <v>-20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6"/>
        <v/>
      </c>
      <c r="J104" s="98">
        <f t="shared" si="7"/>
        <v>-2</v>
      </c>
      <c r="K104" s="98">
        <f t="shared" si="8"/>
        <v>-20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6"/>
        <v/>
      </c>
      <c r="J105" s="98">
        <f t="shared" si="7"/>
        <v>-2</v>
      </c>
      <c r="K105" s="98">
        <f t="shared" si="8"/>
        <v>-20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6"/>
        <v/>
      </c>
      <c r="J106" s="98">
        <f t="shared" si="7"/>
        <v>-2</v>
      </c>
      <c r="K106" s="98">
        <f t="shared" si="8"/>
        <v>-20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6"/>
        <v/>
      </c>
      <c r="J107" s="98">
        <f t="shared" si="7"/>
        <v>-2</v>
      </c>
      <c r="K107" s="98">
        <f t="shared" si="8"/>
        <v>-20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6"/>
        <v/>
      </c>
      <c r="J108" s="98">
        <f t="shared" si="7"/>
        <v>-2</v>
      </c>
      <c r="K108" s="98">
        <f t="shared" si="8"/>
        <v>-20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6"/>
        <v/>
      </c>
      <c r="J109" s="98">
        <f t="shared" si="7"/>
        <v>-2</v>
      </c>
      <c r="K109" s="98">
        <f t="shared" si="8"/>
        <v>-20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6"/>
        <v/>
      </c>
      <c r="J110" s="98">
        <f t="shared" si="7"/>
        <v>-2</v>
      </c>
      <c r="K110" s="98">
        <f t="shared" si="8"/>
        <v>-20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6"/>
        <v/>
      </c>
      <c r="J111" s="98">
        <f t="shared" si="7"/>
        <v>-2</v>
      </c>
      <c r="K111" s="98">
        <f t="shared" si="8"/>
        <v>-20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6"/>
        <v/>
      </c>
      <c r="J112" s="98">
        <f t="shared" si="7"/>
        <v>-2</v>
      </c>
      <c r="K112" s="98">
        <f t="shared" si="8"/>
        <v>-20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6"/>
        <v/>
      </c>
      <c r="J113" s="98">
        <f t="shared" si="7"/>
        <v>-2</v>
      </c>
      <c r="K113" s="98">
        <f t="shared" si="8"/>
        <v>-20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6"/>
        <v/>
      </c>
      <c r="J114" s="98">
        <f t="shared" si="7"/>
        <v>-2</v>
      </c>
      <c r="K114" s="98">
        <f t="shared" si="8"/>
        <v>-20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6"/>
        <v/>
      </c>
      <c r="J115" s="98">
        <f t="shared" si="7"/>
        <v>-2</v>
      </c>
      <c r="K115" s="98">
        <f t="shared" si="8"/>
        <v>-20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6"/>
        <v/>
      </c>
      <c r="J116" s="98">
        <f t="shared" si="7"/>
        <v>-2</v>
      </c>
      <c r="K116" s="98">
        <f t="shared" si="8"/>
        <v>-20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6"/>
        <v/>
      </c>
      <c r="J117" s="98">
        <f t="shared" si="7"/>
        <v>-2</v>
      </c>
      <c r="K117" s="98">
        <f t="shared" si="8"/>
        <v>-20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6"/>
        <v/>
      </c>
      <c r="J118" s="98">
        <f t="shared" si="7"/>
        <v>-2</v>
      </c>
      <c r="K118" s="98">
        <f t="shared" si="8"/>
        <v>-20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6"/>
        <v/>
      </c>
      <c r="J119" s="98">
        <f t="shared" si="7"/>
        <v>-2</v>
      </c>
      <c r="K119" s="98">
        <f t="shared" si="8"/>
        <v>-20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6"/>
        <v/>
      </c>
      <c r="J120" s="98">
        <f t="shared" si="7"/>
        <v>-2</v>
      </c>
      <c r="K120" s="98">
        <f t="shared" si="8"/>
        <v>-20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6"/>
        <v/>
      </c>
      <c r="J121" s="98">
        <f t="shared" si="7"/>
        <v>-2</v>
      </c>
      <c r="K121" s="98">
        <f t="shared" si="8"/>
        <v>-20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6"/>
        <v/>
      </c>
      <c r="J122" s="98">
        <f t="shared" si="7"/>
        <v>-2</v>
      </c>
      <c r="K122" s="98">
        <f t="shared" si="8"/>
        <v>-20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6"/>
        <v/>
      </c>
      <c r="J123" s="98">
        <f t="shared" si="7"/>
        <v>-2</v>
      </c>
      <c r="K123" s="98">
        <f t="shared" si="8"/>
        <v>-20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6"/>
        <v/>
      </c>
      <c r="J124" s="98">
        <f t="shared" si="7"/>
        <v>-2</v>
      </c>
      <c r="K124" s="98">
        <f t="shared" si="8"/>
        <v>-20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6"/>
        <v/>
      </c>
      <c r="J125" s="98">
        <f t="shared" si="7"/>
        <v>-2</v>
      </c>
      <c r="K125" s="98">
        <f t="shared" si="8"/>
        <v>-20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6"/>
        <v/>
      </c>
      <c r="J126" s="98">
        <f t="shared" si="7"/>
        <v>-2</v>
      </c>
      <c r="K126" s="98">
        <f t="shared" si="8"/>
        <v>-20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6"/>
        <v/>
      </c>
      <c r="J127" s="98">
        <f t="shared" si="7"/>
        <v>-2</v>
      </c>
      <c r="K127" s="98">
        <f t="shared" si="8"/>
        <v>-20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6"/>
        <v/>
      </c>
      <c r="J128" s="98">
        <f t="shared" si="7"/>
        <v>-2</v>
      </c>
      <c r="K128" s="98">
        <f t="shared" si="8"/>
        <v>-20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6"/>
        <v/>
      </c>
      <c r="J129" s="98">
        <f t="shared" si="7"/>
        <v>-2</v>
      </c>
      <c r="K129" s="98">
        <f t="shared" si="8"/>
        <v>-20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6"/>
        <v/>
      </c>
      <c r="J130" s="98">
        <f t="shared" si="7"/>
        <v>-2</v>
      </c>
      <c r="K130" s="98">
        <f t="shared" si="8"/>
        <v>-20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6"/>
        <v/>
      </c>
      <c r="J131" s="98">
        <f t="shared" si="7"/>
        <v>-2</v>
      </c>
      <c r="K131" s="98">
        <f t="shared" si="8"/>
        <v>-20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6"/>
        <v/>
      </c>
      <c r="J132" s="98">
        <f t="shared" si="7"/>
        <v>-2</v>
      </c>
      <c r="K132" s="98">
        <f t="shared" si="8"/>
        <v>-20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6"/>
        <v/>
      </c>
      <c r="J133" s="98">
        <f t="shared" si="7"/>
        <v>-2</v>
      </c>
      <c r="K133" s="98">
        <f t="shared" si="8"/>
        <v>-20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0">IF(H134&lt;$H$2+1,($I$2-($I$2-1)*(LOG(H134)/LOG($H$2))),"")</f>
        <v/>
      </c>
      <c r="J134" s="98">
        <f t="shared" ref="J134:J197" si="11">INT(LOG($H$2,2))-ROUNDUP(LOG(H134,2),0)+IF(OR($H$2=1,$H$2=2,$H$2=4,$H$2=8,$H$2=16,$H$2=32,$H$2=64,$H$2=128,$H$2=256),0,1)</f>
        <v>-3</v>
      </c>
      <c r="K134" s="98">
        <f t="shared" ref="K134:K197" si="12">J134*$J$2</f>
        <v>-30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0"/>
        <v/>
      </c>
      <c r="J135" s="98">
        <f t="shared" si="11"/>
        <v>-3</v>
      </c>
      <c r="K135" s="98">
        <f t="shared" si="12"/>
        <v>-30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0"/>
        <v/>
      </c>
      <c r="J136" s="98">
        <f t="shared" si="11"/>
        <v>-3</v>
      </c>
      <c r="K136" s="98">
        <f t="shared" si="12"/>
        <v>-30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0"/>
        <v/>
      </c>
      <c r="J137" s="98">
        <f t="shared" si="11"/>
        <v>-3</v>
      </c>
      <c r="K137" s="98">
        <f t="shared" si="12"/>
        <v>-30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0"/>
        <v/>
      </c>
      <c r="J138" s="98">
        <f t="shared" si="11"/>
        <v>-3</v>
      </c>
      <c r="K138" s="98">
        <f t="shared" si="12"/>
        <v>-30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0"/>
        <v/>
      </c>
      <c r="J139" s="98">
        <f t="shared" si="11"/>
        <v>-3</v>
      </c>
      <c r="K139" s="98">
        <f t="shared" si="12"/>
        <v>-30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0"/>
        <v/>
      </c>
      <c r="J140" s="98">
        <f t="shared" si="11"/>
        <v>-3</v>
      </c>
      <c r="K140" s="98">
        <f t="shared" si="12"/>
        <v>-30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0"/>
        <v/>
      </c>
      <c r="J141" s="98">
        <f t="shared" si="11"/>
        <v>-3</v>
      </c>
      <c r="K141" s="98">
        <f t="shared" si="12"/>
        <v>-30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0"/>
        <v/>
      </c>
      <c r="J142" s="98">
        <f t="shared" si="11"/>
        <v>-3</v>
      </c>
      <c r="K142" s="98">
        <f t="shared" si="12"/>
        <v>-30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0"/>
        <v/>
      </c>
      <c r="J143" s="98">
        <f t="shared" si="11"/>
        <v>-3</v>
      </c>
      <c r="K143" s="98">
        <f t="shared" si="12"/>
        <v>-30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0"/>
        <v/>
      </c>
      <c r="J144" s="98">
        <f t="shared" si="11"/>
        <v>-3</v>
      </c>
      <c r="K144" s="98">
        <f t="shared" si="12"/>
        <v>-30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0"/>
        <v/>
      </c>
      <c r="J145" s="98">
        <f t="shared" si="11"/>
        <v>-3</v>
      </c>
      <c r="K145" s="98">
        <f t="shared" si="12"/>
        <v>-30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0"/>
        <v/>
      </c>
      <c r="J146" s="98">
        <f t="shared" si="11"/>
        <v>-3</v>
      </c>
      <c r="K146" s="98">
        <f t="shared" si="12"/>
        <v>-30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0"/>
        <v/>
      </c>
      <c r="J147" s="98">
        <f t="shared" si="11"/>
        <v>-3</v>
      </c>
      <c r="K147" s="98">
        <f t="shared" si="12"/>
        <v>-30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0"/>
        <v/>
      </c>
      <c r="J148" s="98">
        <f t="shared" si="11"/>
        <v>-3</v>
      </c>
      <c r="K148" s="98">
        <f t="shared" si="12"/>
        <v>-30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0"/>
        <v/>
      </c>
      <c r="J149" s="98">
        <f t="shared" si="11"/>
        <v>-3</v>
      </c>
      <c r="K149" s="98">
        <f t="shared" si="12"/>
        <v>-30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0"/>
        <v/>
      </c>
      <c r="J150" s="98">
        <f t="shared" si="11"/>
        <v>-3</v>
      </c>
      <c r="K150" s="98">
        <f t="shared" si="12"/>
        <v>-30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0"/>
        <v/>
      </c>
      <c r="J151" s="98">
        <f t="shared" si="11"/>
        <v>-3</v>
      </c>
      <c r="K151" s="98">
        <f t="shared" si="12"/>
        <v>-30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0"/>
        <v/>
      </c>
      <c r="J152" s="98">
        <f t="shared" si="11"/>
        <v>-3</v>
      </c>
      <c r="K152" s="98">
        <f t="shared" si="12"/>
        <v>-30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0"/>
        <v/>
      </c>
      <c r="J153" s="98">
        <f t="shared" si="11"/>
        <v>-3</v>
      </c>
      <c r="K153" s="98">
        <f t="shared" si="12"/>
        <v>-30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0"/>
        <v/>
      </c>
      <c r="J154" s="98">
        <f t="shared" si="11"/>
        <v>-3</v>
      </c>
      <c r="K154" s="98">
        <f t="shared" si="12"/>
        <v>-30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0"/>
        <v/>
      </c>
      <c r="J155" s="98">
        <f t="shared" si="11"/>
        <v>-3</v>
      </c>
      <c r="K155" s="98">
        <f t="shared" si="12"/>
        <v>-30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0"/>
        <v/>
      </c>
      <c r="J156" s="98">
        <f t="shared" si="11"/>
        <v>-3</v>
      </c>
      <c r="K156" s="98">
        <f t="shared" si="12"/>
        <v>-30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0"/>
        <v/>
      </c>
      <c r="J157" s="98">
        <f t="shared" si="11"/>
        <v>-3</v>
      </c>
      <c r="K157" s="98">
        <f t="shared" si="12"/>
        <v>-30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0"/>
        <v/>
      </c>
      <c r="J158" s="98">
        <f t="shared" si="11"/>
        <v>-3</v>
      </c>
      <c r="K158" s="98">
        <f t="shared" si="12"/>
        <v>-30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0"/>
        <v/>
      </c>
      <c r="J159" s="98">
        <f t="shared" si="11"/>
        <v>-3</v>
      </c>
      <c r="K159" s="98">
        <f t="shared" si="12"/>
        <v>-30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0"/>
        <v/>
      </c>
      <c r="J160" s="98">
        <f t="shared" si="11"/>
        <v>-3</v>
      </c>
      <c r="K160" s="98">
        <f t="shared" si="12"/>
        <v>-30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0"/>
        <v/>
      </c>
      <c r="J161" s="98">
        <f t="shared" si="11"/>
        <v>-3</v>
      </c>
      <c r="K161" s="98">
        <f t="shared" si="12"/>
        <v>-30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0"/>
        <v/>
      </c>
      <c r="J162" s="98">
        <f t="shared" si="11"/>
        <v>-3</v>
      </c>
      <c r="K162" s="98">
        <f t="shared" si="12"/>
        <v>-30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0"/>
        <v/>
      </c>
      <c r="J163" s="98">
        <f t="shared" si="11"/>
        <v>-3</v>
      </c>
      <c r="K163" s="98">
        <f t="shared" si="12"/>
        <v>-30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0"/>
        <v/>
      </c>
      <c r="J164" s="98">
        <f t="shared" si="11"/>
        <v>-3</v>
      </c>
      <c r="K164" s="98">
        <f t="shared" si="12"/>
        <v>-30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0"/>
        <v/>
      </c>
      <c r="J165" s="98">
        <f t="shared" si="11"/>
        <v>-3</v>
      </c>
      <c r="K165" s="98">
        <f t="shared" si="12"/>
        <v>-30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0"/>
        <v/>
      </c>
      <c r="J166" s="98">
        <f t="shared" si="11"/>
        <v>-3</v>
      </c>
      <c r="K166" s="98">
        <f t="shared" si="12"/>
        <v>-30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0"/>
        <v/>
      </c>
      <c r="J167" s="98">
        <f t="shared" si="11"/>
        <v>-3</v>
      </c>
      <c r="K167" s="98">
        <f t="shared" si="12"/>
        <v>-30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0"/>
        <v/>
      </c>
      <c r="J168" s="98">
        <f t="shared" si="11"/>
        <v>-3</v>
      </c>
      <c r="K168" s="98">
        <f t="shared" si="12"/>
        <v>-30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0"/>
        <v/>
      </c>
      <c r="J169" s="98">
        <f t="shared" si="11"/>
        <v>-3</v>
      </c>
      <c r="K169" s="98">
        <f t="shared" si="12"/>
        <v>-30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0"/>
        <v/>
      </c>
      <c r="J170" s="98">
        <f t="shared" si="11"/>
        <v>-3</v>
      </c>
      <c r="K170" s="98">
        <f t="shared" si="12"/>
        <v>-30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0"/>
        <v/>
      </c>
      <c r="J171" s="98">
        <f t="shared" si="11"/>
        <v>-3</v>
      </c>
      <c r="K171" s="98">
        <f t="shared" si="12"/>
        <v>-30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0"/>
        <v/>
      </c>
      <c r="J172" s="98">
        <f t="shared" si="11"/>
        <v>-3</v>
      </c>
      <c r="K172" s="98">
        <f t="shared" si="12"/>
        <v>-30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0"/>
        <v/>
      </c>
      <c r="J173" s="98">
        <f t="shared" si="11"/>
        <v>-3</v>
      </c>
      <c r="K173" s="98">
        <f t="shared" si="12"/>
        <v>-30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0"/>
        <v/>
      </c>
      <c r="J174" s="98">
        <f t="shared" si="11"/>
        <v>-3</v>
      </c>
      <c r="K174" s="98">
        <f t="shared" si="12"/>
        <v>-30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0"/>
        <v/>
      </c>
      <c r="J175" s="98">
        <f t="shared" si="11"/>
        <v>-3</v>
      </c>
      <c r="K175" s="98">
        <f t="shared" si="12"/>
        <v>-30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0"/>
        <v/>
      </c>
      <c r="J176" s="98">
        <f t="shared" si="11"/>
        <v>-3</v>
      </c>
      <c r="K176" s="98">
        <f t="shared" si="12"/>
        <v>-30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0"/>
        <v/>
      </c>
      <c r="J177" s="98">
        <f t="shared" si="11"/>
        <v>-3</v>
      </c>
      <c r="K177" s="98">
        <f t="shared" si="12"/>
        <v>-30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0"/>
        <v/>
      </c>
      <c r="J178" s="98">
        <f t="shared" si="11"/>
        <v>-3</v>
      </c>
      <c r="K178" s="98">
        <f t="shared" si="12"/>
        <v>-30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0"/>
        <v/>
      </c>
      <c r="J179" s="98">
        <f t="shared" si="11"/>
        <v>-3</v>
      </c>
      <c r="K179" s="98">
        <f t="shared" si="12"/>
        <v>-30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0"/>
        <v/>
      </c>
      <c r="J180" s="98">
        <f t="shared" si="11"/>
        <v>-3</v>
      </c>
      <c r="K180" s="98">
        <f t="shared" si="12"/>
        <v>-30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0"/>
        <v/>
      </c>
      <c r="J181" s="98">
        <f t="shared" si="11"/>
        <v>-3</v>
      </c>
      <c r="K181" s="98">
        <f t="shared" si="12"/>
        <v>-30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0"/>
        <v/>
      </c>
      <c r="J182" s="98">
        <f t="shared" si="11"/>
        <v>-3</v>
      </c>
      <c r="K182" s="98">
        <f t="shared" si="12"/>
        <v>-30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0"/>
        <v/>
      </c>
      <c r="J183" s="98">
        <f t="shared" si="11"/>
        <v>-3</v>
      </c>
      <c r="K183" s="98">
        <f t="shared" si="12"/>
        <v>-30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0"/>
        <v/>
      </c>
      <c r="J184" s="98">
        <f t="shared" si="11"/>
        <v>-3</v>
      </c>
      <c r="K184" s="98">
        <f t="shared" si="12"/>
        <v>-30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0"/>
        <v/>
      </c>
      <c r="J185" s="98">
        <f t="shared" si="11"/>
        <v>-3</v>
      </c>
      <c r="K185" s="98">
        <f t="shared" si="12"/>
        <v>-30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0"/>
        <v/>
      </c>
      <c r="J186" s="98">
        <f t="shared" si="11"/>
        <v>-3</v>
      </c>
      <c r="K186" s="98">
        <f t="shared" si="12"/>
        <v>-30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0"/>
        <v/>
      </c>
      <c r="J187" s="98">
        <f t="shared" si="11"/>
        <v>-3</v>
      </c>
      <c r="K187" s="98">
        <f t="shared" si="12"/>
        <v>-30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0"/>
        <v/>
      </c>
      <c r="J188" s="98">
        <f t="shared" si="11"/>
        <v>-3</v>
      </c>
      <c r="K188" s="98">
        <f t="shared" si="12"/>
        <v>-30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0"/>
        <v/>
      </c>
      <c r="J189" s="98">
        <f t="shared" si="11"/>
        <v>-3</v>
      </c>
      <c r="K189" s="98">
        <f t="shared" si="12"/>
        <v>-30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0"/>
        <v/>
      </c>
      <c r="J190" s="98">
        <f t="shared" si="11"/>
        <v>-3</v>
      </c>
      <c r="K190" s="98">
        <f t="shared" si="12"/>
        <v>-30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0"/>
        <v/>
      </c>
      <c r="J191" s="98">
        <f t="shared" si="11"/>
        <v>-3</v>
      </c>
      <c r="K191" s="98">
        <f t="shared" si="12"/>
        <v>-30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0"/>
        <v/>
      </c>
      <c r="J192" s="98">
        <f t="shared" si="11"/>
        <v>-3</v>
      </c>
      <c r="K192" s="98">
        <f t="shared" si="12"/>
        <v>-30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0"/>
        <v/>
      </c>
      <c r="J193" s="98">
        <f t="shared" si="11"/>
        <v>-3</v>
      </c>
      <c r="K193" s="98">
        <f t="shared" si="12"/>
        <v>-30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0"/>
        <v/>
      </c>
      <c r="J194" s="98">
        <f t="shared" si="11"/>
        <v>-3</v>
      </c>
      <c r="K194" s="98">
        <f t="shared" si="12"/>
        <v>-30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0"/>
        <v/>
      </c>
      <c r="J195" s="98">
        <f t="shared" si="11"/>
        <v>-3</v>
      </c>
      <c r="K195" s="98">
        <f t="shared" si="12"/>
        <v>-30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0"/>
        <v/>
      </c>
      <c r="J196" s="98">
        <f t="shared" si="11"/>
        <v>-3</v>
      </c>
      <c r="K196" s="98">
        <f t="shared" si="12"/>
        <v>-30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0"/>
        <v/>
      </c>
      <c r="J197" s="98">
        <f t="shared" si="11"/>
        <v>-3</v>
      </c>
      <c r="K197" s="98">
        <f t="shared" si="12"/>
        <v>-30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4">IF(H198&lt;$H$2+1,($I$2-($I$2-1)*(LOG(H198)/LOG($H$2))),"")</f>
        <v/>
      </c>
      <c r="J198" s="98">
        <f t="shared" ref="J198:J261" si="15">INT(LOG($H$2,2))-ROUNDUP(LOG(H198,2),0)+IF(OR($H$2=1,$H$2=2,$H$2=4,$H$2=8,$H$2=16,$H$2=32,$H$2=64,$H$2=128,$H$2=256),0,1)</f>
        <v>-3</v>
      </c>
      <c r="K198" s="98">
        <f t="shared" ref="K198:K261" si="16">J198*$J$2</f>
        <v>-30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4"/>
        <v/>
      </c>
      <c r="J199" s="98">
        <f t="shared" si="15"/>
        <v>-3</v>
      </c>
      <c r="K199" s="98">
        <f t="shared" si="16"/>
        <v>-30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4"/>
        <v/>
      </c>
      <c r="J200" s="98">
        <f t="shared" si="15"/>
        <v>-3</v>
      </c>
      <c r="K200" s="98">
        <f t="shared" si="16"/>
        <v>-30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4"/>
        <v/>
      </c>
      <c r="J201" s="98">
        <f t="shared" si="15"/>
        <v>-3</v>
      </c>
      <c r="K201" s="98">
        <f t="shared" si="16"/>
        <v>-30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4"/>
        <v/>
      </c>
      <c r="J202" s="98">
        <f t="shared" si="15"/>
        <v>-3</v>
      </c>
      <c r="K202" s="98">
        <f t="shared" si="16"/>
        <v>-30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4"/>
        <v/>
      </c>
      <c r="J203" s="98">
        <f t="shared" si="15"/>
        <v>-3</v>
      </c>
      <c r="K203" s="98">
        <f t="shared" si="16"/>
        <v>-30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4"/>
        <v/>
      </c>
      <c r="J204" s="98">
        <f t="shared" si="15"/>
        <v>-3</v>
      </c>
      <c r="K204" s="98">
        <f t="shared" si="16"/>
        <v>-30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4"/>
        <v/>
      </c>
      <c r="J205" s="98">
        <f t="shared" si="15"/>
        <v>-3</v>
      </c>
      <c r="K205" s="98">
        <f t="shared" si="16"/>
        <v>-30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4"/>
        <v/>
      </c>
      <c r="J206" s="98">
        <f t="shared" si="15"/>
        <v>-3</v>
      </c>
      <c r="K206" s="98">
        <f t="shared" si="16"/>
        <v>-30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4"/>
        <v/>
      </c>
      <c r="J207" s="98">
        <f t="shared" si="15"/>
        <v>-3</v>
      </c>
      <c r="K207" s="98">
        <f t="shared" si="16"/>
        <v>-30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4"/>
        <v/>
      </c>
      <c r="J208" s="98">
        <f t="shared" si="15"/>
        <v>-3</v>
      </c>
      <c r="K208" s="98">
        <f t="shared" si="16"/>
        <v>-30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4"/>
        <v/>
      </c>
      <c r="J209" s="98">
        <f t="shared" si="15"/>
        <v>-3</v>
      </c>
      <c r="K209" s="98">
        <f t="shared" si="16"/>
        <v>-30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4"/>
        <v/>
      </c>
      <c r="J210" s="98">
        <f t="shared" si="15"/>
        <v>-3</v>
      </c>
      <c r="K210" s="98">
        <f t="shared" si="16"/>
        <v>-30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4"/>
        <v/>
      </c>
      <c r="J211" s="98">
        <f t="shared" si="15"/>
        <v>-3</v>
      </c>
      <c r="K211" s="98">
        <f t="shared" si="16"/>
        <v>-30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4"/>
        <v/>
      </c>
      <c r="J212" s="98">
        <f t="shared" si="15"/>
        <v>-3</v>
      </c>
      <c r="K212" s="98">
        <f t="shared" si="16"/>
        <v>-30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4"/>
        <v/>
      </c>
      <c r="J213" s="98">
        <f t="shared" si="15"/>
        <v>-3</v>
      </c>
      <c r="K213" s="98">
        <f t="shared" si="16"/>
        <v>-30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4"/>
        <v/>
      </c>
      <c r="J214" s="98">
        <f t="shared" si="15"/>
        <v>-3</v>
      </c>
      <c r="K214" s="98">
        <f t="shared" si="16"/>
        <v>-30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4"/>
        <v/>
      </c>
      <c r="J215" s="98">
        <f t="shared" si="15"/>
        <v>-3</v>
      </c>
      <c r="K215" s="98">
        <f t="shared" si="16"/>
        <v>-30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4"/>
        <v/>
      </c>
      <c r="J216" s="98">
        <f t="shared" si="15"/>
        <v>-3</v>
      </c>
      <c r="K216" s="98">
        <f t="shared" si="16"/>
        <v>-30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4"/>
        <v/>
      </c>
      <c r="J217" s="98">
        <f t="shared" si="15"/>
        <v>-3</v>
      </c>
      <c r="K217" s="98">
        <f t="shared" si="16"/>
        <v>-30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4"/>
        <v/>
      </c>
      <c r="J218" s="98">
        <f t="shared" si="15"/>
        <v>-3</v>
      </c>
      <c r="K218" s="98">
        <f t="shared" si="16"/>
        <v>-30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4"/>
        <v/>
      </c>
      <c r="J219" s="98">
        <f t="shared" si="15"/>
        <v>-3</v>
      </c>
      <c r="K219" s="98">
        <f t="shared" si="16"/>
        <v>-30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4"/>
        <v/>
      </c>
      <c r="J220" s="98">
        <f t="shared" si="15"/>
        <v>-3</v>
      </c>
      <c r="K220" s="98">
        <f t="shared" si="16"/>
        <v>-30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4"/>
        <v/>
      </c>
      <c r="J221" s="98">
        <f t="shared" si="15"/>
        <v>-3</v>
      </c>
      <c r="K221" s="98">
        <f t="shared" si="16"/>
        <v>-30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4"/>
        <v/>
      </c>
      <c r="J222" s="98">
        <f t="shared" si="15"/>
        <v>-3</v>
      </c>
      <c r="K222" s="98">
        <f t="shared" si="16"/>
        <v>-30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4"/>
        <v/>
      </c>
      <c r="J223" s="98">
        <f t="shared" si="15"/>
        <v>-3</v>
      </c>
      <c r="K223" s="98">
        <f t="shared" si="16"/>
        <v>-30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4"/>
        <v/>
      </c>
      <c r="J224" s="98">
        <f t="shared" si="15"/>
        <v>-3</v>
      </c>
      <c r="K224" s="98">
        <f t="shared" si="16"/>
        <v>-30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4"/>
        <v/>
      </c>
      <c r="J225" s="98">
        <f t="shared" si="15"/>
        <v>-3</v>
      </c>
      <c r="K225" s="98">
        <f t="shared" si="16"/>
        <v>-30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4"/>
        <v/>
      </c>
      <c r="J226" s="98">
        <f t="shared" si="15"/>
        <v>-3</v>
      </c>
      <c r="K226" s="98">
        <f t="shared" si="16"/>
        <v>-30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4"/>
        <v/>
      </c>
      <c r="J227" s="98">
        <f t="shared" si="15"/>
        <v>-3</v>
      </c>
      <c r="K227" s="98">
        <f t="shared" si="16"/>
        <v>-30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4"/>
        <v/>
      </c>
      <c r="J228" s="98">
        <f t="shared" si="15"/>
        <v>-3</v>
      </c>
      <c r="K228" s="98">
        <f t="shared" si="16"/>
        <v>-30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4"/>
        <v/>
      </c>
      <c r="J229" s="98">
        <f t="shared" si="15"/>
        <v>-3</v>
      </c>
      <c r="K229" s="98">
        <f t="shared" si="16"/>
        <v>-30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4"/>
        <v/>
      </c>
      <c r="J230" s="98">
        <f t="shared" si="15"/>
        <v>-3</v>
      </c>
      <c r="K230" s="98">
        <f t="shared" si="16"/>
        <v>-30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4"/>
        <v/>
      </c>
      <c r="J231" s="98">
        <f t="shared" si="15"/>
        <v>-3</v>
      </c>
      <c r="K231" s="98">
        <f t="shared" si="16"/>
        <v>-30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4"/>
        <v/>
      </c>
      <c r="J232" s="98">
        <f t="shared" si="15"/>
        <v>-3</v>
      </c>
      <c r="K232" s="98">
        <f t="shared" si="16"/>
        <v>-30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4"/>
        <v/>
      </c>
      <c r="J233" s="98">
        <f t="shared" si="15"/>
        <v>-3</v>
      </c>
      <c r="K233" s="98">
        <f t="shared" si="16"/>
        <v>-30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4"/>
        <v/>
      </c>
      <c r="J234" s="98">
        <f t="shared" si="15"/>
        <v>-3</v>
      </c>
      <c r="K234" s="98">
        <f t="shared" si="16"/>
        <v>-30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4"/>
        <v/>
      </c>
      <c r="J235" s="98">
        <f t="shared" si="15"/>
        <v>-3</v>
      </c>
      <c r="K235" s="98">
        <f t="shared" si="16"/>
        <v>-30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4"/>
        <v/>
      </c>
      <c r="J236" s="98">
        <f t="shared" si="15"/>
        <v>-3</v>
      </c>
      <c r="K236" s="98">
        <f t="shared" si="16"/>
        <v>-30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4"/>
        <v/>
      </c>
      <c r="J237" s="98">
        <f t="shared" si="15"/>
        <v>-3</v>
      </c>
      <c r="K237" s="98">
        <f t="shared" si="16"/>
        <v>-30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4"/>
        <v/>
      </c>
      <c r="J238" s="98">
        <f t="shared" si="15"/>
        <v>-3</v>
      </c>
      <c r="K238" s="98">
        <f t="shared" si="16"/>
        <v>-30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4"/>
        <v/>
      </c>
      <c r="J239" s="98">
        <f t="shared" si="15"/>
        <v>-3</v>
      </c>
      <c r="K239" s="98">
        <f t="shared" si="16"/>
        <v>-30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4"/>
        <v/>
      </c>
      <c r="J240" s="98">
        <f t="shared" si="15"/>
        <v>-3</v>
      </c>
      <c r="K240" s="98">
        <f t="shared" si="16"/>
        <v>-30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4"/>
        <v/>
      </c>
      <c r="J241" s="98">
        <f t="shared" si="15"/>
        <v>-3</v>
      </c>
      <c r="K241" s="98">
        <f t="shared" si="16"/>
        <v>-30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4"/>
        <v/>
      </c>
      <c r="J242" s="98">
        <f t="shared" si="15"/>
        <v>-3</v>
      </c>
      <c r="K242" s="98">
        <f t="shared" si="16"/>
        <v>-30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4"/>
        <v/>
      </c>
      <c r="J243" s="98">
        <f t="shared" si="15"/>
        <v>-3</v>
      </c>
      <c r="K243" s="98">
        <f t="shared" si="16"/>
        <v>-30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4"/>
        <v/>
      </c>
      <c r="J244" s="98">
        <f t="shared" si="15"/>
        <v>-3</v>
      </c>
      <c r="K244" s="98">
        <f t="shared" si="16"/>
        <v>-30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4"/>
        <v/>
      </c>
      <c r="J245" s="98">
        <f t="shared" si="15"/>
        <v>-3</v>
      </c>
      <c r="K245" s="98">
        <f t="shared" si="16"/>
        <v>-30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4"/>
        <v/>
      </c>
      <c r="J246" s="98">
        <f t="shared" si="15"/>
        <v>-3</v>
      </c>
      <c r="K246" s="98">
        <f t="shared" si="16"/>
        <v>-30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4"/>
        <v/>
      </c>
      <c r="J247" s="98">
        <f t="shared" si="15"/>
        <v>-3</v>
      </c>
      <c r="K247" s="98">
        <f t="shared" si="16"/>
        <v>-30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4"/>
        <v/>
      </c>
      <c r="J248" s="98">
        <f t="shared" si="15"/>
        <v>-3</v>
      </c>
      <c r="K248" s="98">
        <f t="shared" si="16"/>
        <v>-30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4"/>
        <v/>
      </c>
      <c r="J249" s="98">
        <f t="shared" si="15"/>
        <v>-3</v>
      </c>
      <c r="K249" s="98">
        <f t="shared" si="16"/>
        <v>-30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4"/>
        <v/>
      </c>
      <c r="J250" s="98">
        <f t="shared" si="15"/>
        <v>-3</v>
      </c>
      <c r="K250" s="98">
        <f t="shared" si="16"/>
        <v>-30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4"/>
        <v/>
      </c>
      <c r="J251" s="98">
        <f t="shared" si="15"/>
        <v>-3</v>
      </c>
      <c r="K251" s="98">
        <f t="shared" si="16"/>
        <v>-30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4"/>
        <v/>
      </c>
      <c r="J252" s="98">
        <f t="shared" si="15"/>
        <v>-3</v>
      </c>
      <c r="K252" s="98">
        <f t="shared" si="16"/>
        <v>-30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4"/>
        <v/>
      </c>
      <c r="J253" s="98">
        <f t="shared" si="15"/>
        <v>-3</v>
      </c>
      <c r="K253" s="98">
        <f t="shared" si="16"/>
        <v>-30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4"/>
        <v/>
      </c>
      <c r="J254" s="98">
        <f t="shared" si="15"/>
        <v>-3</v>
      </c>
      <c r="K254" s="98">
        <f t="shared" si="16"/>
        <v>-30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4"/>
        <v/>
      </c>
      <c r="J255" s="98">
        <f t="shared" si="15"/>
        <v>-3</v>
      </c>
      <c r="K255" s="98">
        <f t="shared" si="16"/>
        <v>-30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4"/>
        <v/>
      </c>
      <c r="J256" s="98">
        <f t="shared" si="15"/>
        <v>-3</v>
      </c>
      <c r="K256" s="98">
        <f t="shared" si="16"/>
        <v>-30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4"/>
        <v/>
      </c>
      <c r="J257" s="98">
        <f t="shared" si="15"/>
        <v>-3</v>
      </c>
      <c r="K257" s="98">
        <f t="shared" si="16"/>
        <v>-30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4"/>
        <v/>
      </c>
      <c r="J258" s="98">
        <f t="shared" si="15"/>
        <v>-3</v>
      </c>
      <c r="K258" s="98">
        <f t="shared" si="16"/>
        <v>-30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4"/>
        <v/>
      </c>
      <c r="J259" s="98">
        <f t="shared" si="15"/>
        <v>-3</v>
      </c>
      <c r="K259" s="98">
        <f t="shared" si="16"/>
        <v>-30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4"/>
        <v/>
      </c>
      <c r="J260" s="98">
        <f t="shared" si="15"/>
        <v>-3</v>
      </c>
      <c r="K260" s="98">
        <f t="shared" si="16"/>
        <v>-30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4"/>
        <v/>
      </c>
      <c r="J261" s="98">
        <f t="shared" si="15"/>
        <v>-3</v>
      </c>
      <c r="K261" s="98">
        <f t="shared" si="16"/>
        <v>-30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8">IF(H262&lt;$H$2+1,($I$2-($I$2-1)*(LOG(H262)/LOG($H$2))),"")</f>
        <v/>
      </c>
      <c r="J262" s="98">
        <f t="shared" ref="J262:J305" si="19">INT(LOG($H$2,2))-ROUNDUP(LOG(H262,2),0)+IF(OR($H$2=1,$H$2=2,$H$2=4,$H$2=8,$H$2=16,$H$2=32,$H$2=64,$H$2=128,$H$2=256),0,1)</f>
        <v>-4</v>
      </c>
      <c r="K262" s="98">
        <f t="shared" ref="K262:K305" si="20">J262*$J$2</f>
        <v>-40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8"/>
        <v/>
      </c>
      <c r="J263" s="98">
        <f t="shared" si="19"/>
        <v>-4</v>
      </c>
      <c r="K263" s="98">
        <f t="shared" si="20"/>
        <v>-40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8"/>
        <v/>
      </c>
      <c r="J264" s="98">
        <f t="shared" si="19"/>
        <v>-4</v>
      </c>
      <c r="K264" s="98">
        <f t="shared" si="20"/>
        <v>-40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8"/>
        <v/>
      </c>
      <c r="J265" s="98">
        <f t="shared" si="19"/>
        <v>-4</v>
      </c>
      <c r="K265" s="98">
        <f t="shared" si="20"/>
        <v>-40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8"/>
        <v/>
      </c>
      <c r="J266" s="98">
        <f t="shared" si="19"/>
        <v>-4</v>
      </c>
      <c r="K266" s="98">
        <f t="shared" si="20"/>
        <v>-40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8"/>
        <v/>
      </c>
      <c r="J267" s="98">
        <f t="shared" si="19"/>
        <v>-4</v>
      </c>
      <c r="K267" s="98">
        <f t="shared" si="20"/>
        <v>-40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8"/>
        <v/>
      </c>
      <c r="J268" s="98">
        <f t="shared" si="19"/>
        <v>-4</v>
      </c>
      <c r="K268" s="98">
        <f t="shared" si="20"/>
        <v>-40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8"/>
        <v/>
      </c>
      <c r="J269" s="98">
        <f t="shared" si="19"/>
        <v>-4</v>
      </c>
      <c r="K269" s="98">
        <f t="shared" si="20"/>
        <v>-40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8"/>
        <v/>
      </c>
      <c r="J270" s="98">
        <f t="shared" si="19"/>
        <v>-4</v>
      </c>
      <c r="K270" s="98">
        <f t="shared" si="20"/>
        <v>-40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8"/>
        <v/>
      </c>
      <c r="J271" s="98">
        <f t="shared" si="19"/>
        <v>-4</v>
      </c>
      <c r="K271" s="98">
        <f t="shared" si="20"/>
        <v>-40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8"/>
        <v/>
      </c>
      <c r="J272" s="98">
        <f t="shared" si="19"/>
        <v>-4</v>
      </c>
      <c r="K272" s="98">
        <f t="shared" si="20"/>
        <v>-40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8"/>
        <v/>
      </c>
      <c r="J273" s="98">
        <f t="shared" si="19"/>
        <v>-4</v>
      </c>
      <c r="K273" s="98">
        <f t="shared" si="20"/>
        <v>-40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8"/>
        <v/>
      </c>
      <c r="J274" s="98">
        <f t="shared" si="19"/>
        <v>-4</v>
      </c>
      <c r="K274" s="98">
        <f t="shared" si="20"/>
        <v>-40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8"/>
        <v/>
      </c>
      <c r="J275" s="98">
        <f t="shared" si="19"/>
        <v>-4</v>
      </c>
      <c r="K275" s="98">
        <f t="shared" si="20"/>
        <v>-40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8"/>
        <v/>
      </c>
      <c r="J276" s="98">
        <f t="shared" si="19"/>
        <v>-4</v>
      </c>
      <c r="K276" s="98">
        <f t="shared" si="20"/>
        <v>-40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8"/>
        <v/>
      </c>
      <c r="J277" s="98">
        <f t="shared" si="19"/>
        <v>-4</v>
      </c>
      <c r="K277" s="98">
        <f t="shared" si="20"/>
        <v>-40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8"/>
        <v/>
      </c>
      <c r="J278" s="98">
        <f t="shared" si="19"/>
        <v>-4</v>
      </c>
      <c r="K278" s="98">
        <f t="shared" si="20"/>
        <v>-40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8"/>
        <v/>
      </c>
      <c r="J279" s="98">
        <f t="shared" si="19"/>
        <v>-4</v>
      </c>
      <c r="K279" s="98">
        <f t="shared" si="20"/>
        <v>-40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8"/>
        <v/>
      </c>
      <c r="J280" s="98">
        <f t="shared" si="19"/>
        <v>-4</v>
      </c>
      <c r="K280" s="98">
        <f t="shared" si="20"/>
        <v>-40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8"/>
        <v/>
      </c>
      <c r="J281" s="98">
        <f t="shared" si="19"/>
        <v>-4</v>
      </c>
      <c r="K281" s="98">
        <f t="shared" si="20"/>
        <v>-40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8"/>
        <v/>
      </c>
      <c r="J282" s="98">
        <f t="shared" si="19"/>
        <v>-4</v>
      </c>
      <c r="K282" s="98">
        <f t="shared" si="20"/>
        <v>-40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8"/>
        <v/>
      </c>
      <c r="J283" s="98">
        <f t="shared" si="19"/>
        <v>-4</v>
      </c>
      <c r="K283" s="98">
        <f t="shared" si="20"/>
        <v>-40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8"/>
        <v/>
      </c>
      <c r="J284" s="98">
        <f t="shared" si="19"/>
        <v>-4</v>
      </c>
      <c r="K284" s="98">
        <f t="shared" si="20"/>
        <v>-40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8"/>
        <v/>
      </c>
      <c r="J285" s="98">
        <f t="shared" si="19"/>
        <v>-4</v>
      </c>
      <c r="K285" s="98">
        <f t="shared" si="20"/>
        <v>-40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8"/>
        <v/>
      </c>
      <c r="J286" s="98">
        <f t="shared" si="19"/>
        <v>-4</v>
      </c>
      <c r="K286" s="98">
        <f t="shared" si="20"/>
        <v>-40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8"/>
        <v/>
      </c>
      <c r="J287" s="98">
        <f t="shared" si="19"/>
        <v>-4</v>
      </c>
      <c r="K287" s="98">
        <f t="shared" si="20"/>
        <v>-40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8"/>
        <v/>
      </c>
      <c r="J288" s="98">
        <f t="shared" si="19"/>
        <v>-4</v>
      </c>
      <c r="K288" s="98">
        <f t="shared" si="20"/>
        <v>-40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8"/>
        <v/>
      </c>
      <c r="J289" s="98">
        <f t="shared" si="19"/>
        <v>-4</v>
      </c>
      <c r="K289" s="98">
        <f t="shared" si="20"/>
        <v>-40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8"/>
        <v/>
      </c>
      <c r="J290" s="98">
        <f t="shared" si="19"/>
        <v>-4</v>
      </c>
      <c r="K290" s="98">
        <f t="shared" si="20"/>
        <v>-40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8"/>
        <v/>
      </c>
      <c r="J291" s="98">
        <f t="shared" si="19"/>
        <v>-4</v>
      </c>
      <c r="K291" s="98">
        <f t="shared" si="20"/>
        <v>-40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8"/>
        <v/>
      </c>
      <c r="J292" s="98">
        <f t="shared" si="19"/>
        <v>-4</v>
      </c>
      <c r="K292" s="98">
        <f t="shared" si="20"/>
        <v>-40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8"/>
        <v/>
      </c>
      <c r="J293" s="98">
        <f t="shared" si="19"/>
        <v>-4</v>
      </c>
      <c r="K293" s="98">
        <f t="shared" si="20"/>
        <v>-40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8"/>
        <v/>
      </c>
      <c r="J294" s="98">
        <f t="shared" si="19"/>
        <v>-4</v>
      </c>
      <c r="K294" s="98">
        <f t="shared" si="20"/>
        <v>-40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8"/>
        <v/>
      </c>
      <c r="J295" s="98">
        <f t="shared" si="19"/>
        <v>-4</v>
      </c>
      <c r="K295" s="98">
        <f t="shared" si="20"/>
        <v>-40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8"/>
        <v/>
      </c>
      <c r="J296" s="98">
        <f t="shared" si="19"/>
        <v>-4</v>
      </c>
      <c r="K296" s="98">
        <f t="shared" si="20"/>
        <v>-40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8"/>
        <v/>
      </c>
      <c r="J297" s="98">
        <f t="shared" si="19"/>
        <v>-4</v>
      </c>
      <c r="K297" s="98">
        <f t="shared" si="20"/>
        <v>-40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8"/>
        <v/>
      </c>
      <c r="J298" s="98">
        <f t="shared" si="19"/>
        <v>-4</v>
      </c>
      <c r="K298" s="98">
        <f t="shared" si="20"/>
        <v>-40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8"/>
        <v/>
      </c>
      <c r="J299" s="98">
        <f t="shared" si="19"/>
        <v>-4</v>
      </c>
      <c r="K299" s="98">
        <f t="shared" si="20"/>
        <v>-40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8"/>
        <v/>
      </c>
      <c r="J300" s="98">
        <f t="shared" si="19"/>
        <v>-4</v>
      </c>
      <c r="K300" s="98">
        <f t="shared" si="20"/>
        <v>-40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8"/>
        <v/>
      </c>
      <c r="J301" s="98">
        <f t="shared" si="19"/>
        <v>-4</v>
      </c>
      <c r="K301" s="98">
        <f t="shared" si="20"/>
        <v>-40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8"/>
        <v/>
      </c>
      <c r="J302" s="98">
        <f t="shared" si="19"/>
        <v>-4</v>
      </c>
      <c r="K302" s="98">
        <f t="shared" si="20"/>
        <v>-40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8"/>
        <v/>
      </c>
      <c r="J303" s="98">
        <f t="shared" si="19"/>
        <v>-4</v>
      </c>
      <c r="K303" s="98">
        <f t="shared" si="20"/>
        <v>-40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8"/>
        <v/>
      </c>
      <c r="J304" s="98">
        <f t="shared" si="19"/>
        <v>-4</v>
      </c>
      <c r="K304" s="98">
        <f t="shared" si="20"/>
        <v>-40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8"/>
        <v/>
      </c>
      <c r="J305" s="98">
        <f t="shared" si="19"/>
        <v>-4</v>
      </c>
      <c r="K305" s="98">
        <f t="shared" si="20"/>
        <v>-40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29EE5B94-0CE1-4CD8-803B-01CECA09867A}">
      <formula1>#REF!</formula1>
    </dataValidation>
  </dataValidations>
  <hyperlinks>
    <hyperlink ref="C2" r:id="rId1" display="https://engarde-service.com/?fbclid=IwAR1q8b20973WNdhLRYbl3vdP-rPK0cilvuHZi37KFNf-Dodoicffb3YOQeM" xr:uid="{C7D6E34B-46C7-48B0-A3BC-64505CD8D66C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2F68-AF04-45E6-9A66-C6A237BB64BF}">
  <sheetPr>
    <tabColor rgb="FF92D050"/>
  </sheetPr>
  <dimension ref="A1:AL317"/>
  <sheetViews>
    <sheetView workbookViewId="0">
      <selection activeCell="C13" sqref="C1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306" t="s">
        <v>128</v>
      </c>
      <c r="D2" s="306"/>
      <c r="E2" s="20"/>
      <c r="F2" s="20"/>
      <c r="G2" s="20"/>
      <c r="H2" s="89">
        <v>13</v>
      </c>
      <c r="I2" s="90">
        <v>50</v>
      </c>
      <c r="J2" s="90">
        <v>10</v>
      </c>
      <c r="K2" s="124">
        <f>3*H2^(1/3)</f>
        <v>7.0540040631622718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35</v>
      </c>
      <c r="C3" s="284" t="s">
        <v>129</v>
      </c>
      <c r="D3" s="284"/>
      <c r="E3" s="25"/>
      <c r="F3" s="25"/>
      <c r="G3" s="25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5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111.16201218948682</v>
      </c>
      <c r="B6" s="33">
        <f>IF(H6&gt;$H$2,"",(ROW()-5))</f>
        <v>1</v>
      </c>
      <c r="C6" s="34" t="s">
        <v>20</v>
      </c>
      <c r="D6" s="34"/>
      <c r="E6" s="34"/>
      <c r="F6" s="34"/>
      <c r="G6" s="27"/>
      <c r="H6" s="98">
        <v>1</v>
      </c>
      <c r="I6" s="99">
        <f t="shared" ref="I6:I69" si="1">IF(H6&lt;$H$2+1,($I$2-($I$2-1)*(LOG(H6)/LOG($H$2))),"")</f>
        <v>50</v>
      </c>
      <c r="J6" s="99">
        <f t="shared" ref="J6:J69" si="2">INT(LOG($H$2,2))-ROUNDUP(LOG(H6,2),0)+IF(OR($H$2=1,$H$2=2,$H$2=4,$H$2=8,$H$2=16,$H$2=32,$H$2=64,$H$2=128,$H$2=256),0,1)</f>
        <v>4</v>
      </c>
      <c r="K6" s="98">
        <f t="shared" ref="K6:K69" si="3">J6*$J$2</f>
        <v>40</v>
      </c>
      <c r="L6" s="100">
        <f>3*K2</f>
        <v>21.162012189486816</v>
      </c>
      <c r="M6" s="100">
        <f t="shared" ref="M6:M69" si="4">IF(I6&lt;&gt;"",K6+I6+L6,0)</f>
        <v>111.16201218948682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80.866338559385881</v>
      </c>
      <c r="B7" s="39">
        <f>IF(H7&gt;$H$2,"",(ROW()-5))</f>
        <v>2</v>
      </c>
      <c r="C7" s="40" t="s">
        <v>54</v>
      </c>
      <c r="D7" s="40"/>
      <c r="E7" s="40"/>
      <c r="F7" s="40"/>
      <c r="G7" s="27"/>
      <c r="H7" s="102">
        <v>2</v>
      </c>
      <c r="I7" s="103">
        <f t="shared" si="1"/>
        <v>36.758330433061332</v>
      </c>
      <c r="J7" s="103">
        <f t="shared" si="2"/>
        <v>3</v>
      </c>
      <c r="K7" s="102">
        <f t="shared" si="3"/>
        <v>30</v>
      </c>
      <c r="L7" s="104">
        <f>2*K2</f>
        <v>14.108008126324544</v>
      </c>
      <c r="M7" s="104">
        <f t="shared" si="4"/>
        <v>80.866338559385881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56.066454352623936</v>
      </c>
      <c r="B8" s="33">
        <f>IF(H8&gt;$H$2,"",(ROW()-5))</f>
        <v>3</v>
      </c>
      <c r="C8" s="34" t="s">
        <v>54</v>
      </c>
      <c r="D8" s="34"/>
      <c r="E8" s="34"/>
      <c r="F8" s="34"/>
      <c r="G8" s="27"/>
      <c r="H8" s="98">
        <v>3</v>
      </c>
      <c r="I8" s="99">
        <f t="shared" si="1"/>
        <v>29.012450289461661</v>
      </c>
      <c r="J8" s="99">
        <f t="shared" si="2"/>
        <v>2</v>
      </c>
      <c r="K8" s="98">
        <f t="shared" si="3"/>
        <v>20</v>
      </c>
      <c r="L8" s="100">
        <f>K2</f>
        <v>7.0540040631622718</v>
      </c>
      <c r="M8" s="100">
        <f t="shared" si="4"/>
        <v>56.066454352623936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56.066454352623936</v>
      </c>
      <c r="B9" s="39">
        <f>IF(H9&gt;$H$2,"",3)</f>
        <v>3</v>
      </c>
      <c r="C9" s="40" t="s">
        <v>54</v>
      </c>
      <c r="D9" s="40"/>
      <c r="E9" s="40"/>
      <c r="F9" s="40"/>
      <c r="G9" s="27"/>
      <c r="H9" s="102">
        <v>3</v>
      </c>
      <c r="I9" s="103">
        <f t="shared" si="1"/>
        <v>29.012450289461661</v>
      </c>
      <c r="J9" s="102">
        <f t="shared" si="2"/>
        <v>2</v>
      </c>
      <c r="K9" s="102">
        <f t="shared" si="3"/>
        <v>20</v>
      </c>
      <c r="L9" s="104">
        <f>K2</f>
        <v>7.0540040631622718</v>
      </c>
      <c r="M9" s="104">
        <f t="shared" si="4"/>
        <v>56.066454352623936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29.253795409310133</v>
      </c>
      <c r="B10" s="33">
        <f t="shared" ref="B10:B65" si="5">IF(H10&gt;$H$2,"",(ROW()-5))</f>
        <v>5</v>
      </c>
      <c r="C10" s="34" t="s">
        <v>54</v>
      </c>
      <c r="D10" s="34"/>
      <c r="E10" s="34"/>
      <c r="F10" s="34"/>
      <c r="G10" s="27"/>
      <c r="H10" s="98">
        <v>5</v>
      </c>
      <c r="I10" s="99">
        <f t="shared" si="1"/>
        <v>19.253795409310133</v>
      </c>
      <c r="J10" s="99">
        <f t="shared" si="2"/>
        <v>1</v>
      </c>
      <c r="K10" s="98">
        <f t="shared" si="3"/>
        <v>10</v>
      </c>
      <c r="L10" s="98"/>
      <c r="M10" s="100">
        <f t="shared" si="4"/>
        <v>29.253795409310133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25.770780722522993</v>
      </c>
      <c r="B11" s="39">
        <f t="shared" si="5"/>
        <v>6</v>
      </c>
      <c r="C11" s="40" t="s">
        <v>54</v>
      </c>
      <c r="D11" s="40"/>
      <c r="E11" s="40"/>
      <c r="F11" s="40"/>
      <c r="G11" s="27"/>
      <c r="H11" s="102">
        <v>6</v>
      </c>
      <c r="I11" s="103">
        <f t="shared" si="1"/>
        <v>15.770780722522993</v>
      </c>
      <c r="J11" s="103">
        <f t="shared" si="2"/>
        <v>1</v>
      </c>
      <c r="K11" s="102">
        <f t="shared" si="3"/>
        <v>10</v>
      </c>
      <c r="L11" s="102"/>
      <c r="M11" s="104">
        <f t="shared" si="4"/>
        <v>25.770780722522993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22.825933764994346</v>
      </c>
      <c r="B12" s="33">
        <f t="shared" si="5"/>
        <v>7</v>
      </c>
      <c r="C12" s="34" t="s">
        <v>54</v>
      </c>
      <c r="D12" s="34"/>
      <c r="E12" s="34"/>
      <c r="F12" s="34"/>
      <c r="G12" s="27"/>
      <c r="H12" s="98">
        <v>7</v>
      </c>
      <c r="I12" s="99">
        <f t="shared" si="1"/>
        <v>12.825933764994346</v>
      </c>
      <c r="J12" s="99">
        <f t="shared" si="2"/>
        <v>1</v>
      </c>
      <c r="K12" s="98">
        <f t="shared" si="3"/>
        <v>10</v>
      </c>
      <c r="L12" s="98"/>
      <c r="M12" s="100">
        <f t="shared" si="4"/>
        <v>22.825933764994346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20.274991299184002</v>
      </c>
      <c r="B13" s="39">
        <f t="shared" si="5"/>
        <v>8</v>
      </c>
      <c r="C13" s="40" t="s">
        <v>54</v>
      </c>
      <c r="D13" s="40"/>
      <c r="E13" s="40"/>
      <c r="F13" s="40"/>
      <c r="G13" s="27"/>
      <c r="H13" s="102">
        <v>8</v>
      </c>
      <c r="I13" s="103">
        <f t="shared" si="1"/>
        <v>10.274991299184002</v>
      </c>
      <c r="J13" s="103">
        <f t="shared" si="2"/>
        <v>1</v>
      </c>
      <c r="K13" s="102">
        <f t="shared" si="3"/>
        <v>10</v>
      </c>
      <c r="L13" s="102"/>
      <c r="M13" s="104">
        <f t="shared" si="4"/>
        <v>20.274991299184002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8.0249005789233223</v>
      </c>
      <c r="B14" s="33">
        <f t="shared" si="5"/>
        <v>9</v>
      </c>
      <c r="C14" s="34" t="s">
        <v>54</v>
      </c>
      <c r="D14" s="34"/>
      <c r="E14" s="34"/>
      <c r="F14" s="34"/>
      <c r="G14" s="27"/>
      <c r="H14" s="98">
        <v>9</v>
      </c>
      <c r="I14" s="99">
        <f t="shared" si="1"/>
        <v>8.0249005789233223</v>
      </c>
      <c r="J14" s="99">
        <f t="shared" si="2"/>
        <v>0</v>
      </c>
      <c r="K14" s="98">
        <f t="shared" si="3"/>
        <v>0</v>
      </c>
      <c r="L14" s="98"/>
      <c r="M14" s="100">
        <f t="shared" si="4"/>
        <v>8.0249005789233223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6.0121258423714679</v>
      </c>
      <c r="B15" s="39">
        <f t="shared" si="5"/>
        <v>10</v>
      </c>
      <c r="C15" s="40" t="s">
        <v>54</v>
      </c>
      <c r="D15" s="40"/>
      <c r="E15" s="40"/>
      <c r="F15" s="40"/>
      <c r="G15" s="27"/>
      <c r="H15" s="102">
        <v>10</v>
      </c>
      <c r="I15" s="103">
        <f t="shared" si="1"/>
        <v>6.0121258423714679</v>
      </c>
      <c r="J15" s="103">
        <f t="shared" si="2"/>
        <v>0</v>
      </c>
      <c r="K15" s="102">
        <f t="shared" si="3"/>
        <v>0</v>
      </c>
      <c r="L15" s="102"/>
      <c r="M15" s="104">
        <f t="shared" si="4"/>
        <v>6.0121258423714679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4.1913496165851214</v>
      </c>
      <c r="B16" s="33">
        <f t="shared" si="5"/>
        <v>11</v>
      </c>
      <c r="C16" s="34" t="s">
        <v>54</v>
      </c>
      <c r="D16" s="34"/>
      <c r="E16" s="34"/>
      <c r="F16" s="34"/>
      <c r="G16" s="27"/>
      <c r="H16" s="98">
        <v>11</v>
      </c>
      <c r="I16" s="99">
        <f t="shared" si="1"/>
        <v>4.1913496165851214</v>
      </c>
      <c r="J16" s="99">
        <f t="shared" si="2"/>
        <v>0</v>
      </c>
      <c r="K16" s="98">
        <f t="shared" si="3"/>
        <v>0</v>
      </c>
      <c r="L16" s="98"/>
      <c r="M16" s="100">
        <f t="shared" si="4"/>
        <v>4.1913496165851214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2.5291111555843244</v>
      </c>
      <c r="B17" s="39">
        <f t="shared" si="5"/>
        <v>12</v>
      </c>
      <c r="C17" s="40" t="s">
        <v>54</v>
      </c>
      <c r="D17" s="40"/>
      <c r="E17" s="40"/>
      <c r="F17" s="40"/>
      <c r="G17" s="27"/>
      <c r="H17" s="102">
        <v>12</v>
      </c>
      <c r="I17" s="103">
        <f t="shared" si="1"/>
        <v>2.5291111555843244</v>
      </c>
      <c r="J17" s="103">
        <f t="shared" si="2"/>
        <v>0</v>
      </c>
      <c r="K17" s="102">
        <f t="shared" si="3"/>
        <v>0</v>
      </c>
      <c r="L17" s="102"/>
      <c r="M17" s="104">
        <f t="shared" si="4"/>
        <v>2.5291111555843244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1</v>
      </c>
      <c r="B18" s="33">
        <f t="shared" si="5"/>
        <v>13</v>
      </c>
      <c r="C18" s="34" t="s">
        <v>54</v>
      </c>
      <c r="D18" s="34"/>
      <c r="E18" s="34"/>
      <c r="F18" s="34"/>
      <c r="G18" s="27"/>
      <c r="H18" s="98">
        <v>13</v>
      </c>
      <c r="I18" s="99">
        <f t="shared" si="1"/>
        <v>1</v>
      </c>
      <c r="J18" s="99">
        <f t="shared" si="2"/>
        <v>0</v>
      </c>
      <c r="K18" s="98">
        <f t="shared" si="3"/>
        <v>0</v>
      </c>
      <c r="L18" s="98"/>
      <c r="M18" s="100">
        <f t="shared" si="4"/>
        <v>1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102">
        <v>14</v>
      </c>
      <c r="I19" s="103" t="str">
        <f t="shared" si="1"/>
        <v/>
      </c>
      <c r="J19" s="103">
        <f t="shared" si="2"/>
        <v>0</v>
      </c>
      <c r="K19" s="102">
        <f t="shared" si="3"/>
        <v>0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98">
        <v>15</v>
      </c>
      <c r="I20" s="99" t="str">
        <f t="shared" si="1"/>
        <v/>
      </c>
      <c r="J20" s="99">
        <f t="shared" si="2"/>
        <v>0</v>
      </c>
      <c r="K20" s="98">
        <f t="shared" si="3"/>
        <v>0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102">
        <v>16</v>
      </c>
      <c r="I21" s="103" t="str">
        <f t="shared" si="1"/>
        <v/>
      </c>
      <c r="J21" s="103">
        <f t="shared" si="2"/>
        <v>0</v>
      </c>
      <c r="K21" s="102">
        <f t="shared" si="3"/>
        <v>0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98">
        <v>17</v>
      </c>
      <c r="I22" s="99" t="str">
        <f t="shared" si="1"/>
        <v/>
      </c>
      <c r="J22" s="99">
        <f t="shared" si="2"/>
        <v>-1</v>
      </c>
      <c r="K22" s="98">
        <f t="shared" si="3"/>
        <v>-10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102">
        <v>18</v>
      </c>
      <c r="I23" s="103" t="str">
        <f t="shared" si="1"/>
        <v/>
      </c>
      <c r="J23" s="103">
        <f t="shared" si="2"/>
        <v>-1</v>
      </c>
      <c r="K23" s="102">
        <f t="shared" si="3"/>
        <v>-10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98">
        <v>19</v>
      </c>
      <c r="I24" s="99" t="str">
        <f t="shared" si="1"/>
        <v/>
      </c>
      <c r="J24" s="99">
        <f t="shared" si="2"/>
        <v>-1</v>
      </c>
      <c r="K24" s="98">
        <f t="shared" si="3"/>
        <v>-10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3">
        <f t="shared" si="2"/>
        <v>-1</v>
      </c>
      <c r="K25" s="102">
        <f t="shared" si="3"/>
        <v>-10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9">
        <f t="shared" si="2"/>
        <v>-1</v>
      </c>
      <c r="K26" s="98">
        <f t="shared" si="3"/>
        <v>-10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3">
        <f t="shared" si="2"/>
        <v>-1</v>
      </c>
      <c r="K27" s="102">
        <f t="shared" si="3"/>
        <v>-10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9">
        <f t="shared" si="2"/>
        <v>-1</v>
      </c>
      <c r="K28" s="98">
        <f t="shared" si="3"/>
        <v>-10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3">
        <f t="shared" si="2"/>
        <v>-1</v>
      </c>
      <c r="K29" s="102">
        <f t="shared" si="3"/>
        <v>-10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9">
        <f t="shared" si="2"/>
        <v>-1</v>
      </c>
      <c r="K30" s="98">
        <f t="shared" si="3"/>
        <v>-10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3">
        <f t="shared" si="2"/>
        <v>-1</v>
      </c>
      <c r="K31" s="102">
        <f t="shared" si="3"/>
        <v>-10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9">
        <f t="shared" si="2"/>
        <v>-1</v>
      </c>
      <c r="K32" s="98">
        <f t="shared" si="3"/>
        <v>-10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3">
        <f t="shared" si="2"/>
        <v>-1</v>
      </c>
      <c r="K33" s="102">
        <f t="shared" si="3"/>
        <v>-10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9">
        <f t="shared" si="2"/>
        <v>-1</v>
      </c>
      <c r="K34" s="98">
        <f t="shared" si="3"/>
        <v>-10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3">
        <f t="shared" si="2"/>
        <v>-1</v>
      </c>
      <c r="K35" s="102">
        <f t="shared" si="3"/>
        <v>-10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9">
        <f t="shared" si="2"/>
        <v>-1</v>
      </c>
      <c r="K36" s="98">
        <f t="shared" si="3"/>
        <v>-10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3">
        <f t="shared" si="2"/>
        <v>-1</v>
      </c>
      <c r="K37" s="102">
        <f t="shared" si="3"/>
        <v>-10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9">
        <f t="shared" si="2"/>
        <v>-2</v>
      </c>
      <c r="K38" s="98">
        <f t="shared" si="3"/>
        <v>-20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3">
        <f t="shared" si="2"/>
        <v>-2</v>
      </c>
      <c r="K39" s="102">
        <f t="shared" si="3"/>
        <v>-20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9">
        <f t="shared" si="2"/>
        <v>-2</v>
      </c>
      <c r="K40" s="98">
        <f t="shared" si="3"/>
        <v>-20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3">
        <f t="shared" si="2"/>
        <v>-2</v>
      </c>
      <c r="K41" s="102">
        <f t="shared" si="3"/>
        <v>-20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9">
        <f t="shared" si="2"/>
        <v>-2</v>
      </c>
      <c r="K42" s="98">
        <f t="shared" si="3"/>
        <v>-20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3">
        <f t="shared" si="2"/>
        <v>-2</v>
      </c>
      <c r="K43" s="102">
        <f t="shared" si="3"/>
        <v>-20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9">
        <f t="shared" si="2"/>
        <v>-2</v>
      </c>
      <c r="K44" s="98">
        <f t="shared" si="3"/>
        <v>-20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3">
        <f t="shared" si="2"/>
        <v>-2</v>
      </c>
      <c r="K45" s="102">
        <f t="shared" si="3"/>
        <v>-20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9">
        <f t="shared" si="2"/>
        <v>-2</v>
      </c>
      <c r="K46" s="98">
        <f t="shared" si="3"/>
        <v>-20</v>
      </c>
      <c r="L46" s="98"/>
      <c r="M46" s="100">
        <f t="shared" si="4"/>
        <v>0</v>
      </c>
      <c r="N46" s="83"/>
      <c r="O46" s="83"/>
      <c r="P46" s="83"/>
      <c r="Q46" s="83"/>
      <c r="R46" s="83">
        <f>LOG($H$2,2)</f>
        <v>3.7004397181410922</v>
      </c>
      <c r="T46" s="88">
        <f>LOG(H38,2)</f>
        <v>5.0443941193584534</v>
      </c>
      <c r="U46" s="88">
        <f>R46-T46</f>
        <v>-1.3439544012173612</v>
      </c>
    </row>
    <row r="47" spans="1:21" s="88" customFormat="1" x14ac:dyDescent="0.25">
      <c r="A47" s="101"/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3">
        <f t="shared" si="2"/>
        <v>-2</v>
      </c>
      <c r="K47" s="102">
        <f t="shared" si="3"/>
        <v>-20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9">
        <f t="shared" si="2"/>
        <v>-2</v>
      </c>
      <c r="K48" s="98">
        <f t="shared" si="3"/>
        <v>-20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39" t="str">
        <f t="shared" si="5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3">
        <f t="shared" si="2"/>
        <v>-2</v>
      </c>
      <c r="K49" s="102">
        <f t="shared" si="3"/>
        <v>-20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3" t="str">
        <f t="shared" si="5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9">
        <f t="shared" si="2"/>
        <v>-2</v>
      </c>
      <c r="K50" s="98">
        <f t="shared" si="3"/>
        <v>-20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39" t="str">
        <f t="shared" si="5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3">
        <f t="shared" si="2"/>
        <v>-2</v>
      </c>
      <c r="K51" s="102">
        <f t="shared" si="3"/>
        <v>-20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3" t="str">
        <f t="shared" si="5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9">
        <f t="shared" si="2"/>
        <v>-2</v>
      </c>
      <c r="K52" s="98">
        <f t="shared" si="3"/>
        <v>-20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39" t="str">
        <f t="shared" si="5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3">
        <f t="shared" si="2"/>
        <v>-2</v>
      </c>
      <c r="K53" s="102">
        <f t="shared" si="3"/>
        <v>-20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3" t="str">
        <f t="shared" si="5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9">
        <f t="shared" si="2"/>
        <v>-2</v>
      </c>
      <c r="K54" s="98">
        <f t="shared" si="3"/>
        <v>-20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39" t="str">
        <f t="shared" si="5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3">
        <f t="shared" si="2"/>
        <v>-2</v>
      </c>
      <c r="K55" s="102">
        <f t="shared" si="3"/>
        <v>-20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3" t="str">
        <f t="shared" si="5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9">
        <f t="shared" si="2"/>
        <v>-2</v>
      </c>
      <c r="K56" s="98">
        <f t="shared" si="3"/>
        <v>-20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3">
        <f t="shared" si="2"/>
        <v>-2</v>
      </c>
      <c r="K57" s="102">
        <f t="shared" si="3"/>
        <v>-20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9">
        <f t="shared" si="2"/>
        <v>-2</v>
      </c>
      <c r="K58" s="98">
        <f t="shared" si="3"/>
        <v>-20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3">
        <f t="shared" si="2"/>
        <v>-2</v>
      </c>
      <c r="K59" s="102">
        <f t="shared" si="3"/>
        <v>-20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9">
        <f t="shared" si="2"/>
        <v>-2</v>
      </c>
      <c r="K60" s="98">
        <f t="shared" si="3"/>
        <v>-20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3">
        <f t="shared" si="2"/>
        <v>-2</v>
      </c>
      <c r="K61" s="102">
        <f t="shared" si="3"/>
        <v>-20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9">
        <f t="shared" si="2"/>
        <v>-2</v>
      </c>
      <c r="K62" s="98">
        <f t="shared" si="3"/>
        <v>-20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3">
        <f t="shared" si="2"/>
        <v>-2</v>
      </c>
      <c r="K63" s="102">
        <f t="shared" si="3"/>
        <v>-20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9">
        <f t="shared" si="2"/>
        <v>-2</v>
      </c>
      <c r="K64" s="98">
        <f t="shared" si="3"/>
        <v>-20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3">
        <f t="shared" si="2"/>
        <v>-2</v>
      </c>
      <c r="K65" s="102">
        <f t="shared" si="3"/>
        <v>-20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9"/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9">
        <f t="shared" si="2"/>
        <v>-2</v>
      </c>
      <c r="K66" s="98">
        <f t="shared" si="3"/>
        <v>-20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9"/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9">
        <f t="shared" si="2"/>
        <v>-2</v>
      </c>
      <c r="K67" s="98">
        <f t="shared" si="3"/>
        <v>-20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9">
        <f t="shared" si="2"/>
        <v>-2</v>
      </c>
      <c r="K68" s="98">
        <f t="shared" si="3"/>
        <v>-20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9">
        <f t="shared" si="2"/>
        <v>-2</v>
      </c>
      <c r="K69" s="98">
        <f t="shared" si="3"/>
        <v>-20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6">IF(H70&lt;$H$2+1,($I$2-($I$2-1)*(LOG(H70)/LOG($H$2))),"")</f>
        <v/>
      </c>
      <c r="J70" s="99">
        <f t="shared" ref="J70:J133" si="7">INT(LOG($H$2,2))-ROUNDUP(LOG(H70,2),0)+IF(OR($H$2=1,$H$2=2,$H$2=4,$H$2=8,$H$2=16,$H$2=32,$H$2=64,$H$2=128,$H$2=256),0,1)</f>
        <v>-3</v>
      </c>
      <c r="K70" s="98">
        <f t="shared" ref="K70:K133" si="8">J70*$J$2</f>
        <v>-30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6"/>
        <v/>
      </c>
      <c r="J71" s="99">
        <f t="shared" si="7"/>
        <v>-3</v>
      </c>
      <c r="K71" s="98">
        <f t="shared" si="8"/>
        <v>-30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6"/>
        <v/>
      </c>
      <c r="J72" s="99">
        <f t="shared" si="7"/>
        <v>-3</v>
      </c>
      <c r="K72" s="98">
        <f t="shared" si="8"/>
        <v>-30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6"/>
        <v/>
      </c>
      <c r="J73" s="99">
        <f t="shared" si="7"/>
        <v>-3</v>
      </c>
      <c r="K73" s="98">
        <f t="shared" si="8"/>
        <v>-30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6"/>
        <v/>
      </c>
      <c r="J74" s="99">
        <f t="shared" si="7"/>
        <v>-3</v>
      </c>
      <c r="K74" s="98">
        <f t="shared" si="8"/>
        <v>-30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6"/>
        <v/>
      </c>
      <c r="J75" s="99">
        <f t="shared" si="7"/>
        <v>-3</v>
      </c>
      <c r="K75" s="98">
        <f t="shared" si="8"/>
        <v>-30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6"/>
        <v/>
      </c>
      <c r="J76" s="99">
        <f t="shared" si="7"/>
        <v>-3</v>
      </c>
      <c r="K76" s="98">
        <f t="shared" si="8"/>
        <v>-30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6"/>
        <v/>
      </c>
      <c r="J77" s="99">
        <f t="shared" si="7"/>
        <v>-3</v>
      </c>
      <c r="K77" s="98">
        <f t="shared" si="8"/>
        <v>-30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6"/>
        <v/>
      </c>
      <c r="J78" s="99">
        <f t="shared" si="7"/>
        <v>-3</v>
      </c>
      <c r="K78" s="98">
        <f t="shared" si="8"/>
        <v>-30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6"/>
        <v/>
      </c>
      <c r="J79" s="99">
        <f t="shared" si="7"/>
        <v>-3</v>
      </c>
      <c r="K79" s="98">
        <f t="shared" si="8"/>
        <v>-30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6"/>
        <v/>
      </c>
      <c r="J80" s="99">
        <f t="shared" si="7"/>
        <v>-3</v>
      </c>
      <c r="K80" s="98">
        <f t="shared" si="8"/>
        <v>-30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6"/>
        <v/>
      </c>
      <c r="J81" s="99">
        <f t="shared" si="7"/>
        <v>-3</v>
      </c>
      <c r="K81" s="98">
        <f t="shared" si="8"/>
        <v>-30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6"/>
        <v/>
      </c>
      <c r="J82" s="99">
        <f t="shared" si="7"/>
        <v>-3</v>
      </c>
      <c r="K82" s="98">
        <f t="shared" si="8"/>
        <v>-30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6"/>
        <v/>
      </c>
      <c r="J83" s="99">
        <f t="shared" si="7"/>
        <v>-3</v>
      </c>
      <c r="K83" s="98">
        <f t="shared" si="8"/>
        <v>-30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6"/>
        <v/>
      </c>
      <c r="J84" s="99">
        <f t="shared" si="7"/>
        <v>-3</v>
      </c>
      <c r="K84" s="98">
        <f t="shared" si="8"/>
        <v>-30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6"/>
        <v/>
      </c>
      <c r="J85" s="99">
        <f t="shared" si="7"/>
        <v>-3</v>
      </c>
      <c r="K85" s="98">
        <f t="shared" si="8"/>
        <v>-30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6"/>
        <v/>
      </c>
      <c r="J86" s="99">
        <f t="shared" si="7"/>
        <v>-3</v>
      </c>
      <c r="K86" s="98">
        <f t="shared" si="8"/>
        <v>-30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6"/>
        <v/>
      </c>
      <c r="J87" s="99">
        <f t="shared" si="7"/>
        <v>-3</v>
      </c>
      <c r="K87" s="98">
        <f t="shared" si="8"/>
        <v>-30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6"/>
        <v/>
      </c>
      <c r="J88" s="99">
        <f t="shared" si="7"/>
        <v>-3</v>
      </c>
      <c r="K88" s="98">
        <f t="shared" si="8"/>
        <v>-30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6"/>
        <v/>
      </c>
      <c r="J89" s="99">
        <f t="shared" si="7"/>
        <v>-3</v>
      </c>
      <c r="K89" s="98">
        <f t="shared" si="8"/>
        <v>-30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6"/>
        <v/>
      </c>
      <c r="J90" s="99">
        <f t="shared" si="7"/>
        <v>-3</v>
      </c>
      <c r="K90" s="98">
        <f t="shared" si="8"/>
        <v>-30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6"/>
        <v/>
      </c>
      <c r="J91" s="99">
        <f t="shared" si="7"/>
        <v>-3</v>
      </c>
      <c r="K91" s="98">
        <f t="shared" si="8"/>
        <v>-30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6"/>
        <v/>
      </c>
      <c r="J92" s="99">
        <f t="shared" si="7"/>
        <v>-3</v>
      </c>
      <c r="K92" s="98">
        <f t="shared" si="8"/>
        <v>-30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6"/>
        <v/>
      </c>
      <c r="J93" s="99">
        <f t="shared" si="7"/>
        <v>-3</v>
      </c>
      <c r="K93" s="98">
        <f t="shared" si="8"/>
        <v>-30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6"/>
        <v/>
      </c>
      <c r="J94" s="99">
        <f t="shared" si="7"/>
        <v>-3</v>
      </c>
      <c r="K94" s="98">
        <f t="shared" si="8"/>
        <v>-30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6"/>
        <v/>
      </c>
      <c r="J95" s="99">
        <f t="shared" si="7"/>
        <v>-3</v>
      </c>
      <c r="K95" s="98">
        <f t="shared" si="8"/>
        <v>-30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6"/>
        <v/>
      </c>
      <c r="J96" s="99">
        <f t="shared" si="7"/>
        <v>-3</v>
      </c>
      <c r="K96" s="98">
        <f t="shared" si="8"/>
        <v>-30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6"/>
        <v/>
      </c>
      <c r="J97" s="99">
        <f t="shared" si="7"/>
        <v>-3</v>
      </c>
      <c r="K97" s="98">
        <f t="shared" si="8"/>
        <v>-30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6"/>
        <v/>
      </c>
      <c r="J98" s="99">
        <f t="shared" si="7"/>
        <v>-3</v>
      </c>
      <c r="K98" s="98">
        <f t="shared" si="8"/>
        <v>-30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6"/>
        <v/>
      </c>
      <c r="J99" s="99">
        <f t="shared" si="7"/>
        <v>-3</v>
      </c>
      <c r="K99" s="98">
        <f t="shared" si="8"/>
        <v>-30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6"/>
        <v/>
      </c>
      <c r="J100" s="99">
        <f t="shared" si="7"/>
        <v>-3</v>
      </c>
      <c r="K100" s="98">
        <f t="shared" si="8"/>
        <v>-30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6"/>
        <v/>
      </c>
      <c r="J101" s="99">
        <f t="shared" si="7"/>
        <v>-3</v>
      </c>
      <c r="K101" s="98">
        <f t="shared" si="8"/>
        <v>-30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6"/>
        <v/>
      </c>
      <c r="J102" s="99">
        <f t="shared" si="7"/>
        <v>-3</v>
      </c>
      <c r="K102" s="98">
        <f t="shared" si="8"/>
        <v>-30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6"/>
        <v/>
      </c>
      <c r="J103" s="99">
        <f t="shared" si="7"/>
        <v>-3</v>
      </c>
      <c r="K103" s="98">
        <f t="shared" si="8"/>
        <v>-30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6"/>
        <v/>
      </c>
      <c r="J104" s="99">
        <f t="shared" si="7"/>
        <v>-3</v>
      </c>
      <c r="K104" s="98">
        <f t="shared" si="8"/>
        <v>-30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6"/>
        <v/>
      </c>
      <c r="J105" s="99">
        <f t="shared" si="7"/>
        <v>-3</v>
      </c>
      <c r="K105" s="98">
        <f t="shared" si="8"/>
        <v>-30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6"/>
        <v/>
      </c>
      <c r="J106" s="99">
        <f t="shared" si="7"/>
        <v>-3</v>
      </c>
      <c r="K106" s="98">
        <f t="shared" si="8"/>
        <v>-30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6"/>
        <v/>
      </c>
      <c r="J107" s="99">
        <f t="shared" si="7"/>
        <v>-3</v>
      </c>
      <c r="K107" s="98">
        <f t="shared" si="8"/>
        <v>-30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6"/>
        <v/>
      </c>
      <c r="J108" s="99">
        <f t="shared" si="7"/>
        <v>-3</v>
      </c>
      <c r="K108" s="98">
        <f t="shared" si="8"/>
        <v>-30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6"/>
        <v/>
      </c>
      <c r="J109" s="99">
        <f t="shared" si="7"/>
        <v>-3</v>
      </c>
      <c r="K109" s="98">
        <f t="shared" si="8"/>
        <v>-30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6"/>
        <v/>
      </c>
      <c r="J110" s="99">
        <f t="shared" si="7"/>
        <v>-3</v>
      </c>
      <c r="K110" s="98">
        <f t="shared" si="8"/>
        <v>-30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6"/>
        <v/>
      </c>
      <c r="J111" s="99">
        <f t="shared" si="7"/>
        <v>-3</v>
      </c>
      <c r="K111" s="98">
        <f t="shared" si="8"/>
        <v>-30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6"/>
        <v/>
      </c>
      <c r="J112" s="99">
        <f t="shared" si="7"/>
        <v>-3</v>
      </c>
      <c r="K112" s="98">
        <f t="shared" si="8"/>
        <v>-30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6"/>
        <v/>
      </c>
      <c r="J113" s="99">
        <f t="shared" si="7"/>
        <v>-3</v>
      </c>
      <c r="K113" s="98">
        <f t="shared" si="8"/>
        <v>-30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6"/>
        <v/>
      </c>
      <c r="J114" s="99">
        <f t="shared" si="7"/>
        <v>-3</v>
      </c>
      <c r="K114" s="98">
        <f t="shared" si="8"/>
        <v>-30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6"/>
        <v/>
      </c>
      <c r="J115" s="99">
        <f t="shared" si="7"/>
        <v>-3</v>
      </c>
      <c r="K115" s="98">
        <f t="shared" si="8"/>
        <v>-30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6"/>
        <v/>
      </c>
      <c r="J116" s="99">
        <f t="shared" si="7"/>
        <v>-3</v>
      </c>
      <c r="K116" s="98">
        <f t="shared" si="8"/>
        <v>-30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6"/>
        <v/>
      </c>
      <c r="J117" s="99">
        <f t="shared" si="7"/>
        <v>-3</v>
      </c>
      <c r="K117" s="98">
        <f t="shared" si="8"/>
        <v>-30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6"/>
        <v/>
      </c>
      <c r="J118" s="99">
        <f t="shared" si="7"/>
        <v>-3</v>
      </c>
      <c r="K118" s="98">
        <f t="shared" si="8"/>
        <v>-30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6"/>
        <v/>
      </c>
      <c r="J119" s="99">
        <f t="shared" si="7"/>
        <v>-3</v>
      </c>
      <c r="K119" s="98">
        <f t="shared" si="8"/>
        <v>-30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6"/>
        <v/>
      </c>
      <c r="J120" s="99">
        <f t="shared" si="7"/>
        <v>-3</v>
      </c>
      <c r="K120" s="98">
        <f t="shared" si="8"/>
        <v>-30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6"/>
        <v/>
      </c>
      <c r="J121" s="99">
        <f t="shared" si="7"/>
        <v>-3</v>
      </c>
      <c r="K121" s="98">
        <f t="shared" si="8"/>
        <v>-30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6"/>
        <v/>
      </c>
      <c r="J122" s="99">
        <f t="shared" si="7"/>
        <v>-3</v>
      </c>
      <c r="K122" s="98">
        <f t="shared" si="8"/>
        <v>-30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6"/>
        <v/>
      </c>
      <c r="J123" s="99">
        <f t="shared" si="7"/>
        <v>-3</v>
      </c>
      <c r="K123" s="98">
        <f t="shared" si="8"/>
        <v>-30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6"/>
        <v/>
      </c>
      <c r="J124" s="99">
        <f t="shared" si="7"/>
        <v>-3</v>
      </c>
      <c r="K124" s="98">
        <f t="shared" si="8"/>
        <v>-30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6"/>
        <v/>
      </c>
      <c r="J125" s="99">
        <f t="shared" si="7"/>
        <v>-3</v>
      </c>
      <c r="K125" s="98">
        <f t="shared" si="8"/>
        <v>-30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6"/>
        <v/>
      </c>
      <c r="J126" s="99">
        <f t="shared" si="7"/>
        <v>-3</v>
      </c>
      <c r="K126" s="98">
        <f t="shared" si="8"/>
        <v>-30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6"/>
        <v/>
      </c>
      <c r="J127" s="99">
        <f t="shared" si="7"/>
        <v>-3</v>
      </c>
      <c r="K127" s="98">
        <f t="shared" si="8"/>
        <v>-30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6"/>
        <v/>
      </c>
      <c r="J128" s="99">
        <f t="shared" si="7"/>
        <v>-3</v>
      </c>
      <c r="K128" s="98">
        <f t="shared" si="8"/>
        <v>-30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6"/>
        <v/>
      </c>
      <c r="J129" s="99">
        <f t="shared" si="7"/>
        <v>-3</v>
      </c>
      <c r="K129" s="98">
        <f t="shared" si="8"/>
        <v>-30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6"/>
        <v/>
      </c>
      <c r="J130" s="99">
        <f t="shared" si="7"/>
        <v>-3</v>
      </c>
      <c r="K130" s="98">
        <f t="shared" si="8"/>
        <v>-30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6"/>
        <v/>
      </c>
      <c r="J131" s="99">
        <f t="shared" si="7"/>
        <v>-3</v>
      </c>
      <c r="K131" s="98">
        <f t="shared" si="8"/>
        <v>-30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6"/>
        <v/>
      </c>
      <c r="J132" s="99">
        <f t="shared" si="7"/>
        <v>-3</v>
      </c>
      <c r="K132" s="98">
        <f t="shared" si="8"/>
        <v>-30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6"/>
        <v/>
      </c>
      <c r="J133" s="99">
        <f t="shared" si="7"/>
        <v>-3</v>
      </c>
      <c r="K133" s="98">
        <f t="shared" si="8"/>
        <v>-30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0">IF(H134&lt;$H$2+1,($I$2-($I$2-1)*(LOG(H134)/LOG($H$2))),"")</f>
        <v/>
      </c>
      <c r="J134" s="99">
        <f t="shared" ref="J134:J197" si="11">INT(LOG($H$2,2))-ROUNDUP(LOG(H134,2),0)+IF(OR($H$2=1,$H$2=2,$H$2=4,$H$2=8,$H$2=16,$H$2=32,$H$2=64,$H$2=128,$H$2=256),0,1)</f>
        <v>-4</v>
      </c>
      <c r="K134" s="98">
        <f t="shared" ref="K134:K197" si="12">J134*$J$2</f>
        <v>-40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0"/>
        <v/>
      </c>
      <c r="J135" s="99">
        <f t="shared" si="11"/>
        <v>-4</v>
      </c>
      <c r="K135" s="98">
        <f t="shared" si="12"/>
        <v>-40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0"/>
        <v/>
      </c>
      <c r="J136" s="99">
        <f t="shared" si="11"/>
        <v>-4</v>
      </c>
      <c r="K136" s="98">
        <f t="shared" si="12"/>
        <v>-40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0"/>
        <v/>
      </c>
      <c r="J137" s="99">
        <f t="shared" si="11"/>
        <v>-4</v>
      </c>
      <c r="K137" s="98">
        <f t="shared" si="12"/>
        <v>-40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0"/>
        <v/>
      </c>
      <c r="J138" s="99">
        <f t="shared" si="11"/>
        <v>-4</v>
      </c>
      <c r="K138" s="98">
        <f t="shared" si="12"/>
        <v>-40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0"/>
        <v/>
      </c>
      <c r="J139" s="99">
        <f t="shared" si="11"/>
        <v>-4</v>
      </c>
      <c r="K139" s="98">
        <f t="shared" si="12"/>
        <v>-40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0"/>
        <v/>
      </c>
      <c r="J140" s="99">
        <f t="shared" si="11"/>
        <v>-4</v>
      </c>
      <c r="K140" s="98">
        <f t="shared" si="12"/>
        <v>-40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0"/>
        <v/>
      </c>
      <c r="J141" s="99">
        <f t="shared" si="11"/>
        <v>-4</v>
      </c>
      <c r="K141" s="98">
        <f t="shared" si="12"/>
        <v>-40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0"/>
        <v/>
      </c>
      <c r="J142" s="99">
        <f t="shared" si="11"/>
        <v>-4</v>
      </c>
      <c r="K142" s="98">
        <f t="shared" si="12"/>
        <v>-40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0"/>
        <v/>
      </c>
      <c r="J143" s="99">
        <f t="shared" si="11"/>
        <v>-4</v>
      </c>
      <c r="K143" s="98">
        <f t="shared" si="12"/>
        <v>-40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0"/>
        <v/>
      </c>
      <c r="J144" s="99">
        <f t="shared" si="11"/>
        <v>-4</v>
      </c>
      <c r="K144" s="98">
        <f t="shared" si="12"/>
        <v>-40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0"/>
        <v/>
      </c>
      <c r="J145" s="99">
        <f t="shared" si="11"/>
        <v>-4</v>
      </c>
      <c r="K145" s="98">
        <f t="shared" si="12"/>
        <v>-40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0"/>
        <v/>
      </c>
      <c r="J146" s="99">
        <f t="shared" si="11"/>
        <v>-4</v>
      </c>
      <c r="K146" s="98">
        <f t="shared" si="12"/>
        <v>-40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0"/>
        <v/>
      </c>
      <c r="J147" s="99">
        <f t="shared" si="11"/>
        <v>-4</v>
      </c>
      <c r="K147" s="98">
        <f t="shared" si="12"/>
        <v>-40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0"/>
        <v/>
      </c>
      <c r="J148" s="99">
        <f t="shared" si="11"/>
        <v>-4</v>
      </c>
      <c r="K148" s="98">
        <f t="shared" si="12"/>
        <v>-40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0"/>
        <v/>
      </c>
      <c r="J149" s="99">
        <f t="shared" si="11"/>
        <v>-4</v>
      </c>
      <c r="K149" s="98">
        <f t="shared" si="12"/>
        <v>-40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0"/>
        <v/>
      </c>
      <c r="J150" s="99">
        <f t="shared" si="11"/>
        <v>-4</v>
      </c>
      <c r="K150" s="98">
        <f t="shared" si="12"/>
        <v>-40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0"/>
        <v/>
      </c>
      <c r="J151" s="99">
        <f t="shared" si="11"/>
        <v>-4</v>
      </c>
      <c r="K151" s="98">
        <f t="shared" si="12"/>
        <v>-40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0"/>
        <v/>
      </c>
      <c r="J152" s="99">
        <f t="shared" si="11"/>
        <v>-4</v>
      </c>
      <c r="K152" s="98">
        <f t="shared" si="12"/>
        <v>-40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0"/>
        <v/>
      </c>
      <c r="J153" s="99">
        <f t="shared" si="11"/>
        <v>-4</v>
      </c>
      <c r="K153" s="98">
        <f t="shared" si="12"/>
        <v>-40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0"/>
        <v/>
      </c>
      <c r="J154" s="99">
        <f t="shared" si="11"/>
        <v>-4</v>
      </c>
      <c r="K154" s="98">
        <f t="shared" si="12"/>
        <v>-40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0"/>
        <v/>
      </c>
      <c r="J155" s="99">
        <f t="shared" si="11"/>
        <v>-4</v>
      </c>
      <c r="K155" s="98">
        <f t="shared" si="12"/>
        <v>-40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0"/>
        <v/>
      </c>
      <c r="J156" s="99">
        <f t="shared" si="11"/>
        <v>-4</v>
      </c>
      <c r="K156" s="98">
        <f t="shared" si="12"/>
        <v>-40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0"/>
        <v/>
      </c>
      <c r="J157" s="99">
        <f t="shared" si="11"/>
        <v>-4</v>
      </c>
      <c r="K157" s="98">
        <f t="shared" si="12"/>
        <v>-40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0"/>
        <v/>
      </c>
      <c r="J158" s="99">
        <f t="shared" si="11"/>
        <v>-4</v>
      </c>
      <c r="K158" s="98">
        <f t="shared" si="12"/>
        <v>-40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0"/>
        <v/>
      </c>
      <c r="J159" s="99">
        <f t="shared" si="11"/>
        <v>-4</v>
      </c>
      <c r="K159" s="98">
        <f t="shared" si="12"/>
        <v>-40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0"/>
        <v/>
      </c>
      <c r="J160" s="99">
        <f t="shared" si="11"/>
        <v>-4</v>
      </c>
      <c r="K160" s="98">
        <f t="shared" si="12"/>
        <v>-40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0"/>
        <v/>
      </c>
      <c r="J161" s="99">
        <f t="shared" si="11"/>
        <v>-4</v>
      </c>
      <c r="K161" s="98">
        <f t="shared" si="12"/>
        <v>-40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0"/>
        <v/>
      </c>
      <c r="J162" s="99">
        <f t="shared" si="11"/>
        <v>-4</v>
      </c>
      <c r="K162" s="98">
        <f t="shared" si="12"/>
        <v>-40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0"/>
        <v/>
      </c>
      <c r="J163" s="99">
        <f t="shared" si="11"/>
        <v>-4</v>
      </c>
      <c r="K163" s="98">
        <f t="shared" si="12"/>
        <v>-40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0"/>
        <v/>
      </c>
      <c r="J164" s="99">
        <f t="shared" si="11"/>
        <v>-4</v>
      </c>
      <c r="K164" s="98">
        <f t="shared" si="12"/>
        <v>-40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0"/>
        <v/>
      </c>
      <c r="J165" s="99">
        <f t="shared" si="11"/>
        <v>-4</v>
      </c>
      <c r="K165" s="98">
        <f t="shared" si="12"/>
        <v>-40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0"/>
        <v/>
      </c>
      <c r="J166" s="99">
        <f t="shared" si="11"/>
        <v>-4</v>
      </c>
      <c r="K166" s="98">
        <f t="shared" si="12"/>
        <v>-40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0"/>
        <v/>
      </c>
      <c r="J167" s="99">
        <f t="shared" si="11"/>
        <v>-4</v>
      </c>
      <c r="K167" s="98">
        <f t="shared" si="12"/>
        <v>-40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0"/>
        <v/>
      </c>
      <c r="J168" s="99">
        <f t="shared" si="11"/>
        <v>-4</v>
      </c>
      <c r="K168" s="98">
        <f t="shared" si="12"/>
        <v>-40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0"/>
        <v/>
      </c>
      <c r="J169" s="99">
        <f t="shared" si="11"/>
        <v>-4</v>
      </c>
      <c r="K169" s="98">
        <f t="shared" si="12"/>
        <v>-40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0"/>
        <v/>
      </c>
      <c r="J170" s="99">
        <f t="shared" si="11"/>
        <v>-4</v>
      </c>
      <c r="K170" s="98">
        <f t="shared" si="12"/>
        <v>-40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0"/>
        <v/>
      </c>
      <c r="J171" s="99">
        <f t="shared" si="11"/>
        <v>-4</v>
      </c>
      <c r="K171" s="98">
        <f t="shared" si="12"/>
        <v>-40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0"/>
        <v/>
      </c>
      <c r="J172" s="99">
        <f t="shared" si="11"/>
        <v>-4</v>
      </c>
      <c r="K172" s="98">
        <f t="shared" si="12"/>
        <v>-40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0"/>
        <v/>
      </c>
      <c r="J173" s="99">
        <f t="shared" si="11"/>
        <v>-4</v>
      </c>
      <c r="K173" s="98">
        <f t="shared" si="12"/>
        <v>-40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0"/>
        <v/>
      </c>
      <c r="J174" s="99">
        <f t="shared" si="11"/>
        <v>-4</v>
      </c>
      <c r="K174" s="98">
        <f t="shared" si="12"/>
        <v>-40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0"/>
        <v/>
      </c>
      <c r="J175" s="99">
        <f t="shared" si="11"/>
        <v>-4</v>
      </c>
      <c r="K175" s="98">
        <f t="shared" si="12"/>
        <v>-40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0"/>
        <v/>
      </c>
      <c r="J176" s="99">
        <f t="shared" si="11"/>
        <v>-4</v>
      </c>
      <c r="K176" s="98">
        <f t="shared" si="12"/>
        <v>-40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0"/>
        <v/>
      </c>
      <c r="J177" s="99">
        <f t="shared" si="11"/>
        <v>-4</v>
      </c>
      <c r="K177" s="98">
        <f t="shared" si="12"/>
        <v>-40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0"/>
        <v/>
      </c>
      <c r="J178" s="99">
        <f t="shared" si="11"/>
        <v>-4</v>
      </c>
      <c r="K178" s="98">
        <f t="shared" si="12"/>
        <v>-40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0"/>
        <v/>
      </c>
      <c r="J179" s="99">
        <f t="shared" si="11"/>
        <v>-4</v>
      </c>
      <c r="K179" s="98">
        <f t="shared" si="12"/>
        <v>-40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0"/>
        <v/>
      </c>
      <c r="J180" s="99">
        <f t="shared" si="11"/>
        <v>-4</v>
      </c>
      <c r="K180" s="98">
        <f t="shared" si="12"/>
        <v>-40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0"/>
        <v/>
      </c>
      <c r="J181" s="99">
        <f t="shared" si="11"/>
        <v>-4</v>
      </c>
      <c r="K181" s="98">
        <f t="shared" si="12"/>
        <v>-40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0"/>
        <v/>
      </c>
      <c r="J182" s="99">
        <f t="shared" si="11"/>
        <v>-4</v>
      </c>
      <c r="K182" s="98">
        <f t="shared" si="12"/>
        <v>-40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0"/>
        <v/>
      </c>
      <c r="J183" s="99">
        <f t="shared" si="11"/>
        <v>-4</v>
      </c>
      <c r="K183" s="98">
        <f t="shared" si="12"/>
        <v>-40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0"/>
        <v/>
      </c>
      <c r="J184" s="99">
        <f t="shared" si="11"/>
        <v>-4</v>
      </c>
      <c r="K184" s="98">
        <f t="shared" si="12"/>
        <v>-40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0"/>
        <v/>
      </c>
      <c r="J185" s="99">
        <f t="shared" si="11"/>
        <v>-4</v>
      </c>
      <c r="K185" s="98">
        <f t="shared" si="12"/>
        <v>-40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0"/>
        <v/>
      </c>
      <c r="J186" s="99">
        <f t="shared" si="11"/>
        <v>-4</v>
      </c>
      <c r="K186" s="98">
        <f t="shared" si="12"/>
        <v>-40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0"/>
        <v/>
      </c>
      <c r="J187" s="99">
        <f t="shared" si="11"/>
        <v>-4</v>
      </c>
      <c r="K187" s="98">
        <f t="shared" si="12"/>
        <v>-40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0"/>
        <v/>
      </c>
      <c r="J188" s="99">
        <f t="shared" si="11"/>
        <v>-4</v>
      </c>
      <c r="K188" s="98">
        <f t="shared" si="12"/>
        <v>-40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0"/>
        <v/>
      </c>
      <c r="J189" s="99">
        <f t="shared" si="11"/>
        <v>-4</v>
      </c>
      <c r="K189" s="98">
        <f t="shared" si="12"/>
        <v>-40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0"/>
        <v/>
      </c>
      <c r="J190" s="99">
        <f t="shared" si="11"/>
        <v>-4</v>
      </c>
      <c r="K190" s="98">
        <f t="shared" si="12"/>
        <v>-40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0"/>
        <v/>
      </c>
      <c r="J191" s="99">
        <f t="shared" si="11"/>
        <v>-4</v>
      </c>
      <c r="K191" s="98">
        <f t="shared" si="12"/>
        <v>-40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0"/>
        <v/>
      </c>
      <c r="J192" s="99">
        <f t="shared" si="11"/>
        <v>-4</v>
      </c>
      <c r="K192" s="98">
        <f t="shared" si="12"/>
        <v>-40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0"/>
        <v/>
      </c>
      <c r="J193" s="99">
        <f t="shared" si="11"/>
        <v>-4</v>
      </c>
      <c r="K193" s="98">
        <f t="shared" si="12"/>
        <v>-40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0"/>
        <v/>
      </c>
      <c r="J194" s="99">
        <f t="shared" si="11"/>
        <v>-4</v>
      </c>
      <c r="K194" s="98">
        <f t="shared" si="12"/>
        <v>-40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0"/>
        <v/>
      </c>
      <c r="J195" s="99">
        <f t="shared" si="11"/>
        <v>-4</v>
      </c>
      <c r="K195" s="98">
        <f t="shared" si="12"/>
        <v>-40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0"/>
        <v/>
      </c>
      <c r="J196" s="99">
        <f t="shared" si="11"/>
        <v>-4</v>
      </c>
      <c r="K196" s="98">
        <f t="shared" si="12"/>
        <v>-40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0"/>
        <v/>
      </c>
      <c r="J197" s="99">
        <f t="shared" si="11"/>
        <v>-4</v>
      </c>
      <c r="K197" s="98">
        <f t="shared" si="12"/>
        <v>-40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4">IF(H198&lt;$H$2+1,($I$2-($I$2-1)*(LOG(H198)/LOG($H$2))),"")</f>
        <v/>
      </c>
      <c r="J198" s="99">
        <f t="shared" ref="J198:J261" si="15">INT(LOG($H$2,2))-ROUNDUP(LOG(H198,2),0)+IF(OR($H$2=1,$H$2=2,$H$2=4,$H$2=8,$H$2=16,$H$2=32,$H$2=64,$H$2=128,$H$2=256),0,1)</f>
        <v>-4</v>
      </c>
      <c r="K198" s="98">
        <f t="shared" ref="K198:K261" si="16">J198*$J$2</f>
        <v>-40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4"/>
        <v/>
      </c>
      <c r="J199" s="99">
        <f t="shared" si="15"/>
        <v>-4</v>
      </c>
      <c r="K199" s="98">
        <f t="shared" si="16"/>
        <v>-40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4"/>
        <v/>
      </c>
      <c r="J200" s="99">
        <f t="shared" si="15"/>
        <v>-4</v>
      </c>
      <c r="K200" s="98">
        <f t="shared" si="16"/>
        <v>-40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4"/>
        <v/>
      </c>
      <c r="J201" s="99">
        <f t="shared" si="15"/>
        <v>-4</v>
      </c>
      <c r="K201" s="98">
        <f t="shared" si="16"/>
        <v>-40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4"/>
        <v/>
      </c>
      <c r="J202" s="99">
        <f t="shared" si="15"/>
        <v>-4</v>
      </c>
      <c r="K202" s="98">
        <f t="shared" si="16"/>
        <v>-40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4"/>
        <v/>
      </c>
      <c r="J203" s="99">
        <f t="shared" si="15"/>
        <v>-4</v>
      </c>
      <c r="K203" s="98">
        <f t="shared" si="16"/>
        <v>-40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4"/>
        <v/>
      </c>
      <c r="J204" s="99">
        <f t="shared" si="15"/>
        <v>-4</v>
      </c>
      <c r="K204" s="98">
        <f t="shared" si="16"/>
        <v>-40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4"/>
        <v/>
      </c>
      <c r="J205" s="99">
        <f t="shared" si="15"/>
        <v>-4</v>
      </c>
      <c r="K205" s="98">
        <f t="shared" si="16"/>
        <v>-40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4"/>
        <v/>
      </c>
      <c r="J206" s="99">
        <f t="shared" si="15"/>
        <v>-4</v>
      </c>
      <c r="K206" s="98">
        <f t="shared" si="16"/>
        <v>-40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4"/>
        <v/>
      </c>
      <c r="J207" s="99">
        <f t="shared" si="15"/>
        <v>-4</v>
      </c>
      <c r="K207" s="98">
        <f t="shared" si="16"/>
        <v>-40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4"/>
        <v/>
      </c>
      <c r="J208" s="99">
        <f t="shared" si="15"/>
        <v>-4</v>
      </c>
      <c r="K208" s="98">
        <f t="shared" si="16"/>
        <v>-40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4"/>
        <v/>
      </c>
      <c r="J209" s="99">
        <f t="shared" si="15"/>
        <v>-4</v>
      </c>
      <c r="K209" s="98">
        <f t="shared" si="16"/>
        <v>-40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4"/>
        <v/>
      </c>
      <c r="J210" s="99">
        <f t="shared" si="15"/>
        <v>-4</v>
      </c>
      <c r="K210" s="98">
        <f t="shared" si="16"/>
        <v>-40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4"/>
        <v/>
      </c>
      <c r="J211" s="99">
        <f t="shared" si="15"/>
        <v>-4</v>
      </c>
      <c r="K211" s="98">
        <f t="shared" si="16"/>
        <v>-40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4"/>
        <v/>
      </c>
      <c r="J212" s="99">
        <f t="shared" si="15"/>
        <v>-4</v>
      </c>
      <c r="K212" s="98">
        <f t="shared" si="16"/>
        <v>-40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4"/>
        <v/>
      </c>
      <c r="J213" s="99">
        <f t="shared" si="15"/>
        <v>-4</v>
      </c>
      <c r="K213" s="98">
        <f t="shared" si="16"/>
        <v>-40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4"/>
        <v/>
      </c>
      <c r="J214" s="99">
        <f t="shared" si="15"/>
        <v>-4</v>
      </c>
      <c r="K214" s="98">
        <f t="shared" si="16"/>
        <v>-40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4"/>
        <v/>
      </c>
      <c r="J215" s="99">
        <f t="shared" si="15"/>
        <v>-4</v>
      </c>
      <c r="K215" s="98">
        <f t="shared" si="16"/>
        <v>-40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4"/>
        <v/>
      </c>
      <c r="J216" s="99">
        <f t="shared" si="15"/>
        <v>-4</v>
      </c>
      <c r="K216" s="98">
        <f t="shared" si="16"/>
        <v>-40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4"/>
        <v/>
      </c>
      <c r="J217" s="99">
        <f t="shared" si="15"/>
        <v>-4</v>
      </c>
      <c r="K217" s="98">
        <f t="shared" si="16"/>
        <v>-40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4"/>
        <v/>
      </c>
      <c r="J218" s="99">
        <f t="shared" si="15"/>
        <v>-4</v>
      </c>
      <c r="K218" s="98">
        <f t="shared" si="16"/>
        <v>-40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4"/>
        <v/>
      </c>
      <c r="J219" s="99">
        <f t="shared" si="15"/>
        <v>-4</v>
      </c>
      <c r="K219" s="98">
        <f t="shared" si="16"/>
        <v>-40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4"/>
        <v/>
      </c>
      <c r="J220" s="99">
        <f t="shared" si="15"/>
        <v>-4</v>
      </c>
      <c r="K220" s="98">
        <f t="shared" si="16"/>
        <v>-40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4"/>
        <v/>
      </c>
      <c r="J221" s="99">
        <f t="shared" si="15"/>
        <v>-4</v>
      </c>
      <c r="K221" s="98">
        <f t="shared" si="16"/>
        <v>-40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4"/>
        <v/>
      </c>
      <c r="J222" s="99">
        <f t="shared" si="15"/>
        <v>-4</v>
      </c>
      <c r="K222" s="98">
        <f t="shared" si="16"/>
        <v>-40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4"/>
        <v/>
      </c>
      <c r="J223" s="99">
        <f t="shared" si="15"/>
        <v>-4</v>
      </c>
      <c r="K223" s="98">
        <f t="shared" si="16"/>
        <v>-40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4"/>
        <v/>
      </c>
      <c r="J224" s="99">
        <f t="shared" si="15"/>
        <v>-4</v>
      </c>
      <c r="K224" s="98">
        <f t="shared" si="16"/>
        <v>-40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4"/>
        <v/>
      </c>
      <c r="J225" s="99">
        <f t="shared" si="15"/>
        <v>-4</v>
      </c>
      <c r="K225" s="98">
        <f t="shared" si="16"/>
        <v>-40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4"/>
        <v/>
      </c>
      <c r="J226" s="99">
        <f t="shared" si="15"/>
        <v>-4</v>
      </c>
      <c r="K226" s="98">
        <f t="shared" si="16"/>
        <v>-40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4"/>
        <v/>
      </c>
      <c r="J227" s="99">
        <f t="shared" si="15"/>
        <v>-4</v>
      </c>
      <c r="K227" s="98">
        <f t="shared" si="16"/>
        <v>-40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4"/>
        <v/>
      </c>
      <c r="J228" s="99">
        <f t="shared" si="15"/>
        <v>-4</v>
      </c>
      <c r="K228" s="98">
        <f t="shared" si="16"/>
        <v>-40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4"/>
        <v/>
      </c>
      <c r="J229" s="99">
        <f t="shared" si="15"/>
        <v>-4</v>
      </c>
      <c r="K229" s="98">
        <f t="shared" si="16"/>
        <v>-40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4"/>
        <v/>
      </c>
      <c r="J230" s="99">
        <f t="shared" si="15"/>
        <v>-4</v>
      </c>
      <c r="K230" s="98">
        <f t="shared" si="16"/>
        <v>-40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4"/>
        <v/>
      </c>
      <c r="J231" s="99">
        <f t="shared" si="15"/>
        <v>-4</v>
      </c>
      <c r="K231" s="98">
        <f t="shared" si="16"/>
        <v>-40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4"/>
        <v/>
      </c>
      <c r="J232" s="99">
        <f t="shared" si="15"/>
        <v>-4</v>
      </c>
      <c r="K232" s="98">
        <f t="shared" si="16"/>
        <v>-40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4"/>
        <v/>
      </c>
      <c r="J233" s="99">
        <f t="shared" si="15"/>
        <v>-4</v>
      </c>
      <c r="K233" s="98">
        <f t="shared" si="16"/>
        <v>-40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4"/>
        <v/>
      </c>
      <c r="J234" s="99">
        <f t="shared" si="15"/>
        <v>-4</v>
      </c>
      <c r="K234" s="98">
        <f t="shared" si="16"/>
        <v>-40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4"/>
        <v/>
      </c>
      <c r="J235" s="99">
        <f t="shared" si="15"/>
        <v>-4</v>
      </c>
      <c r="K235" s="98">
        <f t="shared" si="16"/>
        <v>-40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4"/>
        <v/>
      </c>
      <c r="J236" s="99">
        <f t="shared" si="15"/>
        <v>-4</v>
      </c>
      <c r="K236" s="98">
        <f t="shared" si="16"/>
        <v>-40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4"/>
        <v/>
      </c>
      <c r="J237" s="99">
        <f t="shared" si="15"/>
        <v>-4</v>
      </c>
      <c r="K237" s="98">
        <f t="shared" si="16"/>
        <v>-40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4"/>
        <v/>
      </c>
      <c r="J238" s="99">
        <f t="shared" si="15"/>
        <v>-4</v>
      </c>
      <c r="K238" s="98">
        <f t="shared" si="16"/>
        <v>-40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4"/>
        <v/>
      </c>
      <c r="J239" s="99">
        <f t="shared" si="15"/>
        <v>-4</v>
      </c>
      <c r="K239" s="98">
        <f t="shared" si="16"/>
        <v>-40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4"/>
        <v/>
      </c>
      <c r="J240" s="99">
        <f t="shared" si="15"/>
        <v>-4</v>
      </c>
      <c r="K240" s="98">
        <f t="shared" si="16"/>
        <v>-40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4"/>
        <v/>
      </c>
      <c r="J241" s="99">
        <f t="shared" si="15"/>
        <v>-4</v>
      </c>
      <c r="K241" s="98">
        <f t="shared" si="16"/>
        <v>-40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4"/>
        <v/>
      </c>
      <c r="J242" s="99">
        <f t="shared" si="15"/>
        <v>-4</v>
      </c>
      <c r="K242" s="98">
        <f t="shared" si="16"/>
        <v>-40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4"/>
        <v/>
      </c>
      <c r="J243" s="99">
        <f t="shared" si="15"/>
        <v>-4</v>
      </c>
      <c r="K243" s="98">
        <f t="shared" si="16"/>
        <v>-40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4"/>
        <v/>
      </c>
      <c r="J244" s="99">
        <f t="shared" si="15"/>
        <v>-4</v>
      </c>
      <c r="K244" s="98">
        <f t="shared" si="16"/>
        <v>-40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4"/>
        <v/>
      </c>
      <c r="J245" s="99">
        <f t="shared" si="15"/>
        <v>-4</v>
      </c>
      <c r="K245" s="98">
        <f t="shared" si="16"/>
        <v>-40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4"/>
        <v/>
      </c>
      <c r="J246" s="99">
        <f t="shared" si="15"/>
        <v>-4</v>
      </c>
      <c r="K246" s="98">
        <f t="shared" si="16"/>
        <v>-40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4"/>
        <v/>
      </c>
      <c r="J247" s="99">
        <f t="shared" si="15"/>
        <v>-4</v>
      </c>
      <c r="K247" s="98">
        <f t="shared" si="16"/>
        <v>-40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4"/>
        <v/>
      </c>
      <c r="J248" s="99">
        <f t="shared" si="15"/>
        <v>-4</v>
      </c>
      <c r="K248" s="98">
        <f t="shared" si="16"/>
        <v>-40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4"/>
        <v/>
      </c>
      <c r="J249" s="99">
        <f t="shared" si="15"/>
        <v>-4</v>
      </c>
      <c r="K249" s="98">
        <f t="shared" si="16"/>
        <v>-40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4"/>
        <v/>
      </c>
      <c r="J250" s="99">
        <f t="shared" si="15"/>
        <v>-4</v>
      </c>
      <c r="K250" s="98">
        <f t="shared" si="16"/>
        <v>-40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4"/>
        <v/>
      </c>
      <c r="J251" s="99">
        <f t="shared" si="15"/>
        <v>-4</v>
      </c>
      <c r="K251" s="98">
        <f t="shared" si="16"/>
        <v>-40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4"/>
        <v/>
      </c>
      <c r="J252" s="99">
        <f t="shared" si="15"/>
        <v>-4</v>
      </c>
      <c r="K252" s="98">
        <f t="shared" si="16"/>
        <v>-40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4"/>
        <v/>
      </c>
      <c r="J253" s="99">
        <f t="shared" si="15"/>
        <v>-4</v>
      </c>
      <c r="K253" s="98">
        <f t="shared" si="16"/>
        <v>-40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4"/>
        <v/>
      </c>
      <c r="J254" s="99">
        <f t="shared" si="15"/>
        <v>-4</v>
      </c>
      <c r="K254" s="98">
        <f t="shared" si="16"/>
        <v>-40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4"/>
        <v/>
      </c>
      <c r="J255" s="99">
        <f t="shared" si="15"/>
        <v>-4</v>
      </c>
      <c r="K255" s="98">
        <f t="shared" si="16"/>
        <v>-40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4"/>
        <v/>
      </c>
      <c r="J256" s="99">
        <f t="shared" si="15"/>
        <v>-4</v>
      </c>
      <c r="K256" s="98">
        <f t="shared" si="16"/>
        <v>-40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4"/>
        <v/>
      </c>
      <c r="J257" s="99">
        <f t="shared" si="15"/>
        <v>-4</v>
      </c>
      <c r="K257" s="98">
        <f t="shared" si="16"/>
        <v>-40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4"/>
        <v/>
      </c>
      <c r="J258" s="99">
        <f t="shared" si="15"/>
        <v>-4</v>
      </c>
      <c r="K258" s="98">
        <f t="shared" si="16"/>
        <v>-40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4"/>
        <v/>
      </c>
      <c r="J259" s="99">
        <f t="shared" si="15"/>
        <v>-4</v>
      </c>
      <c r="K259" s="98">
        <f t="shared" si="16"/>
        <v>-40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4"/>
        <v/>
      </c>
      <c r="J260" s="99">
        <f t="shared" si="15"/>
        <v>-4</v>
      </c>
      <c r="K260" s="98">
        <f t="shared" si="16"/>
        <v>-40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4"/>
        <v/>
      </c>
      <c r="J261" s="99">
        <f t="shared" si="15"/>
        <v>-4</v>
      </c>
      <c r="K261" s="98">
        <f t="shared" si="16"/>
        <v>-40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8">IF(H262&lt;$H$2+1,($I$2-($I$2-1)*(LOG(H262)/LOG($H$2))),"")</f>
        <v/>
      </c>
      <c r="J262" s="99">
        <f t="shared" ref="J262:J305" si="19">INT(LOG($H$2,2))-ROUNDUP(LOG(H262,2),0)+IF(OR($H$2=1,$H$2=2,$H$2=4,$H$2=8,$H$2=16,$H$2=32,$H$2=64,$H$2=128,$H$2=256),0,1)</f>
        <v>-5</v>
      </c>
      <c r="K262" s="98">
        <f t="shared" ref="K262:K305" si="20">J262*$J$2</f>
        <v>-50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8"/>
        <v/>
      </c>
      <c r="J263" s="99">
        <f t="shared" si="19"/>
        <v>-5</v>
      </c>
      <c r="K263" s="98">
        <f t="shared" si="20"/>
        <v>-50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8"/>
        <v/>
      </c>
      <c r="J264" s="99">
        <f t="shared" si="19"/>
        <v>-5</v>
      </c>
      <c r="K264" s="98">
        <f t="shared" si="20"/>
        <v>-50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8"/>
        <v/>
      </c>
      <c r="J265" s="99">
        <f t="shared" si="19"/>
        <v>-5</v>
      </c>
      <c r="K265" s="98">
        <f t="shared" si="20"/>
        <v>-50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8"/>
        <v/>
      </c>
      <c r="J266" s="99">
        <f t="shared" si="19"/>
        <v>-5</v>
      </c>
      <c r="K266" s="98">
        <f t="shared" si="20"/>
        <v>-50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8"/>
        <v/>
      </c>
      <c r="J267" s="99">
        <f t="shared" si="19"/>
        <v>-5</v>
      </c>
      <c r="K267" s="98">
        <f t="shared" si="20"/>
        <v>-50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8"/>
        <v/>
      </c>
      <c r="J268" s="99">
        <f t="shared" si="19"/>
        <v>-5</v>
      </c>
      <c r="K268" s="98">
        <f t="shared" si="20"/>
        <v>-50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8"/>
        <v/>
      </c>
      <c r="J269" s="99">
        <f t="shared" si="19"/>
        <v>-5</v>
      </c>
      <c r="K269" s="98">
        <f t="shared" si="20"/>
        <v>-50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8"/>
        <v/>
      </c>
      <c r="J270" s="99">
        <f t="shared" si="19"/>
        <v>-5</v>
      </c>
      <c r="K270" s="98">
        <f t="shared" si="20"/>
        <v>-50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8"/>
        <v/>
      </c>
      <c r="J271" s="99">
        <f t="shared" si="19"/>
        <v>-5</v>
      </c>
      <c r="K271" s="98">
        <f t="shared" si="20"/>
        <v>-50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8"/>
        <v/>
      </c>
      <c r="J272" s="99">
        <f t="shared" si="19"/>
        <v>-5</v>
      </c>
      <c r="K272" s="98">
        <f t="shared" si="20"/>
        <v>-50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8"/>
        <v/>
      </c>
      <c r="J273" s="99">
        <f t="shared" si="19"/>
        <v>-5</v>
      </c>
      <c r="K273" s="98">
        <f t="shared" si="20"/>
        <v>-50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8"/>
        <v/>
      </c>
      <c r="J274" s="99">
        <f t="shared" si="19"/>
        <v>-5</v>
      </c>
      <c r="K274" s="98">
        <f t="shared" si="20"/>
        <v>-50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8"/>
        <v/>
      </c>
      <c r="J275" s="99">
        <f t="shared" si="19"/>
        <v>-5</v>
      </c>
      <c r="K275" s="98">
        <f t="shared" si="20"/>
        <v>-50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8"/>
        <v/>
      </c>
      <c r="J276" s="99">
        <f t="shared" si="19"/>
        <v>-5</v>
      </c>
      <c r="K276" s="98">
        <f t="shared" si="20"/>
        <v>-50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8"/>
        <v/>
      </c>
      <c r="J277" s="99">
        <f t="shared" si="19"/>
        <v>-5</v>
      </c>
      <c r="K277" s="98">
        <f t="shared" si="20"/>
        <v>-50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8"/>
        <v/>
      </c>
      <c r="J278" s="99">
        <f t="shared" si="19"/>
        <v>-5</v>
      </c>
      <c r="K278" s="98">
        <f t="shared" si="20"/>
        <v>-50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8"/>
        <v/>
      </c>
      <c r="J279" s="99">
        <f t="shared" si="19"/>
        <v>-5</v>
      </c>
      <c r="K279" s="98">
        <f t="shared" si="20"/>
        <v>-50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8"/>
        <v/>
      </c>
      <c r="J280" s="99">
        <f t="shared" si="19"/>
        <v>-5</v>
      </c>
      <c r="K280" s="98">
        <f t="shared" si="20"/>
        <v>-50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8"/>
        <v/>
      </c>
      <c r="J281" s="99">
        <f t="shared" si="19"/>
        <v>-5</v>
      </c>
      <c r="K281" s="98">
        <f t="shared" si="20"/>
        <v>-50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8"/>
        <v/>
      </c>
      <c r="J282" s="99">
        <f t="shared" si="19"/>
        <v>-5</v>
      </c>
      <c r="K282" s="98">
        <f t="shared" si="20"/>
        <v>-50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8"/>
        <v/>
      </c>
      <c r="J283" s="99">
        <f t="shared" si="19"/>
        <v>-5</v>
      </c>
      <c r="K283" s="98">
        <f t="shared" si="20"/>
        <v>-50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8"/>
        <v/>
      </c>
      <c r="J284" s="99">
        <f t="shared" si="19"/>
        <v>-5</v>
      </c>
      <c r="K284" s="98">
        <f t="shared" si="20"/>
        <v>-50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8"/>
        <v/>
      </c>
      <c r="J285" s="99">
        <f t="shared" si="19"/>
        <v>-5</v>
      </c>
      <c r="K285" s="98">
        <f t="shared" si="20"/>
        <v>-50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8"/>
        <v/>
      </c>
      <c r="J286" s="99">
        <f t="shared" si="19"/>
        <v>-5</v>
      </c>
      <c r="K286" s="98">
        <f t="shared" si="20"/>
        <v>-50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8"/>
        <v/>
      </c>
      <c r="J287" s="99">
        <f t="shared" si="19"/>
        <v>-5</v>
      </c>
      <c r="K287" s="98">
        <f t="shared" si="20"/>
        <v>-50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8"/>
        <v/>
      </c>
      <c r="J288" s="99">
        <f t="shared" si="19"/>
        <v>-5</v>
      </c>
      <c r="K288" s="98">
        <f t="shared" si="20"/>
        <v>-50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8"/>
        <v/>
      </c>
      <c r="J289" s="99">
        <f t="shared" si="19"/>
        <v>-5</v>
      </c>
      <c r="K289" s="98">
        <f t="shared" si="20"/>
        <v>-50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8"/>
        <v/>
      </c>
      <c r="J290" s="99">
        <f t="shared" si="19"/>
        <v>-5</v>
      </c>
      <c r="K290" s="98">
        <f t="shared" si="20"/>
        <v>-50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8"/>
        <v/>
      </c>
      <c r="J291" s="99">
        <f t="shared" si="19"/>
        <v>-5</v>
      </c>
      <c r="K291" s="98">
        <f t="shared" si="20"/>
        <v>-50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8"/>
        <v/>
      </c>
      <c r="J292" s="99">
        <f t="shared" si="19"/>
        <v>-5</v>
      </c>
      <c r="K292" s="98">
        <f t="shared" si="20"/>
        <v>-50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8"/>
        <v/>
      </c>
      <c r="J293" s="99">
        <f t="shared" si="19"/>
        <v>-5</v>
      </c>
      <c r="K293" s="98">
        <f t="shared" si="20"/>
        <v>-50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8"/>
        <v/>
      </c>
      <c r="J294" s="99">
        <f t="shared" si="19"/>
        <v>-5</v>
      </c>
      <c r="K294" s="98">
        <f t="shared" si="20"/>
        <v>-50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8"/>
        <v/>
      </c>
      <c r="J295" s="99">
        <f t="shared" si="19"/>
        <v>-5</v>
      </c>
      <c r="K295" s="98">
        <f t="shared" si="20"/>
        <v>-50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8"/>
        <v/>
      </c>
      <c r="J296" s="99">
        <f t="shared" si="19"/>
        <v>-5</v>
      </c>
      <c r="K296" s="98">
        <f t="shared" si="20"/>
        <v>-50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8"/>
        <v/>
      </c>
      <c r="J297" s="99">
        <f t="shared" si="19"/>
        <v>-5</v>
      </c>
      <c r="K297" s="98">
        <f t="shared" si="20"/>
        <v>-50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8"/>
        <v/>
      </c>
      <c r="J298" s="99">
        <f t="shared" si="19"/>
        <v>-5</v>
      </c>
      <c r="K298" s="98">
        <f t="shared" si="20"/>
        <v>-50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8"/>
        <v/>
      </c>
      <c r="J299" s="99">
        <f t="shared" si="19"/>
        <v>-5</v>
      </c>
      <c r="K299" s="98">
        <f t="shared" si="20"/>
        <v>-50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8"/>
        <v/>
      </c>
      <c r="J300" s="99">
        <f t="shared" si="19"/>
        <v>-5</v>
      </c>
      <c r="K300" s="98">
        <f t="shared" si="20"/>
        <v>-50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8"/>
        <v/>
      </c>
      <c r="J301" s="99">
        <f t="shared" si="19"/>
        <v>-5</v>
      </c>
      <c r="K301" s="98">
        <f t="shared" si="20"/>
        <v>-50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8"/>
        <v/>
      </c>
      <c r="J302" s="99">
        <f t="shared" si="19"/>
        <v>-5</v>
      </c>
      <c r="K302" s="98">
        <f t="shared" si="20"/>
        <v>-50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8"/>
        <v/>
      </c>
      <c r="J303" s="99">
        <f t="shared" si="19"/>
        <v>-5</v>
      </c>
      <c r="K303" s="98">
        <f t="shared" si="20"/>
        <v>-50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8"/>
        <v/>
      </c>
      <c r="J304" s="99">
        <f t="shared" si="19"/>
        <v>-5</v>
      </c>
      <c r="K304" s="98">
        <f t="shared" si="20"/>
        <v>-50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8"/>
        <v/>
      </c>
      <c r="J305" s="99">
        <f t="shared" si="19"/>
        <v>-5</v>
      </c>
      <c r="K305" s="98">
        <f t="shared" si="20"/>
        <v>-50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6AD866C8-B587-424F-894D-0C1A842802D8}">
      <formula1>#REF!</formula1>
    </dataValidation>
  </dataValidations>
  <hyperlinks>
    <hyperlink ref="C2:D2" r:id="rId1" display="Madrid" xr:uid="{16402691-5B90-4B67-AED7-8E3A050A3A47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85DB6-2409-490E-B928-03D74F3D0C5A}">
  <sheetPr>
    <tabColor rgb="FF92D050"/>
  </sheetPr>
  <dimension ref="A1:AL317"/>
  <sheetViews>
    <sheetView workbookViewId="0">
      <selection activeCell="D12" sqref="D12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116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19" t="s">
        <v>33</v>
      </c>
      <c r="C2" s="306" t="s">
        <v>130</v>
      </c>
      <c r="D2" s="306"/>
      <c r="E2" s="20"/>
      <c r="F2" s="20"/>
      <c r="G2" s="20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35</v>
      </c>
      <c r="C3" s="284">
        <v>45270</v>
      </c>
      <c r="D3" s="284"/>
      <c r="E3" s="25"/>
      <c r="F3" s="25"/>
      <c r="G3" s="25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5" t="s">
        <v>45</v>
      </c>
      <c r="K5" s="95" t="s">
        <v>46</v>
      </c>
      <c r="L5" s="95" t="s">
        <v>47</v>
      </c>
      <c r="M5" s="94" t="s">
        <v>48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69" si="0">M6</f>
        <v>0</v>
      </c>
      <c r="B6" s="33" t="str">
        <f>IF(H6&gt;$H$2,"",(ROW()-5))</f>
        <v/>
      </c>
      <c r="C6" s="34" t="s">
        <v>54</v>
      </c>
      <c r="D6" s="34"/>
      <c r="E6" s="34"/>
      <c r="F6" s="34"/>
      <c r="G6" s="27"/>
      <c r="H6" s="98">
        <v>1</v>
      </c>
      <c r="I6" s="99" t="str">
        <f t="shared" ref="I6:I69" si="1">IF(H6&lt;$H$2+1,($I$2-($I$2-1)*(LOG(H6)/LOG($H$2))),"")</f>
        <v/>
      </c>
      <c r="J6" s="99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39" t="str">
        <f>IF(H7&gt;$H$2,"",(ROW()-5))</f>
        <v/>
      </c>
      <c r="C7" s="40" t="s">
        <v>54</v>
      </c>
      <c r="D7" s="40"/>
      <c r="E7" s="40"/>
      <c r="F7" s="40"/>
      <c r="G7" s="27"/>
      <c r="H7" s="102">
        <v>2</v>
      </c>
      <c r="I7" s="103" t="str">
        <f t="shared" si="1"/>
        <v/>
      </c>
      <c r="J7" s="103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3" t="str">
        <f>IF(H8&gt;$H$2,"",(ROW()-5))</f>
        <v/>
      </c>
      <c r="C8" s="34" t="s">
        <v>54</v>
      </c>
      <c r="D8" s="34"/>
      <c r="E8" s="34"/>
      <c r="F8" s="34"/>
      <c r="G8" s="27"/>
      <c r="H8" s="98">
        <v>3</v>
      </c>
      <c r="I8" s="99" t="str">
        <f t="shared" si="1"/>
        <v/>
      </c>
      <c r="J8" s="99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39" t="str">
        <f>IF(H9&gt;$H$2,"",3)</f>
        <v/>
      </c>
      <c r="C9" s="40" t="s">
        <v>54</v>
      </c>
      <c r="D9" s="40"/>
      <c r="E9" s="40"/>
      <c r="F9" s="40"/>
      <c r="G9" s="27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54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3" t="str">
        <f t="shared" ref="B10:B65" si="5">IF(H10&gt;$H$2,"",(ROW()-5))</f>
        <v/>
      </c>
      <c r="C10" s="34" t="s">
        <v>54</v>
      </c>
      <c r="D10" s="34"/>
      <c r="E10" s="34"/>
      <c r="F10" s="34"/>
      <c r="G10" s="27"/>
      <c r="H10" s="98">
        <v>5</v>
      </c>
      <c r="I10" s="99" t="str">
        <f t="shared" si="1"/>
        <v/>
      </c>
      <c r="J10" s="99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55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39" t="str">
        <f t="shared" si="5"/>
        <v/>
      </c>
      <c r="C11" s="40" t="s">
        <v>54</v>
      </c>
      <c r="D11" s="40"/>
      <c r="E11" s="40"/>
      <c r="F11" s="40"/>
      <c r="G11" s="27"/>
      <c r="H11" s="102">
        <v>6</v>
      </c>
      <c r="I11" s="103" t="str">
        <f t="shared" si="1"/>
        <v/>
      </c>
      <c r="J11" s="103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56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3" t="str">
        <f t="shared" si="5"/>
        <v/>
      </c>
      <c r="C12" s="34" t="s">
        <v>54</v>
      </c>
      <c r="D12" s="34"/>
      <c r="E12" s="34"/>
      <c r="F12" s="34"/>
      <c r="G12" s="27"/>
      <c r="H12" s="98">
        <v>7</v>
      </c>
      <c r="I12" s="99" t="str">
        <f t="shared" si="1"/>
        <v/>
      </c>
      <c r="J12" s="99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57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39" t="str">
        <f t="shared" si="5"/>
        <v/>
      </c>
      <c r="C13" s="40" t="s">
        <v>54</v>
      </c>
      <c r="D13" s="40"/>
      <c r="E13" s="40"/>
      <c r="F13" s="40"/>
      <c r="G13" s="27"/>
      <c r="H13" s="102">
        <v>8</v>
      </c>
      <c r="I13" s="103" t="str">
        <f t="shared" si="1"/>
        <v/>
      </c>
      <c r="J13" s="103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58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3" t="str">
        <f t="shared" si="5"/>
        <v/>
      </c>
      <c r="C14" s="34" t="s">
        <v>54</v>
      </c>
      <c r="D14" s="34"/>
      <c r="E14" s="34"/>
      <c r="F14" s="34"/>
      <c r="G14" s="27"/>
      <c r="H14" s="98">
        <v>9</v>
      </c>
      <c r="I14" s="99" t="str">
        <f t="shared" si="1"/>
        <v/>
      </c>
      <c r="J14" s="99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59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39" t="str">
        <f t="shared" si="5"/>
        <v/>
      </c>
      <c r="C15" s="40" t="s">
        <v>54</v>
      </c>
      <c r="D15" s="40"/>
      <c r="E15" s="40"/>
      <c r="F15" s="40"/>
      <c r="G15" s="27"/>
      <c r="H15" s="102">
        <v>10</v>
      </c>
      <c r="I15" s="103" t="str">
        <f t="shared" si="1"/>
        <v/>
      </c>
      <c r="J15" s="103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3" t="str">
        <f t="shared" si="5"/>
        <v/>
      </c>
      <c r="C16" s="34" t="s">
        <v>54</v>
      </c>
      <c r="D16" s="34"/>
      <c r="E16" s="34"/>
      <c r="F16" s="34"/>
      <c r="G16" s="27"/>
      <c r="H16" s="98">
        <v>11</v>
      </c>
      <c r="I16" s="99" t="str">
        <f t="shared" si="1"/>
        <v/>
      </c>
      <c r="J16" s="99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60</v>
      </c>
      <c r="AI16" s="88">
        <f>AI11-AI12*AI13/AI14</f>
        <v>9.6393909380186855</v>
      </c>
      <c r="AJ16" s="88" t="s">
        <v>61</v>
      </c>
    </row>
    <row r="17" spans="1:19" s="88" customFormat="1" x14ac:dyDescent="0.25">
      <c r="A17" s="101">
        <f t="shared" si="0"/>
        <v>0</v>
      </c>
      <c r="B17" s="39" t="str">
        <f t="shared" si="5"/>
        <v/>
      </c>
      <c r="C17" s="40" t="s">
        <v>54</v>
      </c>
      <c r="D17" s="40"/>
      <c r="E17" s="40"/>
      <c r="F17" s="40"/>
      <c r="G17" s="27"/>
      <c r="H17" s="102">
        <v>12</v>
      </c>
      <c r="I17" s="103" t="str">
        <f t="shared" si="1"/>
        <v/>
      </c>
      <c r="J17" s="103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3" t="str">
        <f t="shared" si="5"/>
        <v/>
      </c>
      <c r="C18" s="34" t="s">
        <v>54</v>
      </c>
      <c r="D18" s="34"/>
      <c r="E18" s="34"/>
      <c r="F18" s="34"/>
      <c r="G18" s="27"/>
      <c r="H18" s="98">
        <v>13</v>
      </c>
      <c r="I18" s="99" t="str">
        <f t="shared" si="1"/>
        <v/>
      </c>
      <c r="J18" s="99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39" t="str">
        <f t="shared" si="5"/>
        <v/>
      </c>
      <c r="C19" s="40" t="s">
        <v>54</v>
      </c>
      <c r="D19" s="40"/>
      <c r="E19" s="40"/>
      <c r="F19" s="40"/>
      <c r="G19" s="27"/>
      <c r="H19" s="102">
        <v>14</v>
      </c>
      <c r="I19" s="103" t="str">
        <f t="shared" si="1"/>
        <v/>
      </c>
      <c r="J19" s="103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3" t="str">
        <f t="shared" si="5"/>
        <v/>
      </c>
      <c r="C20" s="34" t="s">
        <v>54</v>
      </c>
      <c r="D20" s="34"/>
      <c r="E20" s="34"/>
      <c r="F20" s="34"/>
      <c r="G20" s="27"/>
      <c r="H20" s="98">
        <v>15</v>
      </c>
      <c r="I20" s="99" t="str">
        <f t="shared" si="1"/>
        <v/>
      </c>
      <c r="J20" s="99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39" t="str">
        <f t="shared" si="5"/>
        <v/>
      </c>
      <c r="C21" s="40" t="s">
        <v>54</v>
      </c>
      <c r="D21" s="40"/>
      <c r="E21" s="40"/>
      <c r="F21" s="40"/>
      <c r="G21" s="27"/>
      <c r="H21" s="102">
        <v>16</v>
      </c>
      <c r="I21" s="103" t="str">
        <f t="shared" si="1"/>
        <v/>
      </c>
      <c r="J21" s="103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3" t="str">
        <f t="shared" si="5"/>
        <v/>
      </c>
      <c r="C22" s="34" t="s">
        <v>54</v>
      </c>
      <c r="D22" s="34"/>
      <c r="E22" s="34"/>
      <c r="F22" s="34"/>
      <c r="G22" s="27"/>
      <c r="H22" s="98">
        <v>17</v>
      </c>
      <c r="I22" s="99" t="str">
        <f t="shared" si="1"/>
        <v/>
      </c>
      <c r="J22" s="99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39" t="str">
        <f t="shared" si="5"/>
        <v/>
      </c>
      <c r="C23" s="40" t="s">
        <v>54</v>
      </c>
      <c r="D23" s="40"/>
      <c r="E23" s="40"/>
      <c r="F23" s="40"/>
      <c r="G23" s="27"/>
      <c r="H23" s="102">
        <v>18</v>
      </c>
      <c r="I23" s="103" t="str">
        <f t="shared" si="1"/>
        <v/>
      </c>
      <c r="J23" s="103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3" t="str">
        <f t="shared" si="5"/>
        <v/>
      </c>
      <c r="C24" s="34" t="s">
        <v>54</v>
      </c>
      <c r="D24" s="34"/>
      <c r="E24" s="34"/>
      <c r="F24" s="34"/>
      <c r="G24" s="27"/>
      <c r="H24" s="98">
        <v>19</v>
      </c>
      <c r="I24" s="99" t="str">
        <f t="shared" si="1"/>
        <v/>
      </c>
      <c r="J24" s="99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102">
        <v>20</v>
      </c>
      <c r="I25" s="103" t="str">
        <f t="shared" si="1"/>
        <v/>
      </c>
      <c r="J25" s="103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98">
        <v>21</v>
      </c>
      <c r="I26" s="99" t="str">
        <f t="shared" si="1"/>
        <v/>
      </c>
      <c r="J26" s="99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102">
        <v>22</v>
      </c>
      <c r="I27" s="103" t="str">
        <f t="shared" si="1"/>
        <v/>
      </c>
      <c r="J27" s="103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98">
        <v>23</v>
      </c>
      <c r="I28" s="99" t="str">
        <f t="shared" si="1"/>
        <v/>
      </c>
      <c r="J28" s="99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39" t="str">
        <f t="shared" si="5"/>
        <v/>
      </c>
      <c r="C29" s="40"/>
      <c r="D29" s="40"/>
      <c r="E29" s="40"/>
      <c r="F29" s="40"/>
      <c r="G29" s="83"/>
      <c r="H29" s="102">
        <v>24</v>
      </c>
      <c r="I29" s="103" t="str">
        <f t="shared" si="1"/>
        <v/>
      </c>
      <c r="J29" s="103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3" t="str">
        <f t="shared" si="5"/>
        <v/>
      </c>
      <c r="C30" s="34"/>
      <c r="D30" s="34"/>
      <c r="E30" s="34"/>
      <c r="F30" s="34"/>
      <c r="G30" s="83"/>
      <c r="H30" s="98">
        <v>25</v>
      </c>
      <c r="I30" s="99" t="str">
        <f t="shared" si="1"/>
        <v/>
      </c>
      <c r="J30" s="99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39" t="str">
        <f t="shared" si="5"/>
        <v/>
      </c>
      <c r="C31" s="40"/>
      <c r="D31" s="40"/>
      <c r="E31" s="40"/>
      <c r="F31" s="40"/>
      <c r="G31" s="83"/>
      <c r="H31" s="102">
        <v>26</v>
      </c>
      <c r="I31" s="103" t="str">
        <f t="shared" si="1"/>
        <v/>
      </c>
      <c r="J31" s="103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3" t="str">
        <f t="shared" si="5"/>
        <v/>
      </c>
      <c r="C32" s="34"/>
      <c r="D32" s="34"/>
      <c r="E32" s="34"/>
      <c r="F32" s="34"/>
      <c r="G32" s="83"/>
      <c r="H32" s="98">
        <v>27</v>
      </c>
      <c r="I32" s="99" t="str">
        <f t="shared" si="1"/>
        <v/>
      </c>
      <c r="J32" s="99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39" t="str">
        <f t="shared" si="5"/>
        <v/>
      </c>
      <c r="C33" s="40"/>
      <c r="D33" s="40"/>
      <c r="E33" s="40"/>
      <c r="F33" s="40"/>
      <c r="G33" s="83"/>
      <c r="H33" s="102">
        <v>28</v>
      </c>
      <c r="I33" s="103" t="str">
        <f t="shared" si="1"/>
        <v/>
      </c>
      <c r="J33" s="103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3" t="str">
        <f t="shared" si="5"/>
        <v/>
      </c>
      <c r="C34" s="34"/>
      <c r="D34" s="34"/>
      <c r="E34" s="34"/>
      <c r="F34" s="34"/>
      <c r="G34" s="83"/>
      <c r="H34" s="98">
        <v>29</v>
      </c>
      <c r="I34" s="99" t="str">
        <f t="shared" si="1"/>
        <v/>
      </c>
      <c r="J34" s="99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39" t="str">
        <f t="shared" si="5"/>
        <v/>
      </c>
      <c r="C35" s="40"/>
      <c r="D35" s="40"/>
      <c r="E35" s="40"/>
      <c r="F35" s="40"/>
      <c r="G35" s="83"/>
      <c r="H35" s="102">
        <v>30</v>
      </c>
      <c r="I35" s="103" t="str">
        <f t="shared" si="1"/>
        <v/>
      </c>
      <c r="J35" s="103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3" t="str">
        <f t="shared" si="5"/>
        <v/>
      </c>
      <c r="C36" s="34"/>
      <c r="D36" s="34"/>
      <c r="E36" s="34"/>
      <c r="F36" s="34"/>
      <c r="G36" s="83"/>
      <c r="H36" s="98">
        <v>31</v>
      </c>
      <c r="I36" s="99" t="str">
        <f t="shared" si="1"/>
        <v/>
      </c>
      <c r="J36" s="99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39" t="str">
        <f t="shared" si="5"/>
        <v/>
      </c>
      <c r="C37" s="40"/>
      <c r="D37" s="40"/>
      <c r="E37" s="40"/>
      <c r="F37" s="40"/>
      <c r="G37" s="83"/>
      <c r="H37" s="102">
        <v>32</v>
      </c>
      <c r="I37" s="103" t="str">
        <f t="shared" si="1"/>
        <v/>
      </c>
      <c r="J37" s="103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si="0"/>
        <v>0</v>
      </c>
      <c r="B38" s="33" t="str">
        <f t="shared" si="5"/>
        <v/>
      </c>
      <c r="C38" s="34"/>
      <c r="D38" s="34"/>
      <c r="E38" s="34"/>
      <c r="F38" s="34"/>
      <c r="G38" s="83"/>
      <c r="H38" s="98">
        <v>33</v>
      </c>
      <c r="I38" s="99" t="str">
        <f t="shared" si="1"/>
        <v/>
      </c>
      <c r="J38" s="99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0"/>
        <v>0</v>
      </c>
      <c r="B39" s="39" t="str">
        <f t="shared" si="5"/>
        <v/>
      </c>
      <c r="C39" s="40"/>
      <c r="D39" s="40"/>
      <c r="E39" s="40"/>
      <c r="F39" s="40"/>
      <c r="G39" s="83"/>
      <c r="H39" s="102">
        <v>34</v>
      </c>
      <c r="I39" s="103" t="str">
        <f t="shared" si="1"/>
        <v/>
      </c>
      <c r="J39" s="103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0"/>
        <v>0</v>
      </c>
      <c r="B40" s="33" t="str">
        <f t="shared" si="5"/>
        <v/>
      </c>
      <c r="C40" s="34"/>
      <c r="D40" s="34"/>
      <c r="E40" s="34"/>
      <c r="F40" s="34"/>
      <c r="G40" s="83"/>
      <c r="H40" s="98">
        <v>35</v>
      </c>
      <c r="I40" s="99" t="str">
        <f t="shared" si="1"/>
        <v/>
      </c>
      <c r="J40" s="99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0"/>
        <v>0</v>
      </c>
      <c r="B41" s="39" t="str">
        <f t="shared" si="5"/>
        <v/>
      </c>
      <c r="C41" s="40"/>
      <c r="D41" s="40"/>
      <c r="E41" s="40"/>
      <c r="F41" s="40"/>
      <c r="G41" s="83"/>
      <c r="H41" s="102">
        <v>36</v>
      </c>
      <c r="I41" s="103" t="str">
        <f t="shared" si="1"/>
        <v/>
      </c>
      <c r="J41" s="103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0"/>
        <v>0</v>
      </c>
      <c r="B42" s="33" t="str">
        <f t="shared" si="5"/>
        <v/>
      </c>
      <c r="C42" s="34"/>
      <c r="D42" s="34"/>
      <c r="E42" s="34"/>
      <c r="F42" s="34"/>
      <c r="G42" s="83"/>
      <c r="H42" s="98">
        <v>37</v>
      </c>
      <c r="I42" s="99" t="str">
        <f t="shared" si="1"/>
        <v/>
      </c>
      <c r="J42" s="99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0"/>
        <v>0</v>
      </c>
      <c r="B43" s="39" t="str">
        <f t="shared" si="5"/>
        <v/>
      </c>
      <c r="C43" s="40"/>
      <c r="D43" s="40"/>
      <c r="E43" s="40"/>
      <c r="F43" s="40"/>
      <c r="G43" s="83"/>
      <c r="H43" s="102">
        <v>38</v>
      </c>
      <c r="I43" s="103" t="str">
        <f t="shared" si="1"/>
        <v/>
      </c>
      <c r="J43" s="103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0"/>
        <v>0</v>
      </c>
      <c r="B44" s="33" t="str">
        <f t="shared" si="5"/>
        <v/>
      </c>
      <c r="C44" s="34"/>
      <c r="D44" s="34"/>
      <c r="E44" s="34"/>
      <c r="F44" s="34"/>
      <c r="G44" s="83"/>
      <c r="H44" s="98">
        <v>39</v>
      </c>
      <c r="I44" s="99" t="str">
        <f t="shared" si="1"/>
        <v/>
      </c>
      <c r="J44" s="99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0"/>
        <v>0</v>
      </c>
      <c r="B45" s="39" t="str">
        <f t="shared" si="5"/>
        <v/>
      </c>
      <c r="C45" s="40"/>
      <c r="D45" s="40"/>
      <c r="E45" s="40"/>
      <c r="F45" s="40"/>
      <c r="G45" s="83"/>
      <c r="H45" s="102">
        <v>40</v>
      </c>
      <c r="I45" s="103" t="str">
        <f t="shared" si="1"/>
        <v/>
      </c>
      <c r="J45" s="103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0"/>
        <v>0</v>
      </c>
      <c r="B46" s="33" t="str">
        <f t="shared" si="5"/>
        <v/>
      </c>
      <c r="C46" s="34"/>
      <c r="D46" s="34"/>
      <c r="E46" s="34"/>
      <c r="F46" s="34"/>
      <c r="G46" s="83"/>
      <c r="H46" s="98">
        <v>41</v>
      </c>
      <c r="I46" s="99" t="str">
        <f t="shared" si="1"/>
        <v/>
      </c>
      <c r="J46" s="99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>
        <f t="shared" si="0"/>
        <v>0</v>
      </c>
      <c r="B47" s="39" t="str">
        <f t="shared" si="5"/>
        <v/>
      </c>
      <c r="C47" s="40"/>
      <c r="D47" s="40"/>
      <c r="E47" s="40"/>
      <c r="F47" s="40"/>
      <c r="G47" s="83"/>
      <c r="H47" s="102">
        <v>42</v>
      </c>
      <c r="I47" s="103" t="str">
        <f t="shared" si="1"/>
        <v/>
      </c>
      <c r="J47" s="103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0"/>
        <v>0</v>
      </c>
      <c r="B48" s="33" t="str">
        <f t="shared" si="5"/>
        <v/>
      </c>
      <c r="C48" s="34"/>
      <c r="D48" s="34"/>
      <c r="E48" s="34"/>
      <c r="F48" s="34"/>
      <c r="G48" s="83"/>
      <c r="H48" s="98">
        <v>43</v>
      </c>
      <c r="I48" s="99" t="str">
        <f t="shared" si="1"/>
        <v/>
      </c>
      <c r="J48" s="99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0"/>
        <v>0</v>
      </c>
      <c r="B49" s="39" t="str">
        <f t="shared" si="5"/>
        <v/>
      </c>
      <c r="C49" s="40"/>
      <c r="D49" s="40"/>
      <c r="E49" s="40"/>
      <c r="F49" s="40"/>
      <c r="H49" s="102">
        <v>44</v>
      </c>
      <c r="I49" s="103" t="str">
        <f t="shared" si="1"/>
        <v/>
      </c>
      <c r="J49" s="103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0"/>
        <v>0</v>
      </c>
      <c r="B50" s="33" t="str">
        <f t="shared" si="5"/>
        <v/>
      </c>
      <c r="C50" s="34"/>
      <c r="D50" s="34"/>
      <c r="E50" s="34"/>
      <c r="F50" s="34"/>
      <c r="H50" s="98">
        <v>45</v>
      </c>
      <c r="I50" s="99" t="str">
        <f t="shared" si="1"/>
        <v/>
      </c>
      <c r="J50" s="99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0"/>
        <v>0</v>
      </c>
      <c r="B51" s="39" t="str">
        <f t="shared" si="5"/>
        <v/>
      </c>
      <c r="C51" s="40"/>
      <c r="D51" s="40"/>
      <c r="E51" s="40"/>
      <c r="F51" s="40"/>
      <c r="H51" s="102">
        <v>46</v>
      </c>
      <c r="I51" s="103" t="str">
        <f t="shared" si="1"/>
        <v/>
      </c>
      <c r="J51" s="103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0"/>
        <v>0</v>
      </c>
      <c r="B52" s="33" t="str">
        <f t="shared" si="5"/>
        <v/>
      </c>
      <c r="C52" s="34"/>
      <c r="D52" s="34"/>
      <c r="E52" s="34"/>
      <c r="F52" s="34"/>
      <c r="H52" s="98">
        <v>47</v>
      </c>
      <c r="I52" s="99" t="str">
        <f t="shared" si="1"/>
        <v/>
      </c>
      <c r="J52" s="99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0"/>
        <v>0</v>
      </c>
      <c r="B53" s="39" t="str">
        <f t="shared" si="5"/>
        <v/>
      </c>
      <c r="C53" s="40"/>
      <c r="D53" s="40"/>
      <c r="E53" s="40"/>
      <c r="F53" s="40"/>
      <c r="H53" s="102">
        <v>48</v>
      </c>
      <c r="I53" s="103" t="str">
        <f t="shared" si="1"/>
        <v/>
      </c>
      <c r="J53" s="103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0"/>
        <v>0</v>
      </c>
      <c r="B54" s="33" t="str">
        <f t="shared" si="5"/>
        <v/>
      </c>
      <c r="C54" s="34"/>
      <c r="D54" s="34"/>
      <c r="E54" s="34"/>
      <c r="F54" s="34"/>
      <c r="H54" s="98">
        <v>49</v>
      </c>
      <c r="I54" s="99" t="str">
        <f t="shared" si="1"/>
        <v/>
      </c>
      <c r="J54" s="99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0"/>
        <v>0</v>
      </c>
      <c r="B55" s="39" t="str">
        <f t="shared" si="5"/>
        <v/>
      </c>
      <c r="C55" s="40"/>
      <c r="D55" s="40"/>
      <c r="E55" s="40"/>
      <c r="F55" s="40"/>
      <c r="H55" s="102">
        <v>50</v>
      </c>
      <c r="I55" s="103" t="str">
        <f t="shared" si="1"/>
        <v/>
      </c>
      <c r="J55" s="103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0"/>
        <v>0</v>
      </c>
      <c r="B56" s="33" t="str">
        <f t="shared" si="5"/>
        <v/>
      </c>
      <c r="C56" s="34"/>
      <c r="D56" s="34"/>
      <c r="E56" s="34"/>
      <c r="F56" s="34"/>
      <c r="H56" s="98">
        <v>51</v>
      </c>
      <c r="I56" s="99" t="str">
        <f t="shared" si="1"/>
        <v/>
      </c>
      <c r="J56" s="99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0"/>
        <v>0</v>
      </c>
      <c r="B57" s="39" t="str">
        <f t="shared" si="5"/>
        <v/>
      </c>
      <c r="C57" s="40"/>
      <c r="D57" s="40"/>
      <c r="E57" s="40"/>
      <c r="F57" s="40"/>
      <c r="H57" s="102">
        <v>52</v>
      </c>
      <c r="I57" s="103" t="str">
        <f t="shared" si="1"/>
        <v/>
      </c>
      <c r="J57" s="103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0"/>
        <v>0</v>
      </c>
      <c r="B58" s="33" t="str">
        <f t="shared" si="5"/>
        <v/>
      </c>
      <c r="C58" s="34"/>
      <c r="D58" s="34"/>
      <c r="E58" s="34"/>
      <c r="F58" s="34"/>
      <c r="H58" s="98">
        <v>53</v>
      </c>
      <c r="I58" s="99" t="str">
        <f t="shared" si="1"/>
        <v/>
      </c>
      <c r="J58" s="99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0"/>
        <v>0</v>
      </c>
      <c r="B59" s="39" t="str">
        <f t="shared" si="5"/>
        <v/>
      </c>
      <c r="C59" s="40"/>
      <c r="D59" s="40"/>
      <c r="E59" s="40"/>
      <c r="F59" s="40"/>
      <c r="H59" s="102">
        <v>54</v>
      </c>
      <c r="I59" s="103" t="str">
        <f t="shared" si="1"/>
        <v/>
      </c>
      <c r="J59" s="103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0"/>
        <v>0</v>
      </c>
      <c r="B60" s="33" t="str">
        <f t="shared" si="5"/>
        <v/>
      </c>
      <c r="C60" s="34"/>
      <c r="D60" s="34"/>
      <c r="E60" s="34"/>
      <c r="F60" s="34"/>
      <c r="H60" s="98">
        <v>55</v>
      </c>
      <c r="I60" s="99" t="str">
        <f t="shared" si="1"/>
        <v/>
      </c>
      <c r="J60" s="99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0"/>
        <v>0</v>
      </c>
      <c r="B61" s="39" t="str">
        <f t="shared" si="5"/>
        <v/>
      </c>
      <c r="C61" s="40"/>
      <c r="D61" s="40"/>
      <c r="E61" s="40"/>
      <c r="F61" s="40"/>
      <c r="H61" s="102">
        <v>56</v>
      </c>
      <c r="I61" s="103" t="str">
        <f t="shared" si="1"/>
        <v/>
      </c>
      <c r="J61" s="103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01">
        <f t="shared" si="0"/>
        <v>0</v>
      </c>
      <c r="B62" s="33" t="str">
        <f t="shared" si="5"/>
        <v/>
      </c>
      <c r="C62" s="34"/>
      <c r="D62" s="34"/>
      <c r="E62" s="34"/>
      <c r="F62" s="34"/>
      <c r="H62" s="98">
        <v>57</v>
      </c>
      <c r="I62" s="99" t="str">
        <f t="shared" si="1"/>
        <v/>
      </c>
      <c r="J62" s="99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0"/>
        <v>0</v>
      </c>
      <c r="B63" s="39" t="str">
        <f t="shared" si="5"/>
        <v/>
      </c>
      <c r="C63" s="40"/>
      <c r="D63" s="40"/>
      <c r="E63" s="40"/>
      <c r="F63" s="40"/>
      <c r="H63" s="102">
        <v>58</v>
      </c>
      <c r="I63" s="103" t="str">
        <f t="shared" si="1"/>
        <v/>
      </c>
      <c r="J63" s="103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01">
        <f t="shared" si="0"/>
        <v>0</v>
      </c>
      <c r="B64" s="33" t="str">
        <f t="shared" si="5"/>
        <v/>
      </c>
      <c r="C64" s="34"/>
      <c r="D64" s="34"/>
      <c r="E64" s="34"/>
      <c r="F64" s="34"/>
      <c r="H64" s="98">
        <v>59</v>
      </c>
      <c r="I64" s="99" t="str">
        <f t="shared" si="1"/>
        <v/>
      </c>
      <c r="J64" s="99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0"/>
        <v>0</v>
      </c>
      <c r="B65" s="39" t="str">
        <f t="shared" si="5"/>
        <v/>
      </c>
      <c r="C65" s="40"/>
      <c r="D65" s="40"/>
      <c r="E65" s="40"/>
      <c r="F65" s="40"/>
      <c r="H65" s="102">
        <v>60</v>
      </c>
      <c r="I65" s="103" t="str">
        <f t="shared" si="1"/>
        <v/>
      </c>
      <c r="J65" s="103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01">
        <f t="shared" si="0"/>
        <v>0</v>
      </c>
      <c r="B66" s="33"/>
      <c r="C66" s="118"/>
      <c r="D66" s="118"/>
      <c r="E66" s="118"/>
      <c r="F66" s="118"/>
      <c r="H66" s="98">
        <v>61</v>
      </c>
      <c r="I66" s="99" t="str">
        <f t="shared" si="1"/>
        <v/>
      </c>
      <c r="J66" s="99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0"/>
        <v>0</v>
      </c>
      <c r="B67" s="39"/>
      <c r="C67" s="118"/>
      <c r="D67" s="118"/>
      <c r="E67" s="118"/>
      <c r="F67" s="118"/>
      <c r="H67" s="98">
        <v>62</v>
      </c>
      <c r="I67" s="99" t="str">
        <f t="shared" si="1"/>
        <v/>
      </c>
      <c r="J67" s="99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01">
        <f t="shared" si="0"/>
        <v>0</v>
      </c>
      <c r="B68" s="33"/>
      <c r="C68" s="118"/>
      <c r="D68" s="118"/>
      <c r="E68" s="118"/>
      <c r="F68" s="118"/>
      <c r="H68" s="98">
        <v>63</v>
      </c>
      <c r="I68" s="99" t="str">
        <f t="shared" si="1"/>
        <v/>
      </c>
      <c r="J68" s="99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0"/>
        <v>0</v>
      </c>
      <c r="B69" s="39"/>
      <c r="C69" s="118"/>
      <c r="D69" s="118"/>
      <c r="E69" s="118"/>
      <c r="F69" s="118"/>
      <c r="H69" s="98">
        <v>64</v>
      </c>
      <c r="I69" s="99" t="str">
        <f t="shared" si="1"/>
        <v/>
      </c>
      <c r="J69" s="99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01">
        <f t="shared" ref="A70:A79" si="6">M70</f>
        <v>0</v>
      </c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9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6"/>
        <v>0</v>
      </c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9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01">
        <f t="shared" si="6"/>
        <v>0</v>
      </c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9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6"/>
        <v>0</v>
      </c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9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01">
        <f t="shared" si="6"/>
        <v>0</v>
      </c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9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6"/>
        <v>0</v>
      </c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9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01">
        <f t="shared" si="6"/>
        <v>0</v>
      </c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9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6"/>
        <v>0</v>
      </c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9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01">
        <f t="shared" si="6"/>
        <v>0</v>
      </c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9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6"/>
        <v>0</v>
      </c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9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9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9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9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9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9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9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9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9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9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9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9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9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9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9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9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9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9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9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9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9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9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9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9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9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9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9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9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9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9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9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9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9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9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9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9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9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9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9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9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9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9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9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9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9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9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9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9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9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9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9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9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9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9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9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9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9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9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9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9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9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9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9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9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9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9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9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9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9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9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9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9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9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9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9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9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9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9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9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9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9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9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9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9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9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9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9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9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9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9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54</v>
      </c>
      <c r="D169" s="118"/>
      <c r="E169" s="118"/>
      <c r="F169" s="118"/>
      <c r="H169" s="98">
        <v>164</v>
      </c>
      <c r="I169" s="99" t="str">
        <f t="shared" si="11"/>
        <v/>
      </c>
      <c r="J169" s="99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9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9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9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9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9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9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9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9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9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9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9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9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9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9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9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9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9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9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9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9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9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9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9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9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9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9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9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9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9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9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9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9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9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9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9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9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9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9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9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9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9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9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9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9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9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9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9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9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9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9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9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9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9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9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9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9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9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9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9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9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9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9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9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9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9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9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9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9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9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9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9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9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9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9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9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9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9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9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9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9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9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9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9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9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9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9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9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9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9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9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9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9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9" t="e">
        <f t="shared" ref="J262:J30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9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9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9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9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9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9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9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9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9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9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9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9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9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9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9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9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9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9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9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9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9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9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9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9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9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9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9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9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9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9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9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9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9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9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9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9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9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9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9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9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9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9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9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59DF0ADE-4923-40F0-AF12-1C381F6BBB9E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5FA7-0957-40E9-AFFB-2F88F781F144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7" customWidth="1"/>
    <col min="2" max="2" width="8.25" style="197" customWidth="1"/>
    <col min="3" max="3" width="34.75" style="197" customWidth="1"/>
    <col min="4" max="4" width="11.25" style="197" customWidth="1"/>
    <col min="5" max="6" width="8.875" style="197"/>
    <col min="7" max="7" width="0.875" style="197" customWidth="1"/>
    <col min="8" max="8" width="8.875" style="200"/>
    <col min="9" max="9" width="11" style="200" customWidth="1"/>
    <col min="10" max="10" width="15" style="200" customWidth="1"/>
    <col min="11" max="11" width="8.75" style="200" customWidth="1"/>
    <col min="12" max="12" width="11" style="200" customWidth="1"/>
    <col min="13" max="13" width="11.75" style="201" customWidth="1"/>
    <col min="14" max="15" width="13.875" style="169" customWidth="1"/>
    <col min="16" max="18" width="8.875" style="169"/>
    <col min="19" max="20" width="8.875" style="174"/>
    <col min="21" max="21" width="12.125" style="174" customWidth="1"/>
    <col min="22" max="22" width="27.375" style="174" customWidth="1"/>
    <col min="23" max="38" width="8.875" style="174"/>
    <col min="39" max="16384" width="8.875" style="197"/>
  </cols>
  <sheetData>
    <row r="1" spans="1:36" x14ac:dyDescent="0.25">
      <c r="A1" s="169"/>
      <c r="B1" s="169"/>
      <c r="C1" s="169"/>
      <c r="D1" s="169"/>
      <c r="E1" s="169"/>
      <c r="F1" s="169"/>
      <c r="G1" s="169"/>
      <c r="H1" s="170" t="s">
        <v>29</v>
      </c>
      <c r="I1" s="171" t="s">
        <v>30</v>
      </c>
      <c r="J1" s="171" t="s">
        <v>31</v>
      </c>
      <c r="K1" s="172" t="s">
        <v>116</v>
      </c>
      <c r="L1" s="173"/>
      <c r="M1" s="173"/>
    </row>
    <row r="2" spans="1:36" x14ac:dyDescent="0.25">
      <c r="A2" s="169"/>
      <c r="B2" s="19" t="s">
        <v>33</v>
      </c>
      <c r="C2" s="306" t="s">
        <v>121</v>
      </c>
      <c r="D2" s="306"/>
      <c r="E2" s="20"/>
      <c r="F2" s="20"/>
      <c r="G2" s="20"/>
      <c r="H2" s="175">
        <v>0</v>
      </c>
      <c r="I2" s="176">
        <v>50</v>
      </c>
      <c r="J2" s="176">
        <v>10</v>
      </c>
      <c r="K2" s="177">
        <f>3*H2^(1/3)</f>
        <v>0</v>
      </c>
      <c r="L2" s="173"/>
      <c r="M2" s="173"/>
    </row>
    <row r="3" spans="1:36" ht="14.45" customHeight="1" x14ac:dyDescent="0.25">
      <c r="A3" s="169"/>
      <c r="B3" s="178" t="s">
        <v>35</v>
      </c>
      <c r="C3" s="284" t="s">
        <v>131</v>
      </c>
      <c r="D3" s="284"/>
      <c r="E3" s="25"/>
      <c r="F3" s="25"/>
      <c r="G3" s="25"/>
      <c r="H3" s="173"/>
      <c r="I3" s="173"/>
      <c r="J3" s="173"/>
      <c r="K3" s="173"/>
      <c r="L3" s="173"/>
      <c r="M3" s="17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3"/>
      <c r="I4" s="173"/>
      <c r="J4" s="173"/>
      <c r="K4" s="173"/>
      <c r="L4" s="173"/>
      <c r="M4" s="17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79" t="s">
        <v>43</v>
      </c>
      <c r="I5" s="180" t="s">
        <v>44</v>
      </c>
      <c r="J5" s="180" t="s">
        <v>45</v>
      </c>
      <c r="K5" s="180" t="s">
        <v>46</v>
      </c>
      <c r="L5" s="180" t="s">
        <v>47</v>
      </c>
      <c r="M5" s="179" t="s">
        <v>48</v>
      </c>
    </row>
    <row r="6" spans="1:36" ht="14.45" customHeight="1" x14ac:dyDescent="0.25">
      <c r="A6" s="97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81">
        <v>1</v>
      </c>
      <c r="I6" s="182" t="str">
        <f t="shared" ref="I6:I69" si="1">IF(H6&lt;$H$2+1,($I$2-($I$2-1)*(LOG(H6)/LOG($H$2))),"")</f>
        <v/>
      </c>
      <c r="J6" s="182" t="e">
        <f>INT(LOG($H$2,2))-ROUNDUP(LOG(H6,2),0)+IF(OR($H$2=1,$H$2=2,$H$2=4,$H$2=8,$H$2=16,$H$2=32,$H$2=64,$H$2=128,$H$2=256),0,1)</f>
        <v>#NUM!</v>
      </c>
      <c r="K6" s="181" t="e">
        <f t="shared" ref="K6:K69" si="2">J6*$J$2</f>
        <v>#NUM!</v>
      </c>
      <c r="L6" s="183">
        <f>3*K2</f>
        <v>0</v>
      </c>
      <c r="M6" s="183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84">
        <v>2</v>
      </c>
      <c r="I7" s="185" t="str">
        <f t="shared" si="1"/>
        <v/>
      </c>
      <c r="J7" s="185" t="e">
        <f t="shared" ref="J7:J70" si="5">INT(LOG($H$2,2))-ROUNDUP(LOG(H7,2),0)+IF(OR($H$2=1,$H$2=2,$H$2=4,$H$2=8,$H$2=16,$H$2=32,$H$2=64,$H$2=128,$H$2=256),0,1)</f>
        <v>#NUM!</v>
      </c>
      <c r="K7" s="184" t="e">
        <f t="shared" si="2"/>
        <v>#NUM!</v>
      </c>
      <c r="L7" s="186">
        <f>2*K2</f>
        <v>0</v>
      </c>
      <c r="M7" s="186">
        <f t="shared" si="3"/>
        <v>0</v>
      </c>
    </row>
    <row r="8" spans="1:36" ht="14.45" customHeight="1" x14ac:dyDescent="0.25">
      <c r="A8" s="97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81">
        <v>3</v>
      </c>
      <c r="I8" s="182" t="str">
        <f t="shared" si="1"/>
        <v/>
      </c>
      <c r="J8" s="182" t="e">
        <f t="shared" si="5"/>
        <v>#NUM!</v>
      </c>
      <c r="K8" s="181" t="e">
        <f t="shared" si="2"/>
        <v>#NUM!</v>
      </c>
      <c r="L8" s="183">
        <f>K2</f>
        <v>0</v>
      </c>
      <c r="M8" s="183">
        <f t="shared" si="3"/>
        <v>0</v>
      </c>
    </row>
    <row r="9" spans="1:36" s="174" customFormat="1" ht="14.45" customHeight="1" x14ac:dyDescent="0.25">
      <c r="A9" s="10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84">
        <v>3</v>
      </c>
      <c r="I9" s="185" t="str">
        <f t="shared" si="1"/>
        <v/>
      </c>
      <c r="J9" s="184" t="e">
        <f t="shared" si="5"/>
        <v>#NUM!</v>
      </c>
      <c r="K9" s="184" t="e">
        <f t="shared" si="2"/>
        <v>#NUM!</v>
      </c>
      <c r="L9" s="186">
        <f>K2</f>
        <v>0</v>
      </c>
      <c r="M9" s="186">
        <f t="shared" si="3"/>
        <v>0</v>
      </c>
      <c r="N9" s="169"/>
      <c r="O9" s="169"/>
      <c r="P9" s="169"/>
      <c r="Q9" s="169"/>
      <c r="R9" s="169"/>
      <c r="V9" s="187"/>
      <c r="Z9" s="188"/>
      <c r="AA9" s="188"/>
      <c r="AG9" s="189"/>
      <c r="AH9" s="174" t="s">
        <v>54</v>
      </c>
      <c r="AI9" s="174">
        <v>23</v>
      </c>
    </row>
    <row r="10" spans="1:36" ht="14.45" customHeight="1" x14ac:dyDescent="0.25">
      <c r="A10" s="97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81">
        <v>5</v>
      </c>
      <c r="I10" s="182" t="str">
        <f t="shared" si="1"/>
        <v/>
      </c>
      <c r="J10" s="182" t="e">
        <f t="shared" si="5"/>
        <v>#NUM!</v>
      </c>
      <c r="K10" s="181" t="e">
        <f t="shared" si="2"/>
        <v>#NUM!</v>
      </c>
      <c r="L10" s="181"/>
      <c r="M10" s="183">
        <f t="shared" si="3"/>
        <v>0</v>
      </c>
      <c r="V10" s="187"/>
      <c r="Z10" s="188"/>
      <c r="AA10" s="188"/>
      <c r="AG10" s="189"/>
      <c r="AH10" s="174" t="s">
        <v>55</v>
      </c>
      <c r="AI10" s="174">
        <v>45</v>
      </c>
    </row>
    <row r="11" spans="1:36" ht="14.45" customHeight="1" x14ac:dyDescent="0.25">
      <c r="A11" s="10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84">
        <v>6</v>
      </c>
      <c r="I11" s="185" t="str">
        <f t="shared" si="1"/>
        <v/>
      </c>
      <c r="J11" s="185" t="e">
        <f t="shared" si="5"/>
        <v>#NUM!</v>
      </c>
      <c r="K11" s="184" t="e">
        <f t="shared" si="2"/>
        <v>#NUM!</v>
      </c>
      <c r="L11" s="184"/>
      <c r="M11" s="186">
        <f t="shared" si="3"/>
        <v>0</v>
      </c>
      <c r="V11" s="190"/>
      <c r="Z11" s="188"/>
      <c r="AA11" s="188"/>
      <c r="AG11" s="189"/>
      <c r="AH11" s="174" t="s">
        <v>56</v>
      </c>
      <c r="AI11" s="174">
        <v>50</v>
      </c>
    </row>
    <row r="12" spans="1:36" ht="14.45" customHeight="1" x14ac:dyDescent="0.25">
      <c r="A12" s="97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81">
        <v>7</v>
      </c>
      <c r="I12" s="182" t="str">
        <f t="shared" si="1"/>
        <v/>
      </c>
      <c r="J12" s="182" t="e">
        <f t="shared" si="5"/>
        <v>#NUM!</v>
      </c>
      <c r="K12" s="181" t="e">
        <f t="shared" si="2"/>
        <v>#NUM!</v>
      </c>
      <c r="L12" s="181"/>
      <c r="M12" s="183">
        <f t="shared" si="3"/>
        <v>0</v>
      </c>
      <c r="Z12" s="188"/>
      <c r="AA12" s="188"/>
      <c r="AG12" s="189"/>
      <c r="AH12" s="174" t="s">
        <v>57</v>
      </c>
      <c r="AI12" s="174">
        <f>AI11-1</f>
        <v>49</v>
      </c>
    </row>
    <row r="13" spans="1:36" ht="14.45" customHeight="1" x14ac:dyDescent="0.25">
      <c r="A13" s="10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84">
        <v>8</v>
      </c>
      <c r="I13" s="185" t="str">
        <f t="shared" si="1"/>
        <v/>
      </c>
      <c r="J13" s="185" t="e">
        <f t="shared" si="5"/>
        <v>#NUM!</v>
      </c>
      <c r="K13" s="184" t="e">
        <f t="shared" si="2"/>
        <v>#NUM!</v>
      </c>
      <c r="L13" s="184"/>
      <c r="M13" s="186">
        <f t="shared" si="3"/>
        <v>0</v>
      </c>
      <c r="X13" s="187"/>
      <c r="AG13" s="189"/>
      <c r="AH13" s="174" t="s">
        <v>58</v>
      </c>
      <c r="AI13" s="174">
        <f>LOG(AI9)</f>
        <v>1.3617278360175928</v>
      </c>
    </row>
    <row r="14" spans="1:36" x14ac:dyDescent="0.25">
      <c r="A14" s="97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81">
        <v>9</v>
      </c>
      <c r="I14" s="182" t="str">
        <f t="shared" si="1"/>
        <v/>
      </c>
      <c r="J14" s="182" t="e">
        <f t="shared" si="5"/>
        <v>#NUM!</v>
      </c>
      <c r="K14" s="181" t="e">
        <f t="shared" si="2"/>
        <v>#NUM!</v>
      </c>
      <c r="L14" s="181"/>
      <c r="M14" s="183">
        <f t="shared" si="3"/>
        <v>0</v>
      </c>
      <c r="X14" s="191"/>
      <c r="Z14" s="188"/>
      <c r="AA14" s="188"/>
      <c r="AG14" s="189"/>
      <c r="AH14" s="174" t="s">
        <v>59</v>
      </c>
      <c r="AI14" s="174">
        <f>LOG(AI10)</f>
        <v>1.6532125137753437</v>
      </c>
    </row>
    <row r="15" spans="1:36" x14ac:dyDescent="0.25">
      <c r="A15" s="10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84">
        <v>10</v>
      </c>
      <c r="I15" s="185" t="str">
        <f t="shared" si="1"/>
        <v/>
      </c>
      <c r="J15" s="185" t="e">
        <f t="shared" si="5"/>
        <v>#NUM!</v>
      </c>
      <c r="K15" s="184" t="e">
        <f t="shared" si="2"/>
        <v>#NUM!</v>
      </c>
      <c r="L15" s="184"/>
      <c r="M15" s="186">
        <f t="shared" si="3"/>
        <v>0</v>
      </c>
      <c r="X15" s="187"/>
      <c r="Z15" s="188"/>
      <c r="AA15" s="188"/>
    </row>
    <row r="16" spans="1:36" x14ac:dyDescent="0.25">
      <c r="A16" s="97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1">
        <v>11</v>
      </c>
      <c r="I16" s="182" t="str">
        <f t="shared" si="1"/>
        <v/>
      </c>
      <c r="J16" s="182" t="e">
        <f t="shared" si="5"/>
        <v>#NUM!</v>
      </c>
      <c r="K16" s="181" t="e">
        <f t="shared" si="2"/>
        <v>#NUM!</v>
      </c>
      <c r="L16" s="181"/>
      <c r="M16" s="183">
        <f t="shared" si="3"/>
        <v>0</v>
      </c>
      <c r="R16" s="192"/>
      <c r="Z16" s="188"/>
      <c r="AA16" s="188"/>
      <c r="AH16" s="193" t="s">
        <v>60</v>
      </c>
      <c r="AI16" s="174">
        <f>AI11-AI12*AI13/AI14</f>
        <v>9.6393909380186855</v>
      </c>
      <c r="AJ16" s="174" t="s">
        <v>61</v>
      </c>
    </row>
    <row r="17" spans="1:19" x14ac:dyDescent="0.25">
      <c r="A17" s="10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4">
        <v>12</v>
      </c>
      <c r="I17" s="185" t="str">
        <f t="shared" si="1"/>
        <v/>
      </c>
      <c r="J17" s="185" t="e">
        <f t="shared" si="5"/>
        <v>#NUM!</v>
      </c>
      <c r="K17" s="184" t="e">
        <f t="shared" si="2"/>
        <v>#NUM!</v>
      </c>
      <c r="L17" s="184"/>
      <c r="M17" s="186">
        <f t="shared" si="3"/>
        <v>0</v>
      </c>
    </row>
    <row r="18" spans="1:19" x14ac:dyDescent="0.25">
      <c r="A18" s="97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1">
        <v>13</v>
      </c>
      <c r="I18" s="182" t="str">
        <f t="shared" si="1"/>
        <v/>
      </c>
      <c r="J18" s="182" t="e">
        <f t="shared" si="5"/>
        <v>#NUM!</v>
      </c>
      <c r="K18" s="181" t="e">
        <f t="shared" si="2"/>
        <v>#NUM!</v>
      </c>
      <c r="L18" s="181"/>
      <c r="M18" s="183">
        <f t="shared" si="3"/>
        <v>0</v>
      </c>
    </row>
    <row r="19" spans="1:19" x14ac:dyDescent="0.25">
      <c r="A19" s="10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4">
        <v>14</v>
      </c>
      <c r="I19" s="185" t="str">
        <f t="shared" si="1"/>
        <v/>
      </c>
      <c r="J19" s="185" t="e">
        <f t="shared" si="5"/>
        <v>#NUM!</v>
      </c>
      <c r="K19" s="184" t="e">
        <f t="shared" si="2"/>
        <v>#NUM!</v>
      </c>
      <c r="L19" s="184"/>
      <c r="M19" s="186">
        <f t="shared" si="3"/>
        <v>0</v>
      </c>
    </row>
    <row r="20" spans="1:19" x14ac:dyDescent="0.25">
      <c r="A20" s="97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1">
        <v>15</v>
      </c>
      <c r="I20" s="182" t="str">
        <f t="shared" si="1"/>
        <v/>
      </c>
      <c r="J20" s="182" t="e">
        <f t="shared" si="5"/>
        <v>#NUM!</v>
      </c>
      <c r="K20" s="181" t="e">
        <f t="shared" si="2"/>
        <v>#NUM!</v>
      </c>
      <c r="L20" s="181"/>
      <c r="M20" s="183">
        <f t="shared" si="3"/>
        <v>0</v>
      </c>
      <c r="R20" s="194"/>
      <c r="S20" s="195"/>
    </row>
    <row r="21" spans="1:19" x14ac:dyDescent="0.25">
      <c r="A21" s="10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4">
        <v>16</v>
      </c>
      <c r="I21" s="185" t="str">
        <f t="shared" si="1"/>
        <v/>
      </c>
      <c r="J21" s="185" t="e">
        <f t="shared" si="5"/>
        <v>#NUM!</v>
      </c>
      <c r="K21" s="184" t="e">
        <f t="shared" si="2"/>
        <v>#NUM!</v>
      </c>
      <c r="L21" s="184"/>
      <c r="M21" s="186">
        <f t="shared" si="3"/>
        <v>0</v>
      </c>
    </row>
    <row r="22" spans="1:19" x14ac:dyDescent="0.25">
      <c r="A22" s="97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1">
        <v>17</v>
      </c>
      <c r="I22" s="182" t="str">
        <f t="shared" si="1"/>
        <v/>
      </c>
      <c r="J22" s="182" t="e">
        <f t="shared" si="5"/>
        <v>#NUM!</v>
      </c>
      <c r="K22" s="181" t="e">
        <f t="shared" si="2"/>
        <v>#NUM!</v>
      </c>
      <c r="L22" s="181"/>
      <c r="M22" s="183">
        <f t="shared" si="3"/>
        <v>0</v>
      </c>
    </row>
    <row r="23" spans="1:19" x14ac:dyDescent="0.25">
      <c r="A23" s="10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4">
        <v>18</v>
      </c>
      <c r="I23" s="185" t="str">
        <f t="shared" si="1"/>
        <v/>
      </c>
      <c r="J23" s="185" t="e">
        <f t="shared" si="5"/>
        <v>#NUM!</v>
      </c>
      <c r="K23" s="184" t="e">
        <f t="shared" si="2"/>
        <v>#NUM!</v>
      </c>
      <c r="L23" s="184"/>
      <c r="M23" s="186">
        <f t="shared" si="3"/>
        <v>0</v>
      </c>
    </row>
    <row r="24" spans="1:19" x14ac:dyDescent="0.25">
      <c r="A24" s="97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1">
        <v>19</v>
      </c>
      <c r="I24" s="182" t="str">
        <f t="shared" si="1"/>
        <v/>
      </c>
      <c r="J24" s="182" t="e">
        <f t="shared" si="5"/>
        <v>#NUM!</v>
      </c>
      <c r="K24" s="181" t="e">
        <f t="shared" si="2"/>
        <v>#NUM!</v>
      </c>
      <c r="L24" s="181"/>
      <c r="M24" s="183">
        <f t="shared" si="3"/>
        <v>0</v>
      </c>
      <c r="R24" s="194"/>
      <c r="S24" s="195"/>
    </row>
    <row r="25" spans="1:19" x14ac:dyDescent="0.25">
      <c r="A25" s="10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4">
        <v>20</v>
      </c>
      <c r="I25" s="185" t="str">
        <f t="shared" si="1"/>
        <v/>
      </c>
      <c r="J25" s="185" t="e">
        <f t="shared" si="5"/>
        <v>#NUM!</v>
      </c>
      <c r="K25" s="184" t="e">
        <f t="shared" si="2"/>
        <v>#NUM!</v>
      </c>
      <c r="L25" s="184"/>
      <c r="M25" s="186">
        <f t="shared" si="3"/>
        <v>0</v>
      </c>
    </row>
    <row r="26" spans="1:19" x14ac:dyDescent="0.25">
      <c r="A26" s="97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1">
        <v>21</v>
      </c>
      <c r="I26" s="182" t="str">
        <f t="shared" si="1"/>
        <v/>
      </c>
      <c r="J26" s="182" t="e">
        <f t="shared" si="5"/>
        <v>#NUM!</v>
      </c>
      <c r="K26" s="181" t="e">
        <f t="shared" si="2"/>
        <v>#NUM!</v>
      </c>
      <c r="L26" s="181"/>
      <c r="M26" s="183">
        <f t="shared" si="3"/>
        <v>0</v>
      </c>
    </row>
    <row r="27" spans="1:19" x14ac:dyDescent="0.25">
      <c r="A27" s="10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4">
        <v>22</v>
      </c>
      <c r="I27" s="185" t="str">
        <f t="shared" si="1"/>
        <v/>
      </c>
      <c r="J27" s="185" t="e">
        <f t="shared" si="5"/>
        <v>#NUM!</v>
      </c>
      <c r="K27" s="184" t="e">
        <f t="shared" si="2"/>
        <v>#NUM!</v>
      </c>
      <c r="L27" s="184"/>
      <c r="M27" s="186">
        <f t="shared" si="3"/>
        <v>0</v>
      </c>
    </row>
    <row r="28" spans="1:19" x14ac:dyDescent="0.25">
      <c r="A28" s="97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1">
        <v>23</v>
      </c>
      <c r="I28" s="182" t="str">
        <f t="shared" si="1"/>
        <v/>
      </c>
      <c r="J28" s="182" t="e">
        <f t="shared" si="5"/>
        <v>#NUM!</v>
      </c>
      <c r="K28" s="181" t="e">
        <f t="shared" si="2"/>
        <v>#NUM!</v>
      </c>
      <c r="L28" s="181"/>
      <c r="M28" s="183">
        <f t="shared" si="3"/>
        <v>0</v>
      </c>
      <c r="R28" s="194"/>
      <c r="S28" s="195"/>
    </row>
    <row r="29" spans="1:19" x14ac:dyDescent="0.25">
      <c r="A29" s="101">
        <f t="shared" si="4"/>
        <v>0</v>
      </c>
      <c r="B29" s="39" t="str">
        <f t="shared" si="0"/>
        <v/>
      </c>
      <c r="C29" s="40"/>
      <c r="D29" s="40"/>
      <c r="E29" s="40"/>
      <c r="F29" s="40"/>
      <c r="G29" s="169"/>
      <c r="H29" s="184">
        <v>24</v>
      </c>
      <c r="I29" s="185" t="str">
        <f t="shared" si="1"/>
        <v/>
      </c>
      <c r="J29" s="185" t="e">
        <f t="shared" si="5"/>
        <v>#NUM!</v>
      </c>
      <c r="K29" s="184" t="e">
        <f t="shared" si="2"/>
        <v>#NUM!</v>
      </c>
      <c r="L29" s="184"/>
      <c r="M29" s="186">
        <f t="shared" si="3"/>
        <v>0</v>
      </c>
    </row>
    <row r="30" spans="1:19" x14ac:dyDescent="0.25">
      <c r="A30" s="97">
        <f t="shared" si="4"/>
        <v>0</v>
      </c>
      <c r="B30" s="33" t="str">
        <f t="shared" si="0"/>
        <v/>
      </c>
      <c r="C30" s="34"/>
      <c r="D30" s="34"/>
      <c r="E30" s="34"/>
      <c r="F30" s="34"/>
      <c r="G30" s="169"/>
      <c r="H30" s="181">
        <v>25</v>
      </c>
      <c r="I30" s="182" t="str">
        <f t="shared" si="1"/>
        <v/>
      </c>
      <c r="J30" s="182" t="e">
        <f t="shared" si="5"/>
        <v>#NUM!</v>
      </c>
      <c r="K30" s="181" t="e">
        <f t="shared" si="2"/>
        <v>#NUM!</v>
      </c>
      <c r="L30" s="181"/>
      <c r="M30" s="183">
        <f t="shared" si="3"/>
        <v>0</v>
      </c>
    </row>
    <row r="31" spans="1:19" x14ac:dyDescent="0.25">
      <c r="A31" s="101">
        <f t="shared" si="4"/>
        <v>0</v>
      </c>
      <c r="B31" s="39" t="str">
        <f t="shared" si="0"/>
        <v/>
      </c>
      <c r="C31" s="40"/>
      <c r="D31" s="40"/>
      <c r="E31" s="40"/>
      <c r="F31" s="40"/>
      <c r="G31" s="169"/>
      <c r="H31" s="184">
        <v>26</v>
      </c>
      <c r="I31" s="185" t="str">
        <f t="shared" si="1"/>
        <v/>
      </c>
      <c r="J31" s="185" t="e">
        <f t="shared" si="5"/>
        <v>#NUM!</v>
      </c>
      <c r="K31" s="184" t="e">
        <f t="shared" si="2"/>
        <v>#NUM!</v>
      </c>
      <c r="L31" s="184"/>
      <c r="M31" s="186">
        <f t="shared" si="3"/>
        <v>0</v>
      </c>
    </row>
    <row r="32" spans="1:19" x14ac:dyDescent="0.25">
      <c r="A32" s="97">
        <f t="shared" si="4"/>
        <v>0</v>
      </c>
      <c r="B32" s="33" t="str">
        <f t="shared" si="0"/>
        <v/>
      </c>
      <c r="C32" s="34"/>
      <c r="D32" s="34"/>
      <c r="E32" s="34"/>
      <c r="F32" s="34"/>
      <c r="G32" s="169"/>
      <c r="H32" s="181">
        <v>27</v>
      </c>
      <c r="I32" s="182" t="str">
        <f t="shared" si="1"/>
        <v/>
      </c>
      <c r="J32" s="182" t="e">
        <f t="shared" si="5"/>
        <v>#NUM!</v>
      </c>
      <c r="K32" s="181" t="e">
        <f t="shared" si="2"/>
        <v>#NUM!</v>
      </c>
      <c r="L32" s="181"/>
      <c r="M32" s="183">
        <f t="shared" si="3"/>
        <v>0</v>
      </c>
      <c r="R32" s="194"/>
      <c r="S32" s="195"/>
    </row>
    <row r="33" spans="1:21" x14ac:dyDescent="0.25">
      <c r="A33" s="101">
        <f t="shared" si="4"/>
        <v>0</v>
      </c>
      <c r="B33" s="39" t="str">
        <f t="shared" si="0"/>
        <v/>
      </c>
      <c r="C33" s="40"/>
      <c r="D33" s="40"/>
      <c r="E33" s="40"/>
      <c r="F33" s="40"/>
      <c r="G33" s="169"/>
      <c r="H33" s="184">
        <v>28</v>
      </c>
      <c r="I33" s="185" t="str">
        <f t="shared" si="1"/>
        <v/>
      </c>
      <c r="J33" s="185" t="e">
        <f t="shared" si="5"/>
        <v>#NUM!</v>
      </c>
      <c r="K33" s="184" t="e">
        <f t="shared" si="2"/>
        <v>#NUM!</v>
      </c>
      <c r="L33" s="184"/>
      <c r="M33" s="186">
        <f t="shared" si="3"/>
        <v>0</v>
      </c>
    </row>
    <row r="34" spans="1:21" x14ac:dyDescent="0.25">
      <c r="A34" s="97">
        <f t="shared" si="4"/>
        <v>0</v>
      </c>
      <c r="B34" s="33" t="str">
        <f t="shared" si="0"/>
        <v/>
      </c>
      <c r="C34" s="34"/>
      <c r="D34" s="34"/>
      <c r="E34" s="34"/>
      <c r="F34" s="34"/>
      <c r="G34" s="169"/>
      <c r="H34" s="181">
        <v>29</v>
      </c>
      <c r="I34" s="182" t="str">
        <f t="shared" si="1"/>
        <v/>
      </c>
      <c r="J34" s="182" t="e">
        <f t="shared" si="5"/>
        <v>#NUM!</v>
      </c>
      <c r="K34" s="181" t="e">
        <f t="shared" si="2"/>
        <v>#NUM!</v>
      </c>
      <c r="L34" s="181"/>
      <c r="M34" s="183">
        <f t="shared" si="3"/>
        <v>0</v>
      </c>
    </row>
    <row r="35" spans="1:21" x14ac:dyDescent="0.25">
      <c r="A35" s="101">
        <f t="shared" si="4"/>
        <v>0</v>
      </c>
      <c r="B35" s="39" t="str">
        <f t="shared" si="0"/>
        <v/>
      </c>
      <c r="C35" s="40"/>
      <c r="D35" s="40"/>
      <c r="E35" s="40"/>
      <c r="F35" s="40"/>
      <c r="G35" s="169"/>
      <c r="H35" s="184">
        <v>30</v>
      </c>
      <c r="I35" s="185" t="str">
        <f t="shared" si="1"/>
        <v/>
      </c>
      <c r="J35" s="185" t="e">
        <f t="shared" si="5"/>
        <v>#NUM!</v>
      </c>
      <c r="K35" s="184" t="e">
        <f t="shared" si="2"/>
        <v>#NUM!</v>
      </c>
      <c r="L35" s="184"/>
      <c r="M35" s="186">
        <f t="shared" si="3"/>
        <v>0</v>
      </c>
    </row>
    <row r="36" spans="1:21" x14ac:dyDescent="0.25">
      <c r="A36" s="97">
        <f t="shared" si="4"/>
        <v>0</v>
      </c>
      <c r="B36" s="33" t="str">
        <f t="shared" si="0"/>
        <v/>
      </c>
      <c r="C36" s="34"/>
      <c r="D36" s="34"/>
      <c r="E36" s="34"/>
      <c r="F36" s="34"/>
      <c r="G36" s="169"/>
      <c r="H36" s="181">
        <v>31</v>
      </c>
      <c r="I36" s="182" t="str">
        <f t="shared" si="1"/>
        <v/>
      </c>
      <c r="J36" s="182" t="e">
        <f t="shared" si="5"/>
        <v>#NUM!</v>
      </c>
      <c r="K36" s="181" t="e">
        <f t="shared" si="2"/>
        <v>#NUM!</v>
      </c>
      <c r="L36" s="181"/>
      <c r="M36" s="183">
        <f t="shared" si="3"/>
        <v>0</v>
      </c>
      <c r="R36" s="194"/>
      <c r="S36" s="195"/>
    </row>
    <row r="37" spans="1:21" x14ac:dyDescent="0.25">
      <c r="A37" s="101">
        <f t="shared" si="4"/>
        <v>0</v>
      </c>
      <c r="B37" s="39" t="str">
        <f t="shared" si="0"/>
        <v/>
      </c>
      <c r="C37" s="40"/>
      <c r="D37" s="40"/>
      <c r="E37" s="40"/>
      <c r="F37" s="40"/>
      <c r="G37" s="169"/>
      <c r="H37" s="184">
        <v>32</v>
      </c>
      <c r="I37" s="185" t="str">
        <f t="shared" si="1"/>
        <v/>
      </c>
      <c r="J37" s="185" t="e">
        <f t="shared" si="5"/>
        <v>#NUM!</v>
      </c>
      <c r="K37" s="184" t="e">
        <f t="shared" si="2"/>
        <v>#NUM!</v>
      </c>
      <c r="L37" s="184"/>
      <c r="M37" s="186">
        <f t="shared" si="3"/>
        <v>0</v>
      </c>
    </row>
    <row r="38" spans="1:21" x14ac:dyDescent="0.25">
      <c r="A38" s="101">
        <f t="shared" si="4"/>
        <v>0</v>
      </c>
      <c r="B38" s="33" t="str">
        <f t="shared" si="0"/>
        <v/>
      </c>
      <c r="C38" s="34"/>
      <c r="D38" s="34"/>
      <c r="E38" s="34"/>
      <c r="F38" s="34"/>
      <c r="G38" s="169"/>
      <c r="H38" s="181">
        <v>33</v>
      </c>
      <c r="I38" s="182" t="str">
        <f t="shared" si="1"/>
        <v/>
      </c>
      <c r="J38" s="182" t="e">
        <f t="shared" si="5"/>
        <v>#NUM!</v>
      </c>
      <c r="K38" s="181" t="e">
        <f t="shared" si="2"/>
        <v>#NUM!</v>
      </c>
      <c r="L38" s="181"/>
      <c r="M38" s="183">
        <f t="shared" si="3"/>
        <v>0</v>
      </c>
    </row>
    <row r="39" spans="1:21" x14ac:dyDescent="0.25">
      <c r="A39" s="101">
        <f t="shared" si="4"/>
        <v>0</v>
      </c>
      <c r="B39" s="39" t="str">
        <f t="shared" si="0"/>
        <v/>
      </c>
      <c r="C39" s="40"/>
      <c r="D39" s="40"/>
      <c r="E39" s="40"/>
      <c r="F39" s="40"/>
      <c r="G39" s="169"/>
      <c r="H39" s="184">
        <v>34</v>
      </c>
      <c r="I39" s="185" t="str">
        <f t="shared" si="1"/>
        <v/>
      </c>
      <c r="J39" s="185" t="e">
        <f t="shared" si="5"/>
        <v>#NUM!</v>
      </c>
      <c r="K39" s="184" t="e">
        <f t="shared" si="2"/>
        <v>#NUM!</v>
      </c>
      <c r="L39" s="184"/>
      <c r="M39" s="186">
        <f t="shared" si="3"/>
        <v>0</v>
      </c>
    </row>
    <row r="40" spans="1:21" x14ac:dyDescent="0.25">
      <c r="A40" s="101">
        <f t="shared" si="4"/>
        <v>0</v>
      </c>
      <c r="B40" s="33" t="str">
        <f t="shared" si="0"/>
        <v/>
      </c>
      <c r="C40" s="34"/>
      <c r="D40" s="34"/>
      <c r="E40" s="34"/>
      <c r="F40" s="34"/>
      <c r="G40" s="169"/>
      <c r="H40" s="181">
        <v>35</v>
      </c>
      <c r="I40" s="182" t="str">
        <f t="shared" si="1"/>
        <v/>
      </c>
      <c r="J40" s="182" t="e">
        <f t="shared" si="5"/>
        <v>#NUM!</v>
      </c>
      <c r="K40" s="181" t="e">
        <f t="shared" si="2"/>
        <v>#NUM!</v>
      </c>
      <c r="L40" s="181"/>
      <c r="M40" s="183">
        <f t="shared" si="3"/>
        <v>0</v>
      </c>
    </row>
    <row r="41" spans="1:21" x14ac:dyDescent="0.25">
      <c r="A41" s="101">
        <f t="shared" si="4"/>
        <v>0</v>
      </c>
      <c r="B41" s="39" t="str">
        <f t="shared" si="0"/>
        <v/>
      </c>
      <c r="C41" s="40"/>
      <c r="D41" s="40"/>
      <c r="E41" s="40"/>
      <c r="F41" s="40"/>
      <c r="G41" s="169"/>
      <c r="H41" s="184">
        <v>36</v>
      </c>
      <c r="I41" s="185" t="str">
        <f t="shared" si="1"/>
        <v/>
      </c>
      <c r="J41" s="185" t="e">
        <f t="shared" si="5"/>
        <v>#NUM!</v>
      </c>
      <c r="K41" s="184" t="e">
        <f t="shared" si="2"/>
        <v>#NUM!</v>
      </c>
      <c r="L41" s="184"/>
      <c r="M41" s="186">
        <f t="shared" si="3"/>
        <v>0</v>
      </c>
      <c r="S41" s="196"/>
    </row>
    <row r="42" spans="1:21" x14ac:dyDescent="0.25">
      <c r="A42" s="101">
        <f t="shared" si="4"/>
        <v>0</v>
      </c>
      <c r="B42" s="33" t="str">
        <f t="shared" si="0"/>
        <v/>
      </c>
      <c r="C42" s="34"/>
      <c r="D42" s="34"/>
      <c r="E42" s="34"/>
      <c r="F42" s="34"/>
      <c r="G42" s="169"/>
      <c r="H42" s="181">
        <v>37</v>
      </c>
      <c r="I42" s="182" t="str">
        <f t="shared" si="1"/>
        <v/>
      </c>
      <c r="J42" s="182" t="e">
        <f t="shared" si="5"/>
        <v>#NUM!</v>
      </c>
      <c r="K42" s="181" t="e">
        <f t="shared" si="2"/>
        <v>#NUM!</v>
      </c>
      <c r="L42" s="181"/>
      <c r="M42" s="183">
        <f t="shared" si="3"/>
        <v>0</v>
      </c>
    </row>
    <row r="43" spans="1:21" x14ac:dyDescent="0.25">
      <c r="A43" s="101">
        <f t="shared" si="4"/>
        <v>0</v>
      </c>
      <c r="B43" s="39" t="str">
        <f t="shared" si="0"/>
        <v/>
      </c>
      <c r="C43" s="40"/>
      <c r="D43" s="40"/>
      <c r="E43" s="40"/>
      <c r="F43" s="40"/>
      <c r="G43" s="169"/>
      <c r="H43" s="184">
        <v>38</v>
      </c>
      <c r="I43" s="185" t="str">
        <f t="shared" si="1"/>
        <v/>
      </c>
      <c r="J43" s="185" t="e">
        <f t="shared" si="5"/>
        <v>#NUM!</v>
      </c>
      <c r="K43" s="184" t="e">
        <f t="shared" si="2"/>
        <v>#NUM!</v>
      </c>
      <c r="L43" s="184"/>
      <c r="M43" s="186">
        <f t="shared" si="3"/>
        <v>0</v>
      </c>
    </row>
    <row r="44" spans="1:21" x14ac:dyDescent="0.25">
      <c r="A44" s="101">
        <f t="shared" si="4"/>
        <v>0</v>
      </c>
      <c r="B44" s="33" t="str">
        <f t="shared" si="0"/>
        <v/>
      </c>
      <c r="C44" s="34"/>
      <c r="D44" s="34"/>
      <c r="E44" s="34"/>
      <c r="F44" s="34"/>
      <c r="G44" s="169"/>
      <c r="H44" s="181">
        <v>39</v>
      </c>
      <c r="I44" s="182" t="str">
        <f t="shared" si="1"/>
        <v/>
      </c>
      <c r="J44" s="182" t="e">
        <f t="shared" si="5"/>
        <v>#NUM!</v>
      </c>
      <c r="K44" s="181" t="e">
        <f t="shared" si="2"/>
        <v>#NUM!</v>
      </c>
      <c r="L44" s="181"/>
      <c r="M44" s="183">
        <f t="shared" si="3"/>
        <v>0</v>
      </c>
    </row>
    <row r="45" spans="1:21" x14ac:dyDescent="0.25">
      <c r="A45" s="101">
        <f t="shared" si="4"/>
        <v>0</v>
      </c>
      <c r="B45" s="39" t="str">
        <f t="shared" si="0"/>
        <v/>
      </c>
      <c r="C45" s="40"/>
      <c r="D45" s="40"/>
      <c r="E45" s="40"/>
      <c r="F45" s="40"/>
      <c r="G45" s="169"/>
      <c r="H45" s="184">
        <v>40</v>
      </c>
      <c r="I45" s="185" t="str">
        <f t="shared" si="1"/>
        <v/>
      </c>
      <c r="J45" s="185" t="e">
        <f t="shared" si="5"/>
        <v>#NUM!</v>
      </c>
      <c r="K45" s="184" t="e">
        <f t="shared" si="2"/>
        <v>#NUM!</v>
      </c>
      <c r="L45" s="184"/>
      <c r="M45" s="186">
        <f t="shared" si="3"/>
        <v>0</v>
      </c>
    </row>
    <row r="46" spans="1:21" x14ac:dyDescent="0.25">
      <c r="A46" s="101">
        <f t="shared" si="4"/>
        <v>0</v>
      </c>
      <c r="B46" s="33" t="str">
        <f t="shared" si="0"/>
        <v/>
      </c>
      <c r="C46" s="34"/>
      <c r="D46" s="34"/>
      <c r="E46" s="34"/>
      <c r="F46" s="34"/>
      <c r="G46" s="169"/>
      <c r="H46" s="181">
        <v>41</v>
      </c>
      <c r="I46" s="182" t="str">
        <f t="shared" si="1"/>
        <v/>
      </c>
      <c r="J46" s="182" t="e">
        <f t="shared" si="5"/>
        <v>#NUM!</v>
      </c>
      <c r="K46" s="181" t="e">
        <f t="shared" si="2"/>
        <v>#NUM!</v>
      </c>
      <c r="L46" s="181"/>
      <c r="M46" s="183">
        <f t="shared" si="3"/>
        <v>0</v>
      </c>
      <c r="R46" s="169" t="e">
        <f>LOG($H$2,2)</f>
        <v>#NUM!</v>
      </c>
      <c r="T46" s="174">
        <f>LOG(H38,2)</f>
        <v>5.0443941193584534</v>
      </c>
      <c r="U46" s="174" t="e">
        <f>R46-T46</f>
        <v>#NUM!</v>
      </c>
    </row>
    <row r="47" spans="1:21" x14ac:dyDescent="0.25">
      <c r="A47" s="101">
        <f t="shared" si="4"/>
        <v>0</v>
      </c>
      <c r="B47" s="39" t="str">
        <f t="shared" si="0"/>
        <v/>
      </c>
      <c r="C47" s="40"/>
      <c r="D47" s="40"/>
      <c r="E47" s="40"/>
      <c r="F47" s="40"/>
      <c r="G47" s="169"/>
      <c r="H47" s="184">
        <v>42</v>
      </c>
      <c r="I47" s="185" t="str">
        <f t="shared" si="1"/>
        <v/>
      </c>
      <c r="J47" s="185" t="e">
        <f t="shared" si="5"/>
        <v>#NUM!</v>
      </c>
      <c r="K47" s="184" t="e">
        <f t="shared" si="2"/>
        <v>#NUM!</v>
      </c>
      <c r="L47" s="184"/>
      <c r="M47" s="186">
        <f t="shared" si="3"/>
        <v>0</v>
      </c>
    </row>
    <row r="48" spans="1:21" x14ac:dyDescent="0.25">
      <c r="A48" s="101">
        <f t="shared" si="4"/>
        <v>0</v>
      </c>
      <c r="B48" s="33" t="str">
        <f t="shared" si="0"/>
        <v/>
      </c>
      <c r="C48" s="34"/>
      <c r="D48" s="34"/>
      <c r="E48" s="34"/>
      <c r="F48" s="34"/>
      <c r="G48" s="169"/>
      <c r="H48" s="181">
        <v>43</v>
      </c>
      <c r="I48" s="182" t="str">
        <f t="shared" si="1"/>
        <v/>
      </c>
      <c r="J48" s="182" t="e">
        <f t="shared" si="5"/>
        <v>#NUM!</v>
      </c>
      <c r="K48" s="181" t="e">
        <f t="shared" si="2"/>
        <v>#NUM!</v>
      </c>
      <c r="L48" s="181"/>
      <c r="M48" s="183">
        <f t="shared" si="3"/>
        <v>0</v>
      </c>
    </row>
    <row r="49" spans="1:13" x14ac:dyDescent="0.25">
      <c r="A49" s="101">
        <f t="shared" si="4"/>
        <v>0</v>
      </c>
      <c r="B49" s="39" t="str">
        <f t="shared" si="0"/>
        <v/>
      </c>
      <c r="C49" s="40"/>
      <c r="D49" s="40"/>
      <c r="E49" s="40"/>
      <c r="F49" s="40"/>
      <c r="G49" s="169"/>
      <c r="H49" s="184">
        <v>44</v>
      </c>
      <c r="I49" s="185" t="str">
        <f t="shared" si="1"/>
        <v/>
      </c>
      <c r="J49" s="185" t="e">
        <f t="shared" si="5"/>
        <v>#NUM!</v>
      </c>
      <c r="K49" s="184" t="e">
        <f t="shared" si="2"/>
        <v>#NUM!</v>
      </c>
      <c r="L49" s="184"/>
      <c r="M49" s="186">
        <f t="shared" si="3"/>
        <v>0</v>
      </c>
    </row>
    <row r="50" spans="1:13" x14ac:dyDescent="0.25">
      <c r="A50" s="101">
        <f t="shared" si="4"/>
        <v>0</v>
      </c>
      <c r="B50" s="33" t="str">
        <f t="shared" si="0"/>
        <v/>
      </c>
      <c r="C50" s="34"/>
      <c r="D50" s="34"/>
      <c r="E50" s="34"/>
      <c r="F50" s="34"/>
      <c r="G50" s="169"/>
      <c r="H50" s="181">
        <v>45</v>
      </c>
      <c r="I50" s="182" t="str">
        <f t="shared" si="1"/>
        <v/>
      </c>
      <c r="J50" s="182" t="e">
        <f t="shared" si="5"/>
        <v>#NUM!</v>
      </c>
      <c r="K50" s="181" t="e">
        <f t="shared" si="2"/>
        <v>#NUM!</v>
      </c>
      <c r="L50" s="181"/>
      <c r="M50" s="183">
        <f t="shared" si="3"/>
        <v>0</v>
      </c>
    </row>
    <row r="51" spans="1:13" x14ac:dyDescent="0.25">
      <c r="A51" s="101">
        <f t="shared" si="4"/>
        <v>0</v>
      </c>
      <c r="B51" s="39" t="str">
        <f t="shared" si="0"/>
        <v/>
      </c>
      <c r="C51" s="40"/>
      <c r="D51" s="40"/>
      <c r="E51" s="40"/>
      <c r="F51" s="40"/>
      <c r="G51" s="169"/>
      <c r="H51" s="184">
        <v>46</v>
      </c>
      <c r="I51" s="185" t="str">
        <f t="shared" si="1"/>
        <v/>
      </c>
      <c r="J51" s="185" t="e">
        <f t="shared" si="5"/>
        <v>#NUM!</v>
      </c>
      <c r="K51" s="184" t="e">
        <f t="shared" si="2"/>
        <v>#NUM!</v>
      </c>
      <c r="L51" s="184"/>
      <c r="M51" s="186">
        <f t="shared" si="3"/>
        <v>0</v>
      </c>
    </row>
    <row r="52" spans="1:13" x14ac:dyDescent="0.25">
      <c r="A52" s="101">
        <f t="shared" si="4"/>
        <v>0</v>
      </c>
      <c r="B52" s="33" t="str">
        <f t="shared" si="0"/>
        <v/>
      </c>
      <c r="C52" s="34"/>
      <c r="D52" s="34"/>
      <c r="E52" s="34"/>
      <c r="F52" s="34"/>
      <c r="G52" s="169"/>
      <c r="H52" s="181">
        <v>47</v>
      </c>
      <c r="I52" s="182" t="str">
        <f t="shared" si="1"/>
        <v/>
      </c>
      <c r="J52" s="182" t="e">
        <f t="shared" si="5"/>
        <v>#NUM!</v>
      </c>
      <c r="K52" s="181" t="e">
        <f t="shared" si="2"/>
        <v>#NUM!</v>
      </c>
      <c r="L52" s="181"/>
      <c r="M52" s="183">
        <f t="shared" si="3"/>
        <v>0</v>
      </c>
    </row>
    <row r="53" spans="1:13" x14ac:dyDescent="0.25">
      <c r="A53" s="101">
        <f t="shared" si="4"/>
        <v>0</v>
      </c>
      <c r="B53" s="39" t="str">
        <f t="shared" si="0"/>
        <v/>
      </c>
      <c r="C53" s="40"/>
      <c r="D53" s="40"/>
      <c r="E53" s="40"/>
      <c r="F53" s="40"/>
      <c r="G53" s="169"/>
      <c r="H53" s="184">
        <v>48</v>
      </c>
      <c r="I53" s="185" t="str">
        <f t="shared" si="1"/>
        <v/>
      </c>
      <c r="J53" s="185" t="e">
        <f t="shared" si="5"/>
        <v>#NUM!</v>
      </c>
      <c r="K53" s="184" t="e">
        <f t="shared" si="2"/>
        <v>#NUM!</v>
      </c>
      <c r="L53" s="184"/>
      <c r="M53" s="186">
        <f t="shared" si="3"/>
        <v>0</v>
      </c>
    </row>
    <row r="54" spans="1:13" x14ac:dyDescent="0.25">
      <c r="A54" s="101">
        <f t="shared" si="4"/>
        <v>0</v>
      </c>
      <c r="B54" s="33" t="str">
        <f t="shared" si="0"/>
        <v/>
      </c>
      <c r="C54" s="34"/>
      <c r="D54" s="34"/>
      <c r="E54" s="34"/>
      <c r="F54" s="34"/>
      <c r="G54" s="169"/>
      <c r="H54" s="181">
        <v>49</v>
      </c>
      <c r="I54" s="182" t="str">
        <f t="shared" si="1"/>
        <v/>
      </c>
      <c r="J54" s="182" t="e">
        <f t="shared" si="5"/>
        <v>#NUM!</v>
      </c>
      <c r="K54" s="181" t="e">
        <f t="shared" si="2"/>
        <v>#NUM!</v>
      </c>
      <c r="L54" s="181"/>
      <c r="M54" s="183">
        <f t="shared" si="3"/>
        <v>0</v>
      </c>
    </row>
    <row r="55" spans="1:13" x14ac:dyDescent="0.25">
      <c r="A55" s="101">
        <f t="shared" si="4"/>
        <v>0</v>
      </c>
      <c r="B55" s="39" t="str">
        <f t="shared" si="0"/>
        <v/>
      </c>
      <c r="C55" s="40"/>
      <c r="D55" s="40"/>
      <c r="E55" s="40"/>
      <c r="F55" s="40"/>
      <c r="G55" s="169"/>
      <c r="H55" s="184">
        <v>50</v>
      </c>
      <c r="I55" s="185" t="str">
        <f t="shared" si="1"/>
        <v/>
      </c>
      <c r="J55" s="185" t="e">
        <f t="shared" si="5"/>
        <v>#NUM!</v>
      </c>
      <c r="K55" s="184" t="e">
        <f t="shared" si="2"/>
        <v>#NUM!</v>
      </c>
      <c r="L55" s="184"/>
      <c r="M55" s="186">
        <f t="shared" si="3"/>
        <v>0</v>
      </c>
    </row>
    <row r="56" spans="1:13" x14ac:dyDescent="0.25">
      <c r="A56" s="101">
        <f t="shared" si="4"/>
        <v>0</v>
      </c>
      <c r="B56" s="33" t="str">
        <f t="shared" si="0"/>
        <v/>
      </c>
      <c r="C56" s="34"/>
      <c r="D56" s="34"/>
      <c r="E56" s="34"/>
      <c r="F56" s="34"/>
      <c r="G56" s="169"/>
      <c r="H56" s="181">
        <v>51</v>
      </c>
      <c r="I56" s="182" t="str">
        <f t="shared" si="1"/>
        <v/>
      </c>
      <c r="J56" s="182" t="e">
        <f t="shared" si="5"/>
        <v>#NUM!</v>
      </c>
      <c r="K56" s="181" t="e">
        <f t="shared" si="2"/>
        <v>#NUM!</v>
      </c>
      <c r="L56" s="181"/>
      <c r="M56" s="183">
        <f t="shared" si="3"/>
        <v>0</v>
      </c>
    </row>
    <row r="57" spans="1:13" x14ac:dyDescent="0.25">
      <c r="A57" s="101">
        <f t="shared" si="4"/>
        <v>0</v>
      </c>
      <c r="B57" s="39" t="str">
        <f t="shared" si="0"/>
        <v/>
      </c>
      <c r="C57" s="40"/>
      <c r="D57" s="40"/>
      <c r="E57" s="40"/>
      <c r="F57" s="40"/>
      <c r="G57" s="169"/>
      <c r="H57" s="184">
        <v>52</v>
      </c>
      <c r="I57" s="185" t="str">
        <f t="shared" si="1"/>
        <v/>
      </c>
      <c r="J57" s="185" t="e">
        <f t="shared" si="5"/>
        <v>#NUM!</v>
      </c>
      <c r="K57" s="184" t="e">
        <f t="shared" si="2"/>
        <v>#NUM!</v>
      </c>
      <c r="L57" s="184"/>
      <c r="M57" s="186">
        <f t="shared" si="3"/>
        <v>0</v>
      </c>
    </row>
    <row r="58" spans="1:13" x14ac:dyDescent="0.25">
      <c r="A58" s="101">
        <f t="shared" si="4"/>
        <v>0</v>
      </c>
      <c r="B58" s="33" t="str">
        <f t="shared" si="0"/>
        <v/>
      </c>
      <c r="C58" s="34"/>
      <c r="D58" s="34"/>
      <c r="E58" s="34"/>
      <c r="F58" s="34"/>
      <c r="G58" s="169"/>
      <c r="H58" s="181">
        <v>53</v>
      </c>
      <c r="I58" s="182" t="str">
        <f t="shared" si="1"/>
        <v/>
      </c>
      <c r="J58" s="182" t="e">
        <f t="shared" si="5"/>
        <v>#NUM!</v>
      </c>
      <c r="K58" s="181" t="e">
        <f t="shared" si="2"/>
        <v>#NUM!</v>
      </c>
      <c r="L58" s="181"/>
      <c r="M58" s="183">
        <f t="shared" si="3"/>
        <v>0</v>
      </c>
    </row>
    <row r="59" spans="1:13" x14ac:dyDescent="0.25">
      <c r="A59" s="101">
        <f t="shared" si="4"/>
        <v>0</v>
      </c>
      <c r="B59" s="39" t="str">
        <f t="shared" si="0"/>
        <v/>
      </c>
      <c r="C59" s="40"/>
      <c r="D59" s="40"/>
      <c r="E59" s="40"/>
      <c r="F59" s="40"/>
      <c r="G59" s="169"/>
      <c r="H59" s="184">
        <v>54</v>
      </c>
      <c r="I59" s="185" t="str">
        <f t="shared" si="1"/>
        <v/>
      </c>
      <c r="J59" s="185" t="e">
        <f t="shared" si="5"/>
        <v>#NUM!</v>
      </c>
      <c r="K59" s="184" t="e">
        <f t="shared" si="2"/>
        <v>#NUM!</v>
      </c>
      <c r="L59" s="184"/>
      <c r="M59" s="186">
        <f t="shared" si="3"/>
        <v>0</v>
      </c>
    </row>
    <row r="60" spans="1:13" x14ac:dyDescent="0.25">
      <c r="A60" s="101">
        <f t="shared" si="4"/>
        <v>0</v>
      </c>
      <c r="B60" s="33" t="str">
        <f t="shared" si="0"/>
        <v/>
      </c>
      <c r="C60" s="34"/>
      <c r="D60" s="34"/>
      <c r="E60" s="34"/>
      <c r="F60" s="34"/>
      <c r="G60" s="169"/>
      <c r="H60" s="181">
        <v>55</v>
      </c>
      <c r="I60" s="182" t="str">
        <f t="shared" si="1"/>
        <v/>
      </c>
      <c r="J60" s="182" t="e">
        <f t="shared" si="5"/>
        <v>#NUM!</v>
      </c>
      <c r="K60" s="181" t="e">
        <f t="shared" si="2"/>
        <v>#NUM!</v>
      </c>
      <c r="L60" s="181"/>
      <c r="M60" s="183">
        <f t="shared" si="3"/>
        <v>0</v>
      </c>
    </row>
    <row r="61" spans="1:13" x14ac:dyDescent="0.25">
      <c r="A61" s="101">
        <f t="shared" si="4"/>
        <v>0</v>
      </c>
      <c r="B61" s="39" t="str">
        <f t="shared" si="0"/>
        <v/>
      </c>
      <c r="C61" s="40"/>
      <c r="D61" s="40"/>
      <c r="E61" s="40"/>
      <c r="F61" s="40"/>
      <c r="G61" s="169"/>
      <c r="H61" s="184">
        <v>56</v>
      </c>
      <c r="I61" s="185" t="str">
        <f t="shared" si="1"/>
        <v/>
      </c>
      <c r="J61" s="185" t="e">
        <f t="shared" si="5"/>
        <v>#NUM!</v>
      </c>
      <c r="K61" s="184" t="e">
        <f t="shared" si="2"/>
        <v>#NUM!</v>
      </c>
      <c r="L61" s="184"/>
      <c r="M61" s="186">
        <f t="shared" si="3"/>
        <v>0</v>
      </c>
    </row>
    <row r="62" spans="1:13" x14ac:dyDescent="0.25">
      <c r="A62" s="101">
        <f t="shared" si="4"/>
        <v>0</v>
      </c>
      <c r="B62" s="33" t="str">
        <f t="shared" si="0"/>
        <v/>
      </c>
      <c r="C62" s="34"/>
      <c r="D62" s="34"/>
      <c r="E62" s="34"/>
      <c r="F62" s="34"/>
      <c r="G62" s="169"/>
      <c r="H62" s="181">
        <v>57</v>
      </c>
      <c r="I62" s="182" t="str">
        <f t="shared" si="1"/>
        <v/>
      </c>
      <c r="J62" s="182" t="e">
        <f t="shared" si="5"/>
        <v>#NUM!</v>
      </c>
      <c r="K62" s="181" t="e">
        <f t="shared" si="2"/>
        <v>#NUM!</v>
      </c>
      <c r="L62" s="181"/>
      <c r="M62" s="183">
        <f t="shared" si="3"/>
        <v>0</v>
      </c>
    </row>
    <row r="63" spans="1:13" x14ac:dyDescent="0.25">
      <c r="A63" s="101">
        <f t="shared" si="4"/>
        <v>0</v>
      </c>
      <c r="B63" s="39" t="str">
        <f t="shared" si="0"/>
        <v/>
      </c>
      <c r="C63" s="40"/>
      <c r="D63" s="40"/>
      <c r="E63" s="40"/>
      <c r="F63" s="40"/>
      <c r="G63" s="169"/>
      <c r="H63" s="184">
        <v>58</v>
      </c>
      <c r="I63" s="185" t="str">
        <f t="shared" si="1"/>
        <v/>
      </c>
      <c r="J63" s="185" t="e">
        <f t="shared" si="5"/>
        <v>#NUM!</v>
      </c>
      <c r="K63" s="184" t="e">
        <f t="shared" si="2"/>
        <v>#NUM!</v>
      </c>
      <c r="L63" s="184"/>
      <c r="M63" s="186">
        <f t="shared" si="3"/>
        <v>0</v>
      </c>
    </row>
    <row r="64" spans="1:13" x14ac:dyDescent="0.25">
      <c r="A64" s="101">
        <f t="shared" si="4"/>
        <v>0</v>
      </c>
      <c r="B64" s="33" t="str">
        <f t="shared" si="0"/>
        <v/>
      </c>
      <c r="C64" s="34"/>
      <c r="D64" s="34"/>
      <c r="E64" s="34"/>
      <c r="F64" s="34"/>
      <c r="G64" s="169"/>
      <c r="H64" s="181">
        <v>59</v>
      </c>
      <c r="I64" s="182" t="str">
        <f t="shared" si="1"/>
        <v/>
      </c>
      <c r="J64" s="182" t="e">
        <f t="shared" si="5"/>
        <v>#NUM!</v>
      </c>
      <c r="K64" s="181" t="e">
        <f t="shared" si="2"/>
        <v>#NUM!</v>
      </c>
      <c r="L64" s="181"/>
      <c r="M64" s="183">
        <f t="shared" si="3"/>
        <v>0</v>
      </c>
    </row>
    <row r="65" spans="1:13" x14ac:dyDescent="0.25">
      <c r="A65" s="101">
        <f t="shared" si="4"/>
        <v>0</v>
      </c>
      <c r="B65" s="39" t="str">
        <f t="shared" si="0"/>
        <v/>
      </c>
      <c r="C65" s="40"/>
      <c r="D65" s="40"/>
      <c r="E65" s="40"/>
      <c r="F65" s="40"/>
      <c r="G65" s="169"/>
      <c r="H65" s="184">
        <v>60</v>
      </c>
      <c r="I65" s="185" t="str">
        <f t="shared" si="1"/>
        <v/>
      </c>
      <c r="J65" s="185" t="e">
        <f t="shared" si="5"/>
        <v>#NUM!</v>
      </c>
      <c r="K65" s="184" t="e">
        <f t="shared" si="2"/>
        <v>#NUM!</v>
      </c>
      <c r="L65" s="184"/>
      <c r="M65" s="186">
        <f t="shared" si="3"/>
        <v>0</v>
      </c>
    </row>
    <row r="66" spans="1:13" x14ac:dyDescent="0.25">
      <c r="A66" s="101">
        <f t="shared" si="4"/>
        <v>0</v>
      </c>
      <c r="B66" s="33"/>
      <c r="G66" s="169"/>
      <c r="H66" s="181">
        <v>61</v>
      </c>
      <c r="I66" s="182" t="str">
        <f t="shared" si="1"/>
        <v/>
      </c>
      <c r="J66" s="182" t="e">
        <f t="shared" si="5"/>
        <v>#NUM!</v>
      </c>
      <c r="K66" s="181" t="e">
        <f t="shared" si="2"/>
        <v>#NUM!</v>
      </c>
      <c r="L66" s="181"/>
      <c r="M66" s="183">
        <f t="shared" si="3"/>
        <v>0</v>
      </c>
    </row>
    <row r="67" spans="1:13" x14ac:dyDescent="0.25">
      <c r="A67" s="101">
        <f t="shared" si="4"/>
        <v>0</v>
      </c>
      <c r="B67" s="39"/>
      <c r="G67" s="169"/>
      <c r="H67" s="181">
        <v>62</v>
      </c>
      <c r="I67" s="182" t="str">
        <f t="shared" si="1"/>
        <v/>
      </c>
      <c r="J67" s="182" t="e">
        <f t="shared" si="5"/>
        <v>#NUM!</v>
      </c>
      <c r="K67" s="181" t="e">
        <f t="shared" si="2"/>
        <v>#NUM!</v>
      </c>
      <c r="L67" s="181"/>
      <c r="M67" s="183">
        <f t="shared" si="3"/>
        <v>0</v>
      </c>
    </row>
    <row r="68" spans="1:13" x14ac:dyDescent="0.25">
      <c r="A68" s="101">
        <f t="shared" si="4"/>
        <v>0</v>
      </c>
      <c r="B68" s="33"/>
      <c r="G68" s="169"/>
      <c r="H68" s="181">
        <v>63</v>
      </c>
      <c r="I68" s="182" t="str">
        <f t="shared" si="1"/>
        <v/>
      </c>
      <c r="J68" s="182" t="e">
        <f t="shared" si="5"/>
        <v>#NUM!</v>
      </c>
      <c r="K68" s="181" t="e">
        <f t="shared" si="2"/>
        <v>#NUM!</v>
      </c>
      <c r="L68" s="181"/>
      <c r="M68" s="183">
        <f t="shared" si="3"/>
        <v>0</v>
      </c>
    </row>
    <row r="69" spans="1:13" x14ac:dyDescent="0.25">
      <c r="A69" s="101">
        <f t="shared" si="4"/>
        <v>0</v>
      </c>
      <c r="B69" s="39"/>
      <c r="G69" s="169"/>
      <c r="H69" s="181">
        <v>64</v>
      </c>
      <c r="I69" s="182" t="str">
        <f t="shared" si="1"/>
        <v/>
      </c>
      <c r="J69" s="182" t="e">
        <f t="shared" si="5"/>
        <v>#NUM!</v>
      </c>
      <c r="K69" s="181" t="e">
        <f t="shared" si="2"/>
        <v>#NUM!</v>
      </c>
      <c r="L69" s="181"/>
      <c r="M69" s="183">
        <f t="shared" si="3"/>
        <v>0</v>
      </c>
    </row>
    <row r="70" spans="1:13" x14ac:dyDescent="0.25">
      <c r="A70" s="101">
        <f t="shared" si="4"/>
        <v>0</v>
      </c>
      <c r="G70" s="169"/>
      <c r="H70" s="181">
        <v>65</v>
      </c>
      <c r="I70" s="182" t="str">
        <f t="shared" ref="I70:I133" si="6">IF(H70&lt;$H$2+1,($I$2-($I$2-1)*(LOG(H70)/LOG($H$2))),"")</f>
        <v/>
      </c>
      <c r="J70" s="182" t="e">
        <f t="shared" si="5"/>
        <v>#NUM!</v>
      </c>
      <c r="K70" s="181" t="e">
        <f t="shared" ref="K70:K133" si="7">J70*$J$2</f>
        <v>#NUM!</v>
      </c>
      <c r="L70" s="181"/>
      <c r="M70" s="183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69"/>
      <c r="H71" s="181">
        <v>66</v>
      </c>
      <c r="I71" s="182" t="str">
        <f t="shared" si="6"/>
        <v/>
      </c>
      <c r="J71" s="182" t="e">
        <f t="shared" ref="J71:J134" si="10">INT(LOG($H$2,2))-ROUNDUP(LOG(H71,2),0)+IF(OR($H$2=1,$H$2=2,$H$2=4,$H$2=8,$H$2=16,$H$2=32,$H$2=64,$H$2=128,$H$2=256),0,1)</f>
        <v>#NUM!</v>
      </c>
      <c r="K71" s="181" t="e">
        <f t="shared" si="7"/>
        <v>#NUM!</v>
      </c>
      <c r="L71" s="181"/>
      <c r="M71" s="183">
        <f t="shared" si="8"/>
        <v>0</v>
      </c>
    </row>
    <row r="72" spans="1:13" x14ac:dyDescent="0.25">
      <c r="A72" s="101">
        <f t="shared" si="9"/>
        <v>0</v>
      </c>
      <c r="G72" s="169"/>
      <c r="H72" s="181">
        <v>67</v>
      </c>
      <c r="I72" s="182" t="str">
        <f t="shared" si="6"/>
        <v/>
      </c>
      <c r="J72" s="182" t="e">
        <f t="shared" si="10"/>
        <v>#NUM!</v>
      </c>
      <c r="K72" s="181" t="e">
        <f t="shared" si="7"/>
        <v>#NUM!</v>
      </c>
      <c r="L72" s="181"/>
      <c r="M72" s="183">
        <f t="shared" si="8"/>
        <v>0</v>
      </c>
    </row>
    <row r="73" spans="1:13" x14ac:dyDescent="0.25">
      <c r="A73" s="101">
        <f t="shared" si="9"/>
        <v>0</v>
      </c>
      <c r="G73" s="169"/>
      <c r="H73" s="181">
        <v>68</v>
      </c>
      <c r="I73" s="182" t="str">
        <f t="shared" si="6"/>
        <v/>
      </c>
      <c r="J73" s="182" t="e">
        <f t="shared" si="10"/>
        <v>#NUM!</v>
      </c>
      <c r="K73" s="181" t="e">
        <f t="shared" si="7"/>
        <v>#NUM!</v>
      </c>
      <c r="L73" s="181"/>
      <c r="M73" s="183">
        <f t="shared" si="8"/>
        <v>0</v>
      </c>
    </row>
    <row r="74" spans="1:13" x14ac:dyDescent="0.25">
      <c r="A74" s="101">
        <f t="shared" si="9"/>
        <v>0</v>
      </c>
      <c r="G74" s="169"/>
      <c r="H74" s="181">
        <v>69</v>
      </c>
      <c r="I74" s="182" t="str">
        <f t="shared" si="6"/>
        <v/>
      </c>
      <c r="J74" s="182" t="e">
        <f t="shared" si="10"/>
        <v>#NUM!</v>
      </c>
      <c r="K74" s="181" t="e">
        <f t="shared" si="7"/>
        <v>#NUM!</v>
      </c>
      <c r="L74" s="181"/>
      <c r="M74" s="183">
        <f t="shared" si="8"/>
        <v>0</v>
      </c>
    </row>
    <row r="75" spans="1:13" x14ac:dyDescent="0.25">
      <c r="A75" s="101">
        <f t="shared" si="9"/>
        <v>0</v>
      </c>
      <c r="G75" s="169"/>
      <c r="H75" s="181">
        <v>70</v>
      </c>
      <c r="I75" s="182" t="str">
        <f t="shared" si="6"/>
        <v/>
      </c>
      <c r="J75" s="182" t="e">
        <f t="shared" si="10"/>
        <v>#NUM!</v>
      </c>
      <c r="K75" s="181" t="e">
        <f t="shared" si="7"/>
        <v>#NUM!</v>
      </c>
      <c r="L75" s="181"/>
      <c r="M75" s="183">
        <f t="shared" si="8"/>
        <v>0</v>
      </c>
    </row>
    <row r="76" spans="1:13" x14ac:dyDescent="0.25">
      <c r="A76" s="101">
        <f t="shared" si="9"/>
        <v>0</v>
      </c>
      <c r="G76" s="169"/>
      <c r="H76" s="181">
        <v>71</v>
      </c>
      <c r="I76" s="182" t="str">
        <f t="shared" si="6"/>
        <v/>
      </c>
      <c r="J76" s="182" t="e">
        <f t="shared" si="10"/>
        <v>#NUM!</v>
      </c>
      <c r="K76" s="181" t="e">
        <f t="shared" si="7"/>
        <v>#NUM!</v>
      </c>
      <c r="L76" s="181"/>
      <c r="M76" s="183">
        <f t="shared" si="8"/>
        <v>0</v>
      </c>
    </row>
    <row r="77" spans="1:13" x14ac:dyDescent="0.25">
      <c r="A77" s="101">
        <f t="shared" si="9"/>
        <v>0</v>
      </c>
      <c r="G77" s="169"/>
      <c r="H77" s="181">
        <v>72</v>
      </c>
      <c r="I77" s="182" t="str">
        <f t="shared" si="6"/>
        <v/>
      </c>
      <c r="J77" s="182" t="e">
        <f t="shared" si="10"/>
        <v>#NUM!</v>
      </c>
      <c r="K77" s="181" t="e">
        <f t="shared" si="7"/>
        <v>#NUM!</v>
      </c>
      <c r="L77" s="181"/>
      <c r="M77" s="183">
        <f t="shared" si="8"/>
        <v>0</v>
      </c>
    </row>
    <row r="78" spans="1:13" x14ac:dyDescent="0.25">
      <c r="A78" s="101">
        <f t="shared" si="9"/>
        <v>0</v>
      </c>
      <c r="G78" s="169"/>
      <c r="H78" s="181">
        <v>73</v>
      </c>
      <c r="I78" s="182" t="str">
        <f t="shared" si="6"/>
        <v/>
      </c>
      <c r="J78" s="182" t="e">
        <f t="shared" si="10"/>
        <v>#NUM!</v>
      </c>
      <c r="K78" s="181" t="e">
        <f t="shared" si="7"/>
        <v>#NUM!</v>
      </c>
      <c r="L78" s="181"/>
      <c r="M78" s="183">
        <f t="shared" si="8"/>
        <v>0</v>
      </c>
    </row>
    <row r="79" spans="1:13" x14ac:dyDescent="0.25">
      <c r="A79" s="101">
        <f t="shared" si="9"/>
        <v>0</v>
      </c>
      <c r="G79" s="169"/>
      <c r="H79" s="181">
        <v>74</v>
      </c>
      <c r="I79" s="182" t="str">
        <f t="shared" si="6"/>
        <v/>
      </c>
      <c r="J79" s="182" t="e">
        <f t="shared" si="10"/>
        <v>#NUM!</v>
      </c>
      <c r="K79" s="181" t="e">
        <f t="shared" si="7"/>
        <v>#NUM!</v>
      </c>
      <c r="L79" s="181"/>
      <c r="M79" s="183">
        <f t="shared" si="8"/>
        <v>0</v>
      </c>
    </row>
    <row r="80" spans="1:13" x14ac:dyDescent="0.25">
      <c r="A80" s="97"/>
      <c r="G80" s="169"/>
      <c r="H80" s="181">
        <v>75</v>
      </c>
      <c r="I80" s="182" t="str">
        <f t="shared" si="6"/>
        <v/>
      </c>
      <c r="J80" s="182" t="e">
        <f t="shared" si="10"/>
        <v>#NUM!</v>
      </c>
      <c r="K80" s="181" t="e">
        <f t="shared" si="7"/>
        <v>#NUM!</v>
      </c>
      <c r="L80" s="181"/>
      <c r="M80" s="183">
        <f t="shared" si="8"/>
        <v>0</v>
      </c>
    </row>
    <row r="81" spans="1:13" x14ac:dyDescent="0.25">
      <c r="A81" s="198"/>
      <c r="G81" s="169"/>
      <c r="H81" s="181">
        <v>76</v>
      </c>
      <c r="I81" s="182" t="str">
        <f t="shared" si="6"/>
        <v/>
      </c>
      <c r="J81" s="182" t="e">
        <f t="shared" si="10"/>
        <v>#NUM!</v>
      </c>
      <c r="K81" s="181" t="e">
        <f t="shared" si="7"/>
        <v>#NUM!</v>
      </c>
      <c r="L81" s="181"/>
      <c r="M81" s="183">
        <f t="shared" si="8"/>
        <v>0</v>
      </c>
    </row>
    <row r="82" spans="1:13" x14ac:dyDescent="0.25">
      <c r="A82" s="198"/>
      <c r="G82" s="169"/>
      <c r="H82" s="181">
        <v>77</v>
      </c>
      <c r="I82" s="182" t="str">
        <f t="shared" si="6"/>
        <v/>
      </c>
      <c r="J82" s="182" t="e">
        <f t="shared" si="10"/>
        <v>#NUM!</v>
      </c>
      <c r="K82" s="181" t="e">
        <f t="shared" si="7"/>
        <v>#NUM!</v>
      </c>
      <c r="L82" s="181"/>
      <c r="M82" s="183">
        <f t="shared" si="8"/>
        <v>0</v>
      </c>
    </row>
    <row r="83" spans="1:13" x14ac:dyDescent="0.25">
      <c r="A83" s="198"/>
      <c r="G83" s="169"/>
      <c r="H83" s="181">
        <v>78</v>
      </c>
      <c r="I83" s="182" t="str">
        <f t="shared" si="6"/>
        <v/>
      </c>
      <c r="J83" s="182" t="e">
        <f t="shared" si="10"/>
        <v>#NUM!</v>
      </c>
      <c r="K83" s="181" t="e">
        <f t="shared" si="7"/>
        <v>#NUM!</v>
      </c>
      <c r="L83" s="181"/>
      <c r="M83" s="183">
        <f t="shared" si="8"/>
        <v>0</v>
      </c>
    </row>
    <row r="84" spans="1:13" x14ac:dyDescent="0.25">
      <c r="A84" s="198"/>
      <c r="G84" s="169"/>
      <c r="H84" s="181">
        <v>79</v>
      </c>
      <c r="I84" s="182" t="str">
        <f t="shared" si="6"/>
        <v/>
      </c>
      <c r="J84" s="182" t="e">
        <f t="shared" si="10"/>
        <v>#NUM!</v>
      </c>
      <c r="K84" s="181" t="e">
        <f t="shared" si="7"/>
        <v>#NUM!</v>
      </c>
      <c r="L84" s="181"/>
      <c r="M84" s="183">
        <f t="shared" si="8"/>
        <v>0</v>
      </c>
    </row>
    <row r="85" spans="1:13" x14ac:dyDescent="0.25">
      <c r="A85" s="198"/>
      <c r="G85" s="169"/>
      <c r="H85" s="181">
        <v>80</v>
      </c>
      <c r="I85" s="182" t="str">
        <f t="shared" si="6"/>
        <v/>
      </c>
      <c r="J85" s="182" t="e">
        <f t="shared" si="10"/>
        <v>#NUM!</v>
      </c>
      <c r="K85" s="181" t="e">
        <f t="shared" si="7"/>
        <v>#NUM!</v>
      </c>
      <c r="L85" s="181"/>
      <c r="M85" s="183">
        <f t="shared" si="8"/>
        <v>0</v>
      </c>
    </row>
    <row r="86" spans="1:13" x14ac:dyDescent="0.25">
      <c r="A86" s="198"/>
      <c r="G86" s="169"/>
      <c r="H86" s="181">
        <v>81</v>
      </c>
      <c r="I86" s="182" t="str">
        <f t="shared" si="6"/>
        <v/>
      </c>
      <c r="J86" s="182" t="e">
        <f t="shared" si="10"/>
        <v>#NUM!</v>
      </c>
      <c r="K86" s="181" t="e">
        <f t="shared" si="7"/>
        <v>#NUM!</v>
      </c>
      <c r="L86" s="181"/>
      <c r="M86" s="183">
        <f t="shared" si="8"/>
        <v>0</v>
      </c>
    </row>
    <row r="87" spans="1:13" x14ac:dyDescent="0.25">
      <c r="A87" s="198"/>
      <c r="G87" s="169"/>
      <c r="H87" s="181">
        <v>82</v>
      </c>
      <c r="I87" s="182" t="str">
        <f t="shared" si="6"/>
        <v/>
      </c>
      <c r="J87" s="182" t="e">
        <f t="shared" si="10"/>
        <v>#NUM!</v>
      </c>
      <c r="K87" s="181" t="e">
        <f t="shared" si="7"/>
        <v>#NUM!</v>
      </c>
      <c r="L87" s="181"/>
      <c r="M87" s="183">
        <f t="shared" si="8"/>
        <v>0</v>
      </c>
    </row>
    <row r="88" spans="1:13" x14ac:dyDescent="0.25">
      <c r="A88" s="198"/>
      <c r="G88" s="169"/>
      <c r="H88" s="181">
        <v>83</v>
      </c>
      <c r="I88" s="182" t="str">
        <f t="shared" si="6"/>
        <v/>
      </c>
      <c r="J88" s="182" t="e">
        <f t="shared" si="10"/>
        <v>#NUM!</v>
      </c>
      <c r="K88" s="181" t="e">
        <f t="shared" si="7"/>
        <v>#NUM!</v>
      </c>
      <c r="L88" s="181"/>
      <c r="M88" s="183">
        <f t="shared" si="8"/>
        <v>0</v>
      </c>
    </row>
    <row r="89" spans="1:13" x14ac:dyDescent="0.25">
      <c r="A89" s="198"/>
      <c r="G89" s="169"/>
      <c r="H89" s="181">
        <v>84</v>
      </c>
      <c r="I89" s="182" t="str">
        <f t="shared" si="6"/>
        <v/>
      </c>
      <c r="J89" s="182" t="e">
        <f t="shared" si="10"/>
        <v>#NUM!</v>
      </c>
      <c r="K89" s="181" t="e">
        <f t="shared" si="7"/>
        <v>#NUM!</v>
      </c>
      <c r="L89" s="181"/>
      <c r="M89" s="183">
        <f t="shared" si="8"/>
        <v>0</v>
      </c>
    </row>
    <row r="90" spans="1:13" x14ac:dyDescent="0.25">
      <c r="A90" s="198"/>
      <c r="G90" s="169"/>
      <c r="H90" s="181">
        <v>85</v>
      </c>
      <c r="I90" s="182" t="str">
        <f t="shared" si="6"/>
        <v/>
      </c>
      <c r="J90" s="182" t="e">
        <f t="shared" si="10"/>
        <v>#NUM!</v>
      </c>
      <c r="K90" s="181" t="e">
        <f t="shared" si="7"/>
        <v>#NUM!</v>
      </c>
      <c r="L90" s="181"/>
      <c r="M90" s="183">
        <f t="shared" si="8"/>
        <v>0</v>
      </c>
    </row>
    <row r="91" spans="1:13" x14ac:dyDescent="0.25">
      <c r="A91" s="198"/>
      <c r="G91" s="169"/>
      <c r="H91" s="181">
        <v>86</v>
      </c>
      <c r="I91" s="182" t="str">
        <f t="shared" si="6"/>
        <v/>
      </c>
      <c r="J91" s="182" t="e">
        <f t="shared" si="10"/>
        <v>#NUM!</v>
      </c>
      <c r="K91" s="181" t="e">
        <f t="shared" si="7"/>
        <v>#NUM!</v>
      </c>
      <c r="L91" s="181"/>
      <c r="M91" s="183">
        <f t="shared" si="8"/>
        <v>0</v>
      </c>
    </row>
    <row r="92" spans="1:13" x14ac:dyDescent="0.25">
      <c r="A92" s="198"/>
      <c r="G92" s="169"/>
      <c r="H92" s="181">
        <v>87</v>
      </c>
      <c r="I92" s="182" t="str">
        <f t="shared" si="6"/>
        <v/>
      </c>
      <c r="J92" s="182" t="e">
        <f t="shared" si="10"/>
        <v>#NUM!</v>
      </c>
      <c r="K92" s="181" t="e">
        <f t="shared" si="7"/>
        <v>#NUM!</v>
      </c>
      <c r="L92" s="181"/>
      <c r="M92" s="183">
        <f t="shared" si="8"/>
        <v>0</v>
      </c>
    </row>
    <row r="93" spans="1:13" x14ac:dyDescent="0.25">
      <c r="A93" s="198"/>
      <c r="G93" s="169"/>
      <c r="H93" s="181">
        <v>88</v>
      </c>
      <c r="I93" s="182" t="str">
        <f t="shared" si="6"/>
        <v/>
      </c>
      <c r="J93" s="182" t="e">
        <f t="shared" si="10"/>
        <v>#NUM!</v>
      </c>
      <c r="K93" s="181" t="e">
        <f t="shared" si="7"/>
        <v>#NUM!</v>
      </c>
      <c r="L93" s="181"/>
      <c r="M93" s="183">
        <f t="shared" si="8"/>
        <v>0</v>
      </c>
    </row>
    <row r="94" spans="1:13" x14ac:dyDescent="0.25">
      <c r="A94" s="198"/>
      <c r="G94" s="169"/>
      <c r="H94" s="181">
        <v>89</v>
      </c>
      <c r="I94" s="182" t="str">
        <f t="shared" si="6"/>
        <v/>
      </c>
      <c r="J94" s="182" t="e">
        <f t="shared" si="10"/>
        <v>#NUM!</v>
      </c>
      <c r="K94" s="181" t="e">
        <f t="shared" si="7"/>
        <v>#NUM!</v>
      </c>
      <c r="L94" s="181"/>
      <c r="M94" s="183">
        <f t="shared" si="8"/>
        <v>0</v>
      </c>
    </row>
    <row r="95" spans="1:13" x14ac:dyDescent="0.25">
      <c r="A95" s="198"/>
      <c r="G95" s="169"/>
      <c r="H95" s="181">
        <v>90</v>
      </c>
      <c r="I95" s="182" t="str">
        <f t="shared" si="6"/>
        <v/>
      </c>
      <c r="J95" s="182" t="e">
        <f t="shared" si="10"/>
        <v>#NUM!</v>
      </c>
      <c r="K95" s="181" t="e">
        <f t="shared" si="7"/>
        <v>#NUM!</v>
      </c>
      <c r="L95" s="181"/>
      <c r="M95" s="183">
        <f t="shared" si="8"/>
        <v>0</v>
      </c>
    </row>
    <row r="96" spans="1:13" x14ac:dyDescent="0.25">
      <c r="A96" s="198"/>
      <c r="G96" s="169"/>
      <c r="H96" s="181">
        <v>91</v>
      </c>
      <c r="I96" s="182" t="str">
        <f t="shared" si="6"/>
        <v/>
      </c>
      <c r="J96" s="182" t="e">
        <f t="shared" si="10"/>
        <v>#NUM!</v>
      </c>
      <c r="K96" s="181" t="e">
        <f t="shared" si="7"/>
        <v>#NUM!</v>
      </c>
      <c r="L96" s="181"/>
      <c r="M96" s="183">
        <f t="shared" si="8"/>
        <v>0</v>
      </c>
    </row>
    <row r="97" spans="1:13" x14ac:dyDescent="0.25">
      <c r="A97" s="198"/>
      <c r="G97" s="169"/>
      <c r="H97" s="181">
        <v>92</v>
      </c>
      <c r="I97" s="182" t="str">
        <f t="shared" si="6"/>
        <v/>
      </c>
      <c r="J97" s="182" t="e">
        <f t="shared" si="10"/>
        <v>#NUM!</v>
      </c>
      <c r="K97" s="181" t="e">
        <f t="shared" si="7"/>
        <v>#NUM!</v>
      </c>
      <c r="L97" s="181"/>
      <c r="M97" s="183">
        <f t="shared" si="8"/>
        <v>0</v>
      </c>
    </row>
    <row r="98" spans="1:13" x14ac:dyDescent="0.25">
      <c r="A98" s="198"/>
      <c r="G98" s="169"/>
      <c r="H98" s="181">
        <v>93</v>
      </c>
      <c r="I98" s="182" t="str">
        <f t="shared" si="6"/>
        <v/>
      </c>
      <c r="J98" s="182" t="e">
        <f t="shared" si="10"/>
        <v>#NUM!</v>
      </c>
      <c r="K98" s="181" t="e">
        <f t="shared" si="7"/>
        <v>#NUM!</v>
      </c>
      <c r="L98" s="181"/>
      <c r="M98" s="183">
        <f t="shared" si="8"/>
        <v>0</v>
      </c>
    </row>
    <row r="99" spans="1:13" x14ac:dyDescent="0.25">
      <c r="A99" s="198"/>
      <c r="G99" s="169"/>
      <c r="H99" s="181">
        <v>94</v>
      </c>
      <c r="I99" s="182" t="str">
        <f t="shared" si="6"/>
        <v/>
      </c>
      <c r="J99" s="182" t="e">
        <f t="shared" si="10"/>
        <v>#NUM!</v>
      </c>
      <c r="K99" s="181" t="e">
        <f t="shared" si="7"/>
        <v>#NUM!</v>
      </c>
      <c r="L99" s="181"/>
      <c r="M99" s="183">
        <f t="shared" si="8"/>
        <v>0</v>
      </c>
    </row>
    <row r="100" spans="1:13" x14ac:dyDescent="0.25">
      <c r="A100" s="198"/>
      <c r="G100" s="169"/>
      <c r="H100" s="181">
        <v>95</v>
      </c>
      <c r="I100" s="182" t="str">
        <f t="shared" si="6"/>
        <v/>
      </c>
      <c r="J100" s="182" t="e">
        <f t="shared" si="10"/>
        <v>#NUM!</v>
      </c>
      <c r="K100" s="181" t="e">
        <f t="shared" si="7"/>
        <v>#NUM!</v>
      </c>
      <c r="L100" s="181"/>
      <c r="M100" s="183">
        <f t="shared" si="8"/>
        <v>0</v>
      </c>
    </row>
    <row r="101" spans="1:13" x14ac:dyDescent="0.25">
      <c r="A101" s="198"/>
      <c r="G101" s="169"/>
      <c r="H101" s="181">
        <v>96</v>
      </c>
      <c r="I101" s="182" t="str">
        <f t="shared" si="6"/>
        <v/>
      </c>
      <c r="J101" s="182" t="e">
        <f t="shared" si="10"/>
        <v>#NUM!</v>
      </c>
      <c r="K101" s="181" t="e">
        <f t="shared" si="7"/>
        <v>#NUM!</v>
      </c>
      <c r="L101" s="181"/>
      <c r="M101" s="183">
        <f t="shared" si="8"/>
        <v>0</v>
      </c>
    </row>
    <row r="102" spans="1:13" x14ac:dyDescent="0.25">
      <c r="A102" s="198"/>
      <c r="G102" s="169"/>
      <c r="H102" s="181">
        <v>97</v>
      </c>
      <c r="I102" s="182" t="str">
        <f t="shared" si="6"/>
        <v/>
      </c>
      <c r="J102" s="182" t="e">
        <f t="shared" si="10"/>
        <v>#NUM!</v>
      </c>
      <c r="K102" s="181" t="e">
        <f t="shared" si="7"/>
        <v>#NUM!</v>
      </c>
      <c r="L102" s="181"/>
      <c r="M102" s="183">
        <f t="shared" si="8"/>
        <v>0</v>
      </c>
    </row>
    <row r="103" spans="1:13" x14ac:dyDescent="0.25">
      <c r="A103" s="198"/>
      <c r="G103" s="169"/>
      <c r="H103" s="181">
        <v>98</v>
      </c>
      <c r="I103" s="182" t="str">
        <f t="shared" si="6"/>
        <v/>
      </c>
      <c r="J103" s="182" t="e">
        <f t="shared" si="10"/>
        <v>#NUM!</v>
      </c>
      <c r="K103" s="181" t="e">
        <f t="shared" si="7"/>
        <v>#NUM!</v>
      </c>
      <c r="L103" s="181"/>
      <c r="M103" s="183">
        <f t="shared" si="8"/>
        <v>0</v>
      </c>
    </row>
    <row r="104" spans="1:13" x14ac:dyDescent="0.25">
      <c r="A104" s="198"/>
      <c r="G104" s="169"/>
      <c r="H104" s="181">
        <v>99</v>
      </c>
      <c r="I104" s="182" t="str">
        <f t="shared" si="6"/>
        <v/>
      </c>
      <c r="J104" s="182" t="e">
        <f t="shared" si="10"/>
        <v>#NUM!</v>
      </c>
      <c r="K104" s="181" t="e">
        <f t="shared" si="7"/>
        <v>#NUM!</v>
      </c>
      <c r="L104" s="181"/>
      <c r="M104" s="183">
        <f t="shared" si="8"/>
        <v>0</v>
      </c>
    </row>
    <row r="105" spans="1:13" x14ac:dyDescent="0.25">
      <c r="A105" s="198"/>
      <c r="G105" s="169"/>
      <c r="H105" s="181">
        <v>100</v>
      </c>
      <c r="I105" s="182" t="str">
        <f t="shared" si="6"/>
        <v/>
      </c>
      <c r="J105" s="182" t="e">
        <f t="shared" si="10"/>
        <v>#NUM!</v>
      </c>
      <c r="K105" s="181" t="e">
        <f t="shared" si="7"/>
        <v>#NUM!</v>
      </c>
      <c r="L105" s="181"/>
      <c r="M105" s="183">
        <f t="shared" si="8"/>
        <v>0</v>
      </c>
    </row>
    <row r="106" spans="1:13" x14ac:dyDescent="0.25">
      <c r="A106" s="198"/>
      <c r="G106" s="169"/>
      <c r="H106" s="181">
        <v>101</v>
      </c>
      <c r="I106" s="182" t="str">
        <f t="shared" si="6"/>
        <v/>
      </c>
      <c r="J106" s="182" t="e">
        <f t="shared" si="10"/>
        <v>#NUM!</v>
      </c>
      <c r="K106" s="181" t="e">
        <f t="shared" si="7"/>
        <v>#NUM!</v>
      </c>
      <c r="L106" s="181"/>
      <c r="M106" s="183">
        <f t="shared" si="8"/>
        <v>0</v>
      </c>
    </row>
    <row r="107" spans="1:13" x14ac:dyDescent="0.25">
      <c r="A107" s="198"/>
      <c r="G107" s="169"/>
      <c r="H107" s="181">
        <v>102</v>
      </c>
      <c r="I107" s="182" t="str">
        <f t="shared" si="6"/>
        <v/>
      </c>
      <c r="J107" s="182" t="e">
        <f t="shared" si="10"/>
        <v>#NUM!</v>
      </c>
      <c r="K107" s="181" t="e">
        <f t="shared" si="7"/>
        <v>#NUM!</v>
      </c>
      <c r="L107" s="181"/>
      <c r="M107" s="183">
        <f t="shared" si="8"/>
        <v>0</v>
      </c>
    </row>
    <row r="108" spans="1:13" x14ac:dyDescent="0.25">
      <c r="A108" s="198"/>
      <c r="G108" s="169"/>
      <c r="H108" s="181">
        <v>103</v>
      </c>
      <c r="I108" s="182" t="str">
        <f t="shared" si="6"/>
        <v/>
      </c>
      <c r="J108" s="182" t="e">
        <f t="shared" si="10"/>
        <v>#NUM!</v>
      </c>
      <c r="K108" s="181" t="e">
        <f t="shared" si="7"/>
        <v>#NUM!</v>
      </c>
      <c r="L108" s="181"/>
      <c r="M108" s="183">
        <f t="shared" si="8"/>
        <v>0</v>
      </c>
    </row>
    <row r="109" spans="1:13" x14ac:dyDescent="0.25">
      <c r="A109" s="198"/>
      <c r="G109" s="169"/>
      <c r="H109" s="181">
        <v>104</v>
      </c>
      <c r="I109" s="182" t="str">
        <f t="shared" si="6"/>
        <v/>
      </c>
      <c r="J109" s="182" t="e">
        <f t="shared" si="10"/>
        <v>#NUM!</v>
      </c>
      <c r="K109" s="181" t="e">
        <f t="shared" si="7"/>
        <v>#NUM!</v>
      </c>
      <c r="L109" s="181"/>
      <c r="M109" s="183">
        <f t="shared" si="8"/>
        <v>0</v>
      </c>
    </row>
    <row r="110" spans="1:13" x14ac:dyDescent="0.25">
      <c r="A110" s="198"/>
      <c r="G110" s="169"/>
      <c r="H110" s="181">
        <v>105</v>
      </c>
      <c r="I110" s="182" t="str">
        <f t="shared" si="6"/>
        <v/>
      </c>
      <c r="J110" s="182" t="e">
        <f t="shared" si="10"/>
        <v>#NUM!</v>
      </c>
      <c r="K110" s="181" t="e">
        <f t="shared" si="7"/>
        <v>#NUM!</v>
      </c>
      <c r="L110" s="181"/>
      <c r="M110" s="183">
        <f t="shared" si="8"/>
        <v>0</v>
      </c>
    </row>
    <row r="111" spans="1:13" x14ac:dyDescent="0.25">
      <c r="A111" s="198"/>
      <c r="G111" s="169"/>
      <c r="H111" s="181">
        <v>106</v>
      </c>
      <c r="I111" s="182" t="str">
        <f t="shared" si="6"/>
        <v/>
      </c>
      <c r="J111" s="182" t="e">
        <f t="shared" si="10"/>
        <v>#NUM!</v>
      </c>
      <c r="K111" s="181" t="e">
        <f t="shared" si="7"/>
        <v>#NUM!</v>
      </c>
      <c r="L111" s="181"/>
      <c r="M111" s="183">
        <f t="shared" si="8"/>
        <v>0</v>
      </c>
    </row>
    <row r="112" spans="1:13" x14ac:dyDescent="0.25">
      <c r="A112" s="198"/>
      <c r="G112" s="169"/>
      <c r="H112" s="181">
        <v>107</v>
      </c>
      <c r="I112" s="182" t="str">
        <f t="shared" si="6"/>
        <v/>
      </c>
      <c r="J112" s="182" t="e">
        <f t="shared" si="10"/>
        <v>#NUM!</v>
      </c>
      <c r="K112" s="181" t="e">
        <f t="shared" si="7"/>
        <v>#NUM!</v>
      </c>
      <c r="L112" s="181"/>
      <c r="M112" s="183">
        <f t="shared" si="8"/>
        <v>0</v>
      </c>
    </row>
    <row r="113" spans="1:13" x14ac:dyDescent="0.25">
      <c r="A113" s="198"/>
      <c r="G113" s="169"/>
      <c r="H113" s="181">
        <v>108</v>
      </c>
      <c r="I113" s="182" t="str">
        <f t="shared" si="6"/>
        <v/>
      </c>
      <c r="J113" s="182" t="e">
        <f t="shared" si="10"/>
        <v>#NUM!</v>
      </c>
      <c r="K113" s="181" t="e">
        <f t="shared" si="7"/>
        <v>#NUM!</v>
      </c>
      <c r="L113" s="181"/>
      <c r="M113" s="183">
        <f t="shared" si="8"/>
        <v>0</v>
      </c>
    </row>
    <row r="114" spans="1:13" x14ac:dyDescent="0.25">
      <c r="A114" s="198"/>
      <c r="G114" s="169"/>
      <c r="H114" s="181">
        <v>109</v>
      </c>
      <c r="I114" s="182" t="str">
        <f t="shared" si="6"/>
        <v/>
      </c>
      <c r="J114" s="182" t="e">
        <f t="shared" si="10"/>
        <v>#NUM!</v>
      </c>
      <c r="K114" s="181" t="e">
        <f t="shared" si="7"/>
        <v>#NUM!</v>
      </c>
      <c r="L114" s="181"/>
      <c r="M114" s="183">
        <f t="shared" si="8"/>
        <v>0</v>
      </c>
    </row>
    <row r="115" spans="1:13" x14ac:dyDescent="0.25">
      <c r="A115" s="198"/>
      <c r="G115" s="169"/>
      <c r="H115" s="181">
        <v>110</v>
      </c>
      <c r="I115" s="182" t="str">
        <f t="shared" si="6"/>
        <v/>
      </c>
      <c r="J115" s="182" t="e">
        <f t="shared" si="10"/>
        <v>#NUM!</v>
      </c>
      <c r="K115" s="181" t="e">
        <f t="shared" si="7"/>
        <v>#NUM!</v>
      </c>
      <c r="L115" s="181"/>
      <c r="M115" s="183">
        <f t="shared" si="8"/>
        <v>0</v>
      </c>
    </row>
    <row r="116" spans="1:13" x14ac:dyDescent="0.25">
      <c r="A116" s="198"/>
      <c r="G116" s="169"/>
      <c r="H116" s="181">
        <v>111</v>
      </c>
      <c r="I116" s="182" t="str">
        <f t="shared" si="6"/>
        <v/>
      </c>
      <c r="J116" s="182" t="e">
        <f t="shared" si="10"/>
        <v>#NUM!</v>
      </c>
      <c r="K116" s="181" t="e">
        <f t="shared" si="7"/>
        <v>#NUM!</v>
      </c>
      <c r="L116" s="181"/>
      <c r="M116" s="183">
        <f t="shared" si="8"/>
        <v>0</v>
      </c>
    </row>
    <row r="117" spans="1:13" x14ac:dyDescent="0.25">
      <c r="A117" s="198"/>
      <c r="G117" s="169"/>
      <c r="H117" s="181">
        <v>112</v>
      </c>
      <c r="I117" s="182" t="str">
        <f t="shared" si="6"/>
        <v/>
      </c>
      <c r="J117" s="182" t="e">
        <f t="shared" si="10"/>
        <v>#NUM!</v>
      </c>
      <c r="K117" s="181" t="e">
        <f t="shared" si="7"/>
        <v>#NUM!</v>
      </c>
      <c r="L117" s="181"/>
      <c r="M117" s="183">
        <f t="shared" si="8"/>
        <v>0</v>
      </c>
    </row>
    <row r="118" spans="1:13" x14ac:dyDescent="0.25">
      <c r="A118" s="198"/>
      <c r="G118" s="169"/>
      <c r="H118" s="181">
        <v>113</v>
      </c>
      <c r="I118" s="182" t="str">
        <f t="shared" si="6"/>
        <v/>
      </c>
      <c r="J118" s="182" t="e">
        <f t="shared" si="10"/>
        <v>#NUM!</v>
      </c>
      <c r="K118" s="181" t="e">
        <f t="shared" si="7"/>
        <v>#NUM!</v>
      </c>
      <c r="L118" s="181"/>
      <c r="M118" s="183">
        <f t="shared" si="8"/>
        <v>0</v>
      </c>
    </row>
    <row r="119" spans="1:13" x14ac:dyDescent="0.25">
      <c r="A119" s="198"/>
      <c r="G119" s="169"/>
      <c r="H119" s="181">
        <v>114</v>
      </c>
      <c r="I119" s="182" t="str">
        <f t="shared" si="6"/>
        <v/>
      </c>
      <c r="J119" s="182" t="e">
        <f t="shared" si="10"/>
        <v>#NUM!</v>
      </c>
      <c r="K119" s="181" t="e">
        <f t="shared" si="7"/>
        <v>#NUM!</v>
      </c>
      <c r="L119" s="181"/>
      <c r="M119" s="183">
        <f t="shared" si="8"/>
        <v>0</v>
      </c>
    </row>
    <row r="120" spans="1:13" x14ac:dyDescent="0.25">
      <c r="A120" s="198"/>
      <c r="G120" s="169"/>
      <c r="H120" s="181">
        <v>115</v>
      </c>
      <c r="I120" s="182" t="str">
        <f t="shared" si="6"/>
        <v/>
      </c>
      <c r="J120" s="182" t="e">
        <f t="shared" si="10"/>
        <v>#NUM!</v>
      </c>
      <c r="K120" s="181" t="e">
        <f t="shared" si="7"/>
        <v>#NUM!</v>
      </c>
      <c r="L120" s="181"/>
      <c r="M120" s="183">
        <f t="shared" si="8"/>
        <v>0</v>
      </c>
    </row>
    <row r="121" spans="1:13" x14ac:dyDescent="0.25">
      <c r="A121" s="198"/>
      <c r="G121" s="169"/>
      <c r="H121" s="181">
        <v>116</v>
      </c>
      <c r="I121" s="182" t="str">
        <f t="shared" si="6"/>
        <v/>
      </c>
      <c r="J121" s="182" t="e">
        <f t="shared" si="10"/>
        <v>#NUM!</v>
      </c>
      <c r="K121" s="181" t="e">
        <f t="shared" si="7"/>
        <v>#NUM!</v>
      </c>
      <c r="L121" s="181"/>
      <c r="M121" s="183">
        <f t="shared" si="8"/>
        <v>0</v>
      </c>
    </row>
    <row r="122" spans="1:13" x14ac:dyDescent="0.25">
      <c r="A122" s="198"/>
      <c r="G122" s="169"/>
      <c r="H122" s="181">
        <v>117</v>
      </c>
      <c r="I122" s="182" t="str">
        <f t="shared" si="6"/>
        <v/>
      </c>
      <c r="J122" s="182" t="e">
        <f t="shared" si="10"/>
        <v>#NUM!</v>
      </c>
      <c r="K122" s="181" t="e">
        <f t="shared" si="7"/>
        <v>#NUM!</v>
      </c>
      <c r="L122" s="181"/>
      <c r="M122" s="183">
        <f t="shared" si="8"/>
        <v>0</v>
      </c>
    </row>
    <row r="123" spans="1:13" x14ac:dyDescent="0.25">
      <c r="A123" s="198"/>
      <c r="G123" s="169"/>
      <c r="H123" s="181">
        <v>118</v>
      </c>
      <c r="I123" s="182" t="str">
        <f t="shared" si="6"/>
        <v/>
      </c>
      <c r="J123" s="182" t="e">
        <f t="shared" si="10"/>
        <v>#NUM!</v>
      </c>
      <c r="K123" s="181" t="e">
        <f t="shared" si="7"/>
        <v>#NUM!</v>
      </c>
      <c r="L123" s="181"/>
      <c r="M123" s="183">
        <f t="shared" si="8"/>
        <v>0</v>
      </c>
    </row>
    <row r="124" spans="1:13" x14ac:dyDescent="0.25">
      <c r="A124" s="198"/>
      <c r="G124" s="169"/>
      <c r="H124" s="181">
        <v>119</v>
      </c>
      <c r="I124" s="182" t="str">
        <f t="shared" si="6"/>
        <v/>
      </c>
      <c r="J124" s="182" t="e">
        <f t="shared" si="10"/>
        <v>#NUM!</v>
      </c>
      <c r="K124" s="181" t="e">
        <f t="shared" si="7"/>
        <v>#NUM!</v>
      </c>
      <c r="L124" s="181"/>
      <c r="M124" s="183">
        <f t="shared" si="8"/>
        <v>0</v>
      </c>
    </row>
    <row r="125" spans="1:13" x14ac:dyDescent="0.25">
      <c r="A125" s="198"/>
      <c r="G125" s="169"/>
      <c r="H125" s="181">
        <v>120</v>
      </c>
      <c r="I125" s="182" t="str">
        <f t="shared" si="6"/>
        <v/>
      </c>
      <c r="J125" s="182" t="e">
        <f t="shared" si="10"/>
        <v>#NUM!</v>
      </c>
      <c r="K125" s="181" t="e">
        <f t="shared" si="7"/>
        <v>#NUM!</v>
      </c>
      <c r="L125" s="181"/>
      <c r="M125" s="183">
        <f t="shared" si="8"/>
        <v>0</v>
      </c>
    </row>
    <row r="126" spans="1:13" x14ac:dyDescent="0.25">
      <c r="A126" s="198"/>
      <c r="G126" s="169"/>
      <c r="H126" s="181">
        <v>121</v>
      </c>
      <c r="I126" s="182" t="str">
        <f t="shared" si="6"/>
        <v/>
      </c>
      <c r="J126" s="182" t="e">
        <f t="shared" si="10"/>
        <v>#NUM!</v>
      </c>
      <c r="K126" s="181" t="e">
        <f t="shared" si="7"/>
        <v>#NUM!</v>
      </c>
      <c r="L126" s="181"/>
      <c r="M126" s="183">
        <f t="shared" si="8"/>
        <v>0</v>
      </c>
    </row>
    <row r="127" spans="1:13" x14ac:dyDescent="0.25">
      <c r="A127" s="198"/>
      <c r="G127" s="169"/>
      <c r="H127" s="181">
        <v>122</v>
      </c>
      <c r="I127" s="182" t="str">
        <f t="shared" si="6"/>
        <v/>
      </c>
      <c r="J127" s="182" t="e">
        <f t="shared" si="10"/>
        <v>#NUM!</v>
      </c>
      <c r="K127" s="181" t="e">
        <f t="shared" si="7"/>
        <v>#NUM!</v>
      </c>
      <c r="L127" s="181"/>
      <c r="M127" s="183">
        <f t="shared" si="8"/>
        <v>0</v>
      </c>
    </row>
    <row r="128" spans="1:13" x14ac:dyDescent="0.25">
      <c r="A128" s="198"/>
      <c r="G128" s="169"/>
      <c r="H128" s="181">
        <v>123</v>
      </c>
      <c r="I128" s="182" t="str">
        <f t="shared" si="6"/>
        <v/>
      </c>
      <c r="J128" s="182" t="e">
        <f t="shared" si="10"/>
        <v>#NUM!</v>
      </c>
      <c r="K128" s="181" t="e">
        <f t="shared" si="7"/>
        <v>#NUM!</v>
      </c>
      <c r="L128" s="181"/>
      <c r="M128" s="183">
        <f t="shared" si="8"/>
        <v>0</v>
      </c>
    </row>
    <row r="129" spans="1:13" x14ac:dyDescent="0.25">
      <c r="A129" s="198"/>
      <c r="G129" s="169"/>
      <c r="H129" s="181">
        <v>124</v>
      </c>
      <c r="I129" s="182" t="str">
        <f t="shared" si="6"/>
        <v/>
      </c>
      <c r="J129" s="182" t="e">
        <f t="shared" si="10"/>
        <v>#NUM!</v>
      </c>
      <c r="K129" s="181" t="e">
        <f t="shared" si="7"/>
        <v>#NUM!</v>
      </c>
      <c r="L129" s="181"/>
      <c r="M129" s="183">
        <f t="shared" si="8"/>
        <v>0</v>
      </c>
    </row>
    <row r="130" spans="1:13" x14ac:dyDescent="0.25">
      <c r="A130" s="198"/>
      <c r="G130" s="169"/>
      <c r="H130" s="181">
        <v>125</v>
      </c>
      <c r="I130" s="182" t="str">
        <f t="shared" si="6"/>
        <v/>
      </c>
      <c r="J130" s="182" t="e">
        <f t="shared" si="10"/>
        <v>#NUM!</v>
      </c>
      <c r="K130" s="181" t="e">
        <f t="shared" si="7"/>
        <v>#NUM!</v>
      </c>
      <c r="L130" s="181"/>
      <c r="M130" s="183">
        <f t="shared" si="8"/>
        <v>0</v>
      </c>
    </row>
    <row r="131" spans="1:13" x14ac:dyDescent="0.25">
      <c r="A131" s="198"/>
      <c r="G131" s="169"/>
      <c r="H131" s="181">
        <v>126</v>
      </c>
      <c r="I131" s="182" t="str">
        <f t="shared" si="6"/>
        <v/>
      </c>
      <c r="J131" s="182" t="e">
        <f t="shared" si="10"/>
        <v>#NUM!</v>
      </c>
      <c r="K131" s="181" t="e">
        <f t="shared" si="7"/>
        <v>#NUM!</v>
      </c>
      <c r="L131" s="181"/>
      <c r="M131" s="183">
        <f t="shared" si="8"/>
        <v>0</v>
      </c>
    </row>
    <row r="132" spans="1:13" x14ac:dyDescent="0.25">
      <c r="A132" s="198"/>
      <c r="G132" s="169"/>
      <c r="H132" s="181">
        <v>127</v>
      </c>
      <c r="I132" s="182" t="str">
        <f t="shared" si="6"/>
        <v/>
      </c>
      <c r="J132" s="182" t="e">
        <f t="shared" si="10"/>
        <v>#NUM!</v>
      </c>
      <c r="K132" s="181" t="e">
        <f t="shared" si="7"/>
        <v>#NUM!</v>
      </c>
      <c r="L132" s="181"/>
      <c r="M132" s="183">
        <f t="shared" si="8"/>
        <v>0</v>
      </c>
    </row>
    <row r="133" spans="1:13" x14ac:dyDescent="0.25">
      <c r="A133" s="198"/>
      <c r="G133" s="169"/>
      <c r="H133" s="181">
        <v>128</v>
      </c>
      <c r="I133" s="182" t="str">
        <f t="shared" si="6"/>
        <v/>
      </c>
      <c r="J133" s="182" t="e">
        <f t="shared" si="10"/>
        <v>#NUM!</v>
      </c>
      <c r="K133" s="181" t="e">
        <f t="shared" si="7"/>
        <v>#NUM!</v>
      </c>
      <c r="L133" s="181"/>
      <c r="M133" s="183">
        <f t="shared" si="8"/>
        <v>0</v>
      </c>
    </row>
    <row r="134" spans="1:13" x14ac:dyDescent="0.25">
      <c r="A134" s="198"/>
      <c r="G134" s="169"/>
      <c r="H134" s="181">
        <v>129</v>
      </c>
      <c r="I134" s="182" t="str">
        <f t="shared" ref="I134:I197" si="11">IF(H134&lt;$H$2+1,($I$2-($I$2-1)*(LOG(H134)/LOG($H$2))),"")</f>
        <v/>
      </c>
      <c r="J134" s="182" t="e">
        <f t="shared" si="10"/>
        <v>#NUM!</v>
      </c>
      <c r="K134" s="181" t="e">
        <f t="shared" ref="K134:K197" si="12">J134*$J$2</f>
        <v>#NUM!</v>
      </c>
      <c r="L134" s="181"/>
      <c r="M134" s="183">
        <f t="shared" ref="M134:M197" si="13">IF(I134&lt;&gt;"",K134+I134+L134,0)</f>
        <v>0</v>
      </c>
    </row>
    <row r="135" spans="1:13" x14ac:dyDescent="0.25">
      <c r="A135" s="198"/>
      <c r="G135" s="169"/>
      <c r="H135" s="181">
        <v>130</v>
      </c>
      <c r="I135" s="182" t="str">
        <f t="shared" si="11"/>
        <v/>
      </c>
      <c r="J135" s="182" t="e">
        <f t="shared" ref="J135:J198" si="14">INT(LOG($H$2,2))-ROUNDUP(LOG(H135,2),0)+IF(OR($H$2=1,$H$2=2,$H$2=4,$H$2=8,$H$2=16,$H$2=32,$H$2=64,$H$2=128,$H$2=256),0,1)</f>
        <v>#NUM!</v>
      </c>
      <c r="K135" s="181" t="e">
        <f t="shared" si="12"/>
        <v>#NUM!</v>
      </c>
      <c r="L135" s="181"/>
      <c r="M135" s="183">
        <f t="shared" si="13"/>
        <v>0</v>
      </c>
    </row>
    <row r="136" spans="1:13" x14ac:dyDescent="0.25">
      <c r="A136" s="198"/>
      <c r="G136" s="169"/>
      <c r="H136" s="181">
        <v>131</v>
      </c>
      <c r="I136" s="182" t="str">
        <f t="shared" si="11"/>
        <v/>
      </c>
      <c r="J136" s="182" t="e">
        <f t="shared" si="14"/>
        <v>#NUM!</v>
      </c>
      <c r="K136" s="181" t="e">
        <f t="shared" si="12"/>
        <v>#NUM!</v>
      </c>
      <c r="L136" s="181"/>
      <c r="M136" s="183">
        <f t="shared" si="13"/>
        <v>0</v>
      </c>
    </row>
    <row r="137" spans="1:13" x14ac:dyDescent="0.25">
      <c r="A137" s="198"/>
      <c r="G137" s="169"/>
      <c r="H137" s="181">
        <v>132</v>
      </c>
      <c r="I137" s="182" t="str">
        <f t="shared" si="11"/>
        <v/>
      </c>
      <c r="J137" s="182" t="e">
        <f t="shared" si="14"/>
        <v>#NUM!</v>
      </c>
      <c r="K137" s="181" t="e">
        <f t="shared" si="12"/>
        <v>#NUM!</v>
      </c>
      <c r="L137" s="181"/>
      <c r="M137" s="183">
        <f t="shared" si="13"/>
        <v>0</v>
      </c>
    </row>
    <row r="138" spans="1:13" x14ac:dyDescent="0.25">
      <c r="A138" s="198"/>
      <c r="G138" s="169"/>
      <c r="H138" s="181">
        <v>133</v>
      </c>
      <c r="I138" s="182" t="str">
        <f t="shared" si="11"/>
        <v/>
      </c>
      <c r="J138" s="182" t="e">
        <f t="shared" si="14"/>
        <v>#NUM!</v>
      </c>
      <c r="K138" s="181" t="e">
        <f t="shared" si="12"/>
        <v>#NUM!</v>
      </c>
      <c r="L138" s="181"/>
      <c r="M138" s="183">
        <f t="shared" si="13"/>
        <v>0</v>
      </c>
    </row>
    <row r="139" spans="1:13" x14ac:dyDescent="0.25">
      <c r="A139" s="198"/>
      <c r="G139" s="169"/>
      <c r="H139" s="181">
        <v>134</v>
      </c>
      <c r="I139" s="182" t="str">
        <f t="shared" si="11"/>
        <v/>
      </c>
      <c r="J139" s="182" t="e">
        <f t="shared" si="14"/>
        <v>#NUM!</v>
      </c>
      <c r="K139" s="181" t="e">
        <f t="shared" si="12"/>
        <v>#NUM!</v>
      </c>
      <c r="L139" s="181"/>
      <c r="M139" s="183">
        <f t="shared" si="13"/>
        <v>0</v>
      </c>
    </row>
    <row r="140" spans="1:13" x14ac:dyDescent="0.25">
      <c r="A140" s="198"/>
      <c r="G140" s="169"/>
      <c r="H140" s="181">
        <v>135</v>
      </c>
      <c r="I140" s="182" t="str">
        <f t="shared" si="11"/>
        <v/>
      </c>
      <c r="J140" s="182" t="e">
        <f t="shared" si="14"/>
        <v>#NUM!</v>
      </c>
      <c r="K140" s="181" t="e">
        <f t="shared" si="12"/>
        <v>#NUM!</v>
      </c>
      <c r="L140" s="181"/>
      <c r="M140" s="183">
        <f t="shared" si="13"/>
        <v>0</v>
      </c>
    </row>
    <row r="141" spans="1:13" x14ac:dyDescent="0.25">
      <c r="A141" s="198"/>
      <c r="G141" s="169"/>
      <c r="H141" s="181">
        <v>136</v>
      </c>
      <c r="I141" s="182" t="str">
        <f t="shared" si="11"/>
        <v/>
      </c>
      <c r="J141" s="182" t="e">
        <f t="shared" si="14"/>
        <v>#NUM!</v>
      </c>
      <c r="K141" s="181" t="e">
        <f t="shared" si="12"/>
        <v>#NUM!</v>
      </c>
      <c r="L141" s="181"/>
      <c r="M141" s="183">
        <f t="shared" si="13"/>
        <v>0</v>
      </c>
    </row>
    <row r="142" spans="1:13" x14ac:dyDescent="0.25">
      <c r="A142" s="198"/>
      <c r="G142" s="169"/>
      <c r="H142" s="181">
        <v>137</v>
      </c>
      <c r="I142" s="182" t="str">
        <f t="shared" si="11"/>
        <v/>
      </c>
      <c r="J142" s="182" t="e">
        <f t="shared" si="14"/>
        <v>#NUM!</v>
      </c>
      <c r="K142" s="181" t="e">
        <f t="shared" si="12"/>
        <v>#NUM!</v>
      </c>
      <c r="L142" s="181"/>
      <c r="M142" s="183">
        <f t="shared" si="13"/>
        <v>0</v>
      </c>
    </row>
    <row r="143" spans="1:13" x14ac:dyDescent="0.25">
      <c r="A143" s="198"/>
      <c r="G143" s="169"/>
      <c r="H143" s="181">
        <v>138</v>
      </c>
      <c r="I143" s="182" t="str">
        <f t="shared" si="11"/>
        <v/>
      </c>
      <c r="J143" s="182" t="e">
        <f t="shared" si="14"/>
        <v>#NUM!</v>
      </c>
      <c r="K143" s="181" t="e">
        <f t="shared" si="12"/>
        <v>#NUM!</v>
      </c>
      <c r="L143" s="181"/>
      <c r="M143" s="183">
        <f t="shared" si="13"/>
        <v>0</v>
      </c>
    </row>
    <row r="144" spans="1:13" x14ac:dyDescent="0.25">
      <c r="A144" s="198"/>
      <c r="G144" s="169"/>
      <c r="H144" s="181">
        <v>139</v>
      </c>
      <c r="I144" s="182" t="str">
        <f t="shared" si="11"/>
        <v/>
      </c>
      <c r="J144" s="182" t="e">
        <f t="shared" si="14"/>
        <v>#NUM!</v>
      </c>
      <c r="K144" s="181" t="e">
        <f t="shared" si="12"/>
        <v>#NUM!</v>
      </c>
      <c r="L144" s="181"/>
      <c r="M144" s="183">
        <f t="shared" si="13"/>
        <v>0</v>
      </c>
    </row>
    <row r="145" spans="1:13" x14ac:dyDescent="0.25">
      <c r="A145" s="198"/>
      <c r="G145" s="169"/>
      <c r="H145" s="181">
        <v>140</v>
      </c>
      <c r="I145" s="182" t="str">
        <f t="shared" si="11"/>
        <v/>
      </c>
      <c r="J145" s="182" t="e">
        <f t="shared" si="14"/>
        <v>#NUM!</v>
      </c>
      <c r="K145" s="181" t="e">
        <f t="shared" si="12"/>
        <v>#NUM!</v>
      </c>
      <c r="L145" s="181"/>
      <c r="M145" s="183">
        <f t="shared" si="13"/>
        <v>0</v>
      </c>
    </row>
    <row r="146" spans="1:13" x14ac:dyDescent="0.25">
      <c r="A146" s="198"/>
      <c r="G146" s="169"/>
      <c r="H146" s="181">
        <v>141</v>
      </c>
      <c r="I146" s="182" t="str">
        <f t="shared" si="11"/>
        <v/>
      </c>
      <c r="J146" s="182" t="e">
        <f t="shared" si="14"/>
        <v>#NUM!</v>
      </c>
      <c r="K146" s="181" t="e">
        <f t="shared" si="12"/>
        <v>#NUM!</v>
      </c>
      <c r="L146" s="181"/>
      <c r="M146" s="183">
        <f t="shared" si="13"/>
        <v>0</v>
      </c>
    </row>
    <row r="147" spans="1:13" x14ac:dyDescent="0.25">
      <c r="A147" s="198"/>
      <c r="G147" s="169"/>
      <c r="H147" s="181">
        <v>142</v>
      </c>
      <c r="I147" s="182" t="str">
        <f t="shared" si="11"/>
        <v/>
      </c>
      <c r="J147" s="182" t="e">
        <f t="shared" si="14"/>
        <v>#NUM!</v>
      </c>
      <c r="K147" s="181" t="e">
        <f t="shared" si="12"/>
        <v>#NUM!</v>
      </c>
      <c r="L147" s="181"/>
      <c r="M147" s="183">
        <f t="shared" si="13"/>
        <v>0</v>
      </c>
    </row>
    <row r="148" spans="1:13" x14ac:dyDescent="0.25">
      <c r="A148" s="198"/>
      <c r="G148" s="169"/>
      <c r="H148" s="181">
        <v>143</v>
      </c>
      <c r="I148" s="182" t="str">
        <f t="shared" si="11"/>
        <v/>
      </c>
      <c r="J148" s="182" t="e">
        <f t="shared" si="14"/>
        <v>#NUM!</v>
      </c>
      <c r="K148" s="181" t="e">
        <f t="shared" si="12"/>
        <v>#NUM!</v>
      </c>
      <c r="L148" s="181"/>
      <c r="M148" s="183">
        <f t="shared" si="13"/>
        <v>0</v>
      </c>
    </row>
    <row r="149" spans="1:13" x14ac:dyDescent="0.25">
      <c r="A149" s="198"/>
      <c r="G149" s="169"/>
      <c r="H149" s="181">
        <v>144</v>
      </c>
      <c r="I149" s="182" t="str">
        <f t="shared" si="11"/>
        <v/>
      </c>
      <c r="J149" s="182" t="e">
        <f t="shared" si="14"/>
        <v>#NUM!</v>
      </c>
      <c r="K149" s="181" t="e">
        <f t="shared" si="12"/>
        <v>#NUM!</v>
      </c>
      <c r="L149" s="181"/>
      <c r="M149" s="183">
        <f t="shared" si="13"/>
        <v>0</v>
      </c>
    </row>
    <row r="150" spans="1:13" x14ac:dyDescent="0.25">
      <c r="A150" s="198"/>
      <c r="G150" s="169"/>
      <c r="H150" s="181">
        <v>145</v>
      </c>
      <c r="I150" s="182" t="str">
        <f t="shared" si="11"/>
        <v/>
      </c>
      <c r="J150" s="182" t="e">
        <f t="shared" si="14"/>
        <v>#NUM!</v>
      </c>
      <c r="K150" s="181" t="e">
        <f t="shared" si="12"/>
        <v>#NUM!</v>
      </c>
      <c r="L150" s="181"/>
      <c r="M150" s="183">
        <f t="shared" si="13"/>
        <v>0</v>
      </c>
    </row>
    <row r="151" spans="1:13" x14ac:dyDescent="0.25">
      <c r="A151" s="198"/>
      <c r="G151" s="169"/>
      <c r="H151" s="181">
        <v>146</v>
      </c>
      <c r="I151" s="182" t="str">
        <f t="shared" si="11"/>
        <v/>
      </c>
      <c r="J151" s="182" t="e">
        <f t="shared" si="14"/>
        <v>#NUM!</v>
      </c>
      <c r="K151" s="181" t="e">
        <f t="shared" si="12"/>
        <v>#NUM!</v>
      </c>
      <c r="L151" s="181"/>
      <c r="M151" s="183">
        <f t="shared" si="13"/>
        <v>0</v>
      </c>
    </row>
    <row r="152" spans="1:13" x14ac:dyDescent="0.25">
      <c r="A152" s="198"/>
      <c r="G152" s="169"/>
      <c r="H152" s="181">
        <v>147</v>
      </c>
      <c r="I152" s="182" t="str">
        <f t="shared" si="11"/>
        <v/>
      </c>
      <c r="J152" s="182" t="e">
        <f t="shared" si="14"/>
        <v>#NUM!</v>
      </c>
      <c r="K152" s="181" t="e">
        <f t="shared" si="12"/>
        <v>#NUM!</v>
      </c>
      <c r="L152" s="181"/>
      <c r="M152" s="183">
        <f t="shared" si="13"/>
        <v>0</v>
      </c>
    </row>
    <row r="153" spans="1:13" x14ac:dyDescent="0.25">
      <c r="A153" s="198"/>
      <c r="G153" s="169"/>
      <c r="H153" s="181">
        <v>148</v>
      </c>
      <c r="I153" s="182" t="str">
        <f t="shared" si="11"/>
        <v/>
      </c>
      <c r="J153" s="182" t="e">
        <f t="shared" si="14"/>
        <v>#NUM!</v>
      </c>
      <c r="K153" s="181" t="e">
        <f t="shared" si="12"/>
        <v>#NUM!</v>
      </c>
      <c r="L153" s="181"/>
      <c r="M153" s="183">
        <f t="shared" si="13"/>
        <v>0</v>
      </c>
    </row>
    <row r="154" spans="1:13" x14ac:dyDescent="0.25">
      <c r="A154" s="198"/>
      <c r="G154" s="169"/>
      <c r="H154" s="181">
        <v>149</v>
      </c>
      <c r="I154" s="182" t="str">
        <f t="shared" si="11"/>
        <v/>
      </c>
      <c r="J154" s="182" t="e">
        <f t="shared" si="14"/>
        <v>#NUM!</v>
      </c>
      <c r="K154" s="181" t="e">
        <f t="shared" si="12"/>
        <v>#NUM!</v>
      </c>
      <c r="L154" s="181"/>
      <c r="M154" s="183">
        <f t="shared" si="13"/>
        <v>0</v>
      </c>
    </row>
    <row r="155" spans="1:13" x14ac:dyDescent="0.25">
      <c r="A155" s="198"/>
      <c r="G155" s="169"/>
      <c r="H155" s="181">
        <v>150</v>
      </c>
      <c r="I155" s="182" t="str">
        <f t="shared" si="11"/>
        <v/>
      </c>
      <c r="J155" s="182" t="e">
        <f t="shared" si="14"/>
        <v>#NUM!</v>
      </c>
      <c r="K155" s="181" t="e">
        <f t="shared" si="12"/>
        <v>#NUM!</v>
      </c>
      <c r="L155" s="181"/>
      <c r="M155" s="183">
        <f t="shared" si="13"/>
        <v>0</v>
      </c>
    </row>
    <row r="156" spans="1:13" x14ac:dyDescent="0.25">
      <c r="A156" s="198"/>
      <c r="G156" s="169"/>
      <c r="H156" s="181">
        <v>151</v>
      </c>
      <c r="I156" s="182" t="str">
        <f t="shared" si="11"/>
        <v/>
      </c>
      <c r="J156" s="182" t="e">
        <f t="shared" si="14"/>
        <v>#NUM!</v>
      </c>
      <c r="K156" s="181" t="e">
        <f t="shared" si="12"/>
        <v>#NUM!</v>
      </c>
      <c r="L156" s="181"/>
      <c r="M156" s="183">
        <f t="shared" si="13"/>
        <v>0</v>
      </c>
    </row>
    <row r="157" spans="1:13" x14ac:dyDescent="0.25">
      <c r="A157" s="198"/>
      <c r="G157" s="169"/>
      <c r="H157" s="181">
        <v>152</v>
      </c>
      <c r="I157" s="182" t="str">
        <f t="shared" si="11"/>
        <v/>
      </c>
      <c r="J157" s="182" t="e">
        <f t="shared" si="14"/>
        <v>#NUM!</v>
      </c>
      <c r="K157" s="181" t="e">
        <f t="shared" si="12"/>
        <v>#NUM!</v>
      </c>
      <c r="L157" s="181"/>
      <c r="M157" s="183">
        <f t="shared" si="13"/>
        <v>0</v>
      </c>
    </row>
    <row r="158" spans="1:13" x14ac:dyDescent="0.25">
      <c r="A158" s="198"/>
      <c r="G158" s="169"/>
      <c r="H158" s="181">
        <v>153</v>
      </c>
      <c r="I158" s="182" t="str">
        <f t="shared" si="11"/>
        <v/>
      </c>
      <c r="J158" s="182" t="e">
        <f t="shared" si="14"/>
        <v>#NUM!</v>
      </c>
      <c r="K158" s="181" t="e">
        <f t="shared" si="12"/>
        <v>#NUM!</v>
      </c>
      <c r="L158" s="181"/>
      <c r="M158" s="183">
        <f t="shared" si="13"/>
        <v>0</v>
      </c>
    </row>
    <row r="159" spans="1:13" x14ac:dyDescent="0.25">
      <c r="A159" s="198"/>
      <c r="G159" s="169"/>
      <c r="H159" s="181">
        <v>154</v>
      </c>
      <c r="I159" s="182" t="str">
        <f t="shared" si="11"/>
        <v/>
      </c>
      <c r="J159" s="182" t="e">
        <f t="shared" si="14"/>
        <v>#NUM!</v>
      </c>
      <c r="K159" s="181" t="e">
        <f t="shared" si="12"/>
        <v>#NUM!</v>
      </c>
      <c r="L159" s="181"/>
      <c r="M159" s="183">
        <f t="shared" si="13"/>
        <v>0</v>
      </c>
    </row>
    <row r="160" spans="1:13" x14ac:dyDescent="0.25">
      <c r="A160" s="198"/>
      <c r="G160" s="169"/>
      <c r="H160" s="181">
        <v>155</v>
      </c>
      <c r="I160" s="182" t="str">
        <f t="shared" si="11"/>
        <v/>
      </c>
      <c r="J160" s="182" t="e">
        <f t="shared" si="14"/>
        <v>#NUM!</v>
      </c>
      <c r="K160" s="181" t="e">
        <f t="shared" si="12"/>
        <v>#NUM!</v>
      </c>
      <c r="L160" s="181"/>
      <c r="M160" s="183">
        <f t="shared" si="13"/>
        <v>0</v>
      </c>
    </row>
    <row r="161" spans="1:13" x14ac:dyDescent="0.25">
      <c r="A161" s="198"/>
      <c r="G161" s="169"/>
      <c r="H161" s="181">
        <v>156</v>
      </c>
      <c r="I161" s="182" t="str">
        <f t="shared" si="11"/>
        <v/>
      </c>
      <c r="J161" s="182" t="e">
        <f t="shared" si="14"/>
        <v>#NUM!</v>
      </c>
      <c r="K161" s="181" t="e">
        <f t="shared" si="12"/>
        <v>#NUM!</v>
      </c>
      <c r="L161" s="181"/>
      <c r="M161" s="183">
        <f t="shared" si="13"/>
        <v>0</v>
      </c>
    </row>
    <row r="162" spans="1:13" x14ac:dyDescent="0.25">
      <c r="A162" s="198"/>
      <c r="G162" s="169"/>
      <c r="H162" s="181">
        <v>157</v>
      </c>
      <c r="I162" s="182" t="str">
        <f t="shared" si="11"/>
        <v/>
      </c>
      <c r="J162" s="182" t="e">
        <f t="shared" si="14"/>
        <v>#NUM!</v>
      </c>
      <c r="K162" s="181" t="e">
        <f t="shared" si="12"/>
        <v>#NUM!</v>
      </c>
      <c r="L162" s="181"/>
      <c r="M162" s="183">
        <f t="shared" si="13"/>
        <v>0</v>
      </c>
    </row>
    <row r="163" spans="1:13" x14ac:dyDescent="0.25">
      <c r="A163" s="198"/>
      <c r="G163" s="169"/>
      <c r="H163" s="181">
        <v>158</v>
      </c>
      <c r="I163" s="182" t="str">
        <f t="shared" si="11"/>
        <v/>
      </c>
      <c r="J163" s="182" t="e">
        <f t="shared" si="14"/>
        <v>#NUM!</v>
      </c>
      <c r="K163" s="181" t="e">
        <f t="shared" si="12"/>
        <v>#NUM!</v>
      </c>
      <c r="L163" s="181"/>
      <c r="M163" s="183">
        <f t="shared" si="13"/>
        <v>0</v>
      </c>
    </row>
    <row r="164" spans="1:13" x14ac:dyDescent="0.25">
      <c r="A164" s="198"/>
      <c r="G164" s="169"/>
      <c r="H164" s="181">
        <v>159</v>
      </c>
      <c r="I164" s="182" t="str">
        <f t="shared" si="11"/>
        <v/>
      </c>
      <c r="J164" s="182" t="e">
        <f t="shared" si="14"/>
        <v>#NUM!</v>
      </c>
      <c r="K164" s="181" t="e">
        <f t="shared" si="12"/>
        <v>#NUM!</v>
      </c>
      <c r="L164" s="181"/>
      <c r="M164" s="183">
        <f t="shared" si="13"/>
        <v>0</v>
      </c>
    </row>
    <row r="165" spans="1:13" x14ac:dyDescent="0.25">
      <c r="A165" s="198"/>
      <c r="G165" s="169"/>
      <c r="H165" s="181">
        <v>160</v>
      </c>
      <c r="I165" s="182" t="str">
        <f t="shared" si="11"/>
        <v/>
      </c>
      <c r="J165" s="182" t="e">
        <f t="shared" si="14"/>
        <v>#NUM!</v>
      </c>
      <c r="K165" s="181" t="e">
        <f t="shared" si="12"/>
        <v>#NUM!</v>
      </c>
      <c r="L165" s="181"/>
      <c r="M165" s="183">
        <f t="shared" si="13"/>
        <v>0</v>
      </c>
    </row>
    <row r="166" spans="1:13" x14ac:dyDescent="0.25">
      <c r="A166" s="198"/>
      <c r="G166" s="169"/>
      <c r="H166" s="181">
        <v>161</v>
      </c>
      <c r="I166" s="182" t="str">
        <f t="shared" si="11"/>
        <v/>
      </c>
      <c r="J166" s="182" t="e">
        <f t="shared" si="14"/>
        <v>#NUM!</v>
      </c>
      <c r="K166" s="181" t="e">
        <f t="shared" si="12"/>
        <v>#NUM!</v>
      </c>
      <c r="L166" s="181"/>
      <c r="M166" s="183">
        <f t="shared" si="13"/>
        <v>0</v>
      </c>
    </row>
    <row r="167" spans="1:13" x14ac:dyDescent="0.25">
      <c r="A167" s="198"/>
      <c r="G167" s="169"/>
      <c r="H167" s="181">
        <v>162</v>
      </c>
      <c r="I167" s="182" t="str">
        <f t="shared" si="11"/>
        <v/>
      </c>
      <c r="J167" s="182" t="e">
        <f t="shared" si="14"/>
        <v>#NUM!</v>
      </c>
      <c r="K167" s="181" t="e">
        <f t="shared" si="12"/>
        <v>#NUM!</v>
      </c>
      <c r="L167" s="181"/>
      <c r="M167" s="183">
        <f t="shared" si="13"/>
        <v>0</v>
      </c>
    </row>
    <row r="168" spans="1:13" x14ac:dyDescent="0.25">
      <c r="A168" s="198"/>
      <c r="G168" s="169"/>
      <c r="H168" s="181">
        <v>163</v>
      </c>
      <c r="I168" s="182" t="str">
        <f t="shared" si="11"/>
        <v/>
      </c>
      <c r="J168" s="182" t="e">
        <f t="shared" si="14"/>
        <v>#NUM!</v>
      </c>
      <c r="K168" s="181" t="e">
        <f t="shared" si="12"/>
        <v>#NUM!</v>
      </c>
      <c r="L168" s="181"/>
      <c r="M168" s="183">
        <f t="shared" si="13"/>
        <v>0</v>
      </c>
    </row>
    <row r="169" spans="1:13" x14ac:dyDescent="0.25">
      <c r="A169" s="198"/>
      <c r="C169" s="197" t="s">
        <v>54</v>
      </c>
      <c r="G169" s="169"/>
      <c r="H169" s="181">
        <v>164</v>
      </c>
      <c r="I169" s="182" t="str">
        <f t="shared" si="11"/>
        <v/>
      </c>
      <c r="J169" s="182" t="e">
        <f t="shared" si="14"/>
        <v>#NUM!</v>
      </c>
      <c r="K169" s="181" t="e">
        <f t="shared" si="12"/>
        <v>#NUM!</v>
      </c>
      <c r="L169" s="181"/>
      <c r="M169" s="183">
        <f t="shared" si="13"/>
        <v>0</v>
      </c>
    </row>
    <row r="170" spans="1:13" x14ac:dyDescent="0.25">
      <c r="A170" s="198"/>
      <c r="G170" s="169"/>
      <c r="H170" s="181">
        <v>165</v>
      </c>
      <c r="I170" s="182" t="str">
        <f t="shared" si="11"/>
        <v/>
      </c>
      <c r="J170" s="182" t="e">
        <f t="shared" si="14"/>
        <v>#NUM!</v>
      </c>
      <c r="K170" s="181" t="e">
        <f t="shared" si="12"/>
        <v>#NUM!</v>
      </c>
      <c r="L170" s="181"/>
      <c r="M170" s="183">
        <f t="shared" si="13"/>
        <v>0</v>
      </c>
    </row>
    <row r="171" spans="1:13" x14ac:dyDescent="0.25">
      <c r="A171" s="198"/>
      <c r="G171" s="169"/>
      <c r="H171" s="181">
        <v>166</v>
      </c>
      <c r="I171" s="182" t="str">
        <f t="shared" si="11"/>
        <v/>
      </c>
      <c r="J171" s="182" t="e">
        <f t="shared" si="14"/>
        <v>#NUM!</v>
      </c>
      <c r="K171" s="181" t="e">
        <f t="shared" si="12"/>
        <v>#NUM!</v>
      </c>
      <c r="L171" s="181"/>
      <c r="M171" s="183">
        <f t="shared" si="13"/>
        <v>0</v>
      </c>
    </row>
    <row r="172" spans="1:13" x14ac:dyDescent="0.25">
      <c r="A172" s="198"/>
      <c r="G172" s="169"/>
      <c r="H172" s="181">
        <v>167</v>
      </c>
      <c r="I172" s="182" t="str">
        <f t="shared" si="11"/>
        <v/>
      </c>
      <c r="J172" s="182" t="e">
        <f t="shared" si="14"/>
        <v>#NUM!</v>
      </c>
      <c r="K172" s="181" t="e">
        <f t="shared" si="12"/>
        <v>#NUM!</v>
      </c>
      <c r="L172" s="181"/>
      <c r="M172" s="183">
        <f t="shared" si="13"/>
        <v>0</v>
      </c>
    </row>
    <row r="173" spans="1:13" x14ac:dyDescent="0.25">
      <c r="A173" s="198"/>
      <c r="G173" s="169"/>
      <c r="H173" s="181">
        <v>168</v>
      </c>
      <c r="I173" s="182" t="str">
        <f t="shared" si="11"/>
        <v/>
      </c>
      <c r="J173" s="182" t="e">
        <f t="shared" si="14"/>
        <v>#NUM!</v>
      </c>
      <c r="K173" s="181" t="e">
        <f t="shared" si="12"/>
        <v>#NUM!</v>
      </c>
      <c r="L173" s="181"/>
      <c r="M173" s="183">
        <f t="shared" si="13"/>
        <v>0</v>
      </c>
    </row>
    <row r="174" spans="1:13" x14ac:dyDescent="0.25">
      <c r="A174" s="198"/>
      <c r="G174" s="169"/>
      <c r="H174" s="181">
        <v>169</v>
      </c>
      <c r="I174" s="182" t="str">
        <f t="shared" si="11"/>
        <v/>
      </c>
      <c r="J174" s="182" t="e">
        <f t="shared" si="14"/>
        <v>#NUM!</v>
      </c>
      <c r="K174" s="181" t="e">
        <f t="shared" si="12"/>
        <v>#NUM!</v>
      </c>
      <c r="L174" s="181"/>
      <c r="M174" s="183">
        <f t="shared" si="13"/>
        <v>0</v>
      </c>
    </row>
    <row r="175" spans="1:13" x14ac:dyDescent="0.25">
      <c r="A175" s="198"/>
      <c r="G175" s="169"/>
      <c r="H175" s="181">
        <v>170</v>
      </c>
      <c r="I175" s="182" t="str">
        <f t="shared" si="11"/>
        <v/>
      </c>
      <c r="J175" s="182" t="e">
        <f t="shared" si="14"/>
        <v>#NUM!</v>
      </c>
      <c r="K175" s="181" t="e">
        <f t="shared" si="12"/>
        <v>#NUM!</v>
      </c>
      <c r="L175" s="181"/>
      <c r="M175" s="183">
        <f t="shared" si="13"/>
        <v>0</v>
      </c>
    </row>
    <row r="176" spans="1:13" x14ac:dyDescent="0.25">
      <c r="A176" s="198"/>
      <c r="G176" s="169"/>
      <c r="H176" s="181">
        <v>171</v>
      </c>
      <c r="I176" s="182" t="str">
        <f t="shared" si="11"/>
        <v/>
      </c>
      <c r="J176" s="182" t="e">
        <f t="shared" si="14"/>
        <v>#NUM!</v>
      </c>
      <c r="K176" s="181" t="e">
        <f t="shared" si="12"/>
        <v>#NUM!</v>
      </c>
      <c r="L176" s="181"/>
      <c r="M176" s="183">
        <f t="shared" si="13"/>
        <v>0</v>
      </c>
    </row>
    <row r="177" spans="1:13" x14ac:dyDescent="0.25">
      <c r="A177" s="198"/>
      <c r="G177" s="169"/>
      <c r="H177" s="181">
        <v>172</v>
      </c>
      <c r="I177" s="182" t="str">
        <f t="shared" si="11"/>
        <v/>
      </c>
      <c r="J177" s="182" t="e">
        <f t="shared" si="14"/>
        <v>#NUM!</v>
      </c>
      <c r="K177" s="181" t="e">
        <f t="shared" si="12"/>
        <v>#NUM!</v>
      </c>
      <c r="L177" s="181"/>
      <c r="M177" s="183">
        <f t="shared" si="13"/>
        <v>0</v>
      </c>
    </row>
    <row r="178" spans="1:13" x14ac:dyDescent="0.25">
      <c r="A178" s="198"/>
      <c r="G178" s="169"/>
      <c r="H178" s="181">
        <v>173</v>
      </c>
      <c r="I178" s="182" t="str">
        <f t="shared" si="11"/>
        <v/>
      </c>
      <c r="J178" s="182" t="e">
        <f t="shared" si="14"/>
        <v>#NUM!</v>
      </c>
      <c r="K178" s="181" t="e">
        <f t="shared" si="12"/>
        <v>#NUM!</v>
      </c>
      <c r="L178" s="181"/>
      <c r="M178" s="183">
        <f t="shared" si="13"/>
        <v>0</v>
      </c>
    </row>
    <row r="179" spans="1:13" x14ac:dyDescent="0.25">
      <c r="A179" s="198"/>
      <c r="G179" s="169"/>
      <c r="H179" s="181">
        <v>174</v>
      </c>
      <c r="I179" s="182" t="str">
        <f t="shared" si="11"/>
        <v/>
      </c>
      <c r="J179" s="182" t="e">
        <f t="shared" si="14"/>
        <v>#NUM!</v>
      </c>
      <c r="K179" s="181" t="e">
        <f t="shared" si="12"/>
        <v>#NUM!</v>
      </c>
      <c r="L179" s="181"/>
      <c r="M179" s="183">
        <f t="shared" si="13"/>
        <v>0</v>
      </c>
    </row>
    <row r="180" spans="1:13" x14ac:dyDescent="0.25">
      <c r="A180" s="198"/>
      <c r="G180" s="169"/>
      <c r="H180" s="181">
        <v>175</v>
      </c>
      <c r="I180" s="182" t="str">
        <f t="shared" si="11"/>
        <v/>
      </c>
      <c r="J180" s="182" t="e">
        <f t="shared" si="14"/>
        <v>#NUM!</v>
      </c>
      <c r="K180" s="181" t="e">
        <f t="shared" si="12"/>
        <v>#NUM!</v>
      </c>
      <c r="L180" s="181"/>
      <c r="M180" s="183">
        <f t="shared" si="13"/>
        <v>0</v>
      </c>
    </row>
    <row r="181" spans="1:13" x14ac:dyDescent="0.25">
      <c r="A181" s="198"/>
      <c r="G181" s="169"/>
      <c r="H181" s="181">
        <v>176</v>
      </c>
      <c r="I181" s="182" t="str">
        <f t="shared" si="11"/>
        <v/>
      </c>
      <c r="J181" s="182" t="e">
        <f t="shared" si="14"/>
        <v>#NUM!</v>
      </c>
      <c r="K181" s="181" t="e">
        <f t="shared" si="12"/>
        <v>#NUM!</v>
      </c>
      <c r="L181" s="181"/>
      <c r="M181" s="183">
        <f t="shared" si="13"/>
        <v>0</v>
      </c>
    </row>
    <row r="182" spans="1:13" x14ac:dyDescent="0.25">
      <c r="A182" s="198"/>
      <c r="G182" s="169"/>
      <c r="H182" s="181">
        <v>177</v>
      </c>
      <c r="I182" s="182" t="str">
        <f t="shared" si="11"/>
        <v/>
      </c>
      <c r="J182" s="182" t="e">
        <f t="shared" si="14"/>
        <v>#NUM!</v>
      </c>
      <c r="K182" s="181" t="e">
        <f t="shared" si="12"/>
        <v>#NUM!</v>
      </c>
      <c r="L182" s="181"/>
      <c r="M182" s="183">
        <f t="shared" si="13"/>
        <v>0</v>
      </c>
    </row>
    <row r="183" spans="1:13" x14ac:dyDescent="0.25">
      <c r="A183" s="198"/>
      <c r="G183" s="169"/>
      <c r="H183" s="181">
        <v>178</v>
      </c>
      <c r="I183" s="182" t="str">
        <f t="shared" si="11"/>
        <v/>
      </c>
      <c r="J183" s="182" t="e">
        <f t="shared" si="14"/>
        <v>#NUM!</v>
      </c>
      <c r="K183" s="181" t="e">
        <f t="shared" si="12"/>
        <v>#NUM!</v>
      </c>
      <c r="L183" s="181"/>
      <c r="M183" s="183">
        <f t="shared" si="13"/>
        <v>0</v>
      </c>
    </row>
    <row r="184" spans="1:13" x14ac:dyDescent="0.25">
      <c r="A184" s="198"/>
      <c r="G184" s="169"/>
      <c r="H184" s="181">
        <v>179</v>
      </c>
      <c r="I184" s="182" t="str">
        <f t="shared" si="11"/>
        <v/>
      </c>
      <c r="J184" s="182" t="e">
        <f t="shared" si="14"/>
        <v>#NUM!</v>
      </c>
      <c r="K184" s="181" t="e">
        <f t="shared" si="12"/>
        <v>#NUM!</v>
      </c>
      <c r="L184" s="181"/>
      <c r="M184" s="183">
        <f t="shared" si="13"/>
        <v>0</v>
      </c>
    </row>
    <row r="185" spans="1:13" x14ac:dyDescent="0.25">
      <c r="A185" s="198"/>
      <c r="G185" s="169"/>
      <c r="H185" s="181">
        <v>180</v>
      </c>
      <c r="I185" s="182" t="str">
        <f t="shared" si="11"/>
        <v/>
      </c>
      <c r="J185" s="182" t="e">
        <f t="shared" si="14"/>
        <v>#NUM!</v>
      </c>
      <c r="K185" s="181" t="e">
        <f t="shared" si="12"/>
        <v>#NUM!</v>
      </c>
      <c r="L185" s="181"/>
      <c r="M185" s="183">
        <f t="shared" si="13"/>
        <v>0</v>
      </c>
    </row>
    <row r="186" spans="1:13" x14ac:dyDescent="0.25">
      <c r="A186" s="198"/>
      <c r="G186" s="169"/>
      <c r="H186" s="181">
        <v>181</v>
      </c>
      <c r="I186" s="182" t="str">
        <f t="shared" si="11"/>
        <v/>
      </c>
      <c r="J186" s="182" t="e">
        <f t="shared" si="14"/>
        <v>#NUM!</v>
      </c>
      <c r="K186" s="181" t="e">
        <f t="shared" si="12"/>
        <v>#NUM!</v>
      </c>
      <c r="L186" s="181"/>
      <c r="M186" s="183">
        <f t="shared" si="13"/>
        <v>0</v>
      </c>
    </row>
    <row r="187" spans="1:13" x14ac:dyDescent="0.25">
      <c r="A187" s="198"/>
      <c r="G187" s="169"/>
      <c r="H187" s="181">
        <v>182</v>
      </c>
      <c r="I187" s="182" t="str">
        <f t="shared" si="11"/>
        <v/>
      </c>
      <c r="J187" s="182" t="e">
        <f t="shared" si="14"/>
        <v>#NUM!</v>
      </c>
      <c r="K187" s="181" t="e">
        <f t="shared" si="12"/>
        <v>#NUM!</v>
      </c>
      <c r="L187" s="181"/>
      <c r="M187" s="183">
        <f t="shared" si="13"/>
        <v>0</v>
      </c>
    </row>
    <row r="188" spans="1:13" x14ac:dyDescent="0.25">
      <c r="A188" s="198"/>
      <c r="G188" s="169"/>
      <c r="H188" s="181">
        <v>183</v>
      </c>
      <c r="I188" s="182" t="str">
        <f t="shared" si="11"/>
        <v/>
      </c>
      <c r="J188" s="182" t="e">
        <f t="shared" si="14"/>
        <v>#NUM!</v>
      </c>
      <c r="K188" s="181" t="e">
        <f t="shared" si="12"/>
        <v>#NUM!</v>
      </c>
      <c r="L188" s="181"/>
      <c r="M188" s="183">
        <f t="shared" si="13"/>
        <v>0</v>
      </c>
    </row>
    <row r="189" spans="1:13" x14ac:dyDescent="0.25">
      <c r="A189" s="198"/>
      <c r="G189" s="169"/>
      <c r="H189" s="181">
        <v>184</v>
      </c>
      <c r="I189" s="182" t="str">
        <f t="shared" si="11"/>
        <v/>
      </c>
      <c r="J189" s="182" t="e">
        <f t="shared" si="14"/>
        <v>#NUM!</v>
      </c>
      <c r="K189" s="181" t="e">
        <f t="shared" si="12"/>
        <v>#NUM!</v>
      </c>
      <c r="L189" s="181"/>
      <c r="M189" s="183">
        <f t="shared" si="13"/>
        <v>0</v>
      </c>
    </row>
    <row r="190" spans="1:13" x14ac:dyDescent="0.25">
      <c r="A190" s="198"/>
      <c r="G190" s="169"/>
      <c r="H190" s="181">
        <v>185</v>
      </c>
      <c r="I190" s="182" t="str">
        <f t="shared" si="11"/>
        <v/>
      </c>
      <c r="J190" s="182" t="e">
        <f t="shared" si="14"/>
        <v>#NUM!</v>
      </c>
      <c r="K190" s="181" t="e">
        <f t="shared" si="12"/>
        <v>#NUM!</v>
      </c>
      <c r="L190" s="181"/>
      <c r="M190" s="183">
        <f t="shared" si="13"/>
        <v>0</v>
      </c>
    </row>
    <row r="191" spans="1:13" x14ac:dyDescent="0.25">
      <c r="A191" s="198"/>
      <c r="G191" s="169"/>
      <c r="H191" s="181">
        <v>186</v>
      </c>
      <c r="I191" s="182" t="str">
        <f t="shared" si="11"/>
        <v/>
      </c>
      <c r="J191" s="182" t="e">
        <f t="shared" si="14"/>
        <v>#NUM!</v>
      </c>
      <c r="K191" s="181" t="e">
        <f t="shared" si="12"/>
        <v>#NUM!</v>
      </c>
      <c r="L191" s="181"/>
      <c r="M191" s="183">
        <f t="shared" si="13"/>
        <v>0</v>
      </c>
    </row>
    <row r="192" spans="1:13" x14ac:dyDescent="0.25">
      <c r="A192" s="198"/>
      <c r="G192" s="169"/>
      <c r="H192" s="181">
        <v>187</v>
      </c>
      <c r="I192" s="182" t="str">
        <f t="shared" si="11"/>
        <v/>
      </c>
      <c r="J192" s="182" t="e">
        <f t="shared" si="14"/>
        <v>#NUM!</v>
      </c>
      <c r="K192" s="181" t="e">
        <f t="shared" si="12"/>
        <v>#NUM!</v>
      </c>
      <c r="L192" s="181"/>
      <c r="M192" s="183">
        <f t="shared" si="13"/>
        <v>0</v>
      </c>
    </row>
    <row r="193" spans="1:13" x14ac:dyDescent="0.25">
      <c r="A193" s="198"/>
      <c r="G193" s="169"/>
      <c r="H193" s="181">
        <v>188</v>
      </c>
      <c r="I193" s="182" t="str">
        <f t="shared" si="11"/>
        <v/>
      </c>
      <c r="J193" s="182" t="e">
        <f t="shared" si="14"/>
        <v>#NUM!</v>
      </c>
      <c r="K193" s="181" t="e">
        <f t="shared" si="12"/>
        <v>#NUM!</v>
      </c>
      <c r="L193" s="181"/>
      <c r="M193" s="183">
        <f t="shared" si="13"/>
        <v>0</v>
      </c>
    </row>
    <row r="194" spans="1:13" x14ac:dyDescent="0.25">
      <c r="A194" s="198"/>
      <c r="G194" s="169"/>
      <c r="H194" s="181">
        <v>189</v>
      </c>
      <c r="I194" s="182" t="str">
        <f t="shared" si="11"/>
        <v/>
      </c>
      <c r="J194" s="182" t="e">
        <f t="shared" si="14"/>
        <v>#NUM!</v>
      </c>
      <c r="K194" s="181" t="e">
        <f t="shared" si="12"/>
        <v>#NUM!</v>
      </c>
      <c r="L194" s="181"/>
      <c r="M194" s="183">
        <f t="shared" si="13"/>
        <v>0</v>
      </c>
    </row>
    <row r="195" spans="1:13" x14ac:dyDescent="0.25">
      <c r="A195" s="198"/>
      <c r="G195" s="169"/>
      <c r="H195" s="181">
        <v>190</v>
      </c>
      <c r="I195" s="182" t="str">
        <f t="shared" si="11"/>
        <v/>
      </c>
      <c r="J195" s="182" t="e">
        <f t="shared" si="14"/>
        <v>#NUM!</v>
      </c>
      <c r="K195" s="181" t="e">
        <f t="shared" si="12"/>
        <v>#NUM!</v>
      </c>
      <c r="L195" s="181"/>
      <c r="M195" s="183">
        <f t="shared" si="13"/>
        <v>0</v>
      </c>
    </row>
    <row r="196" spans="1:13" x14ac:dyDescent="0.25">
      <c r="A196" s="198"/>
      <c r="G196" s="169"/>
      <c r="H196" s="181">
        <v>191</v>
      </c>
      <c r="I196" s="182" t="str">
        <f t="shared" si="11"/>
        <v/>
      </c>
      <c r="J196" s="182" t="e">
        <f t="shared" si="14"/>
        <v>#NUM!</v>
      </c>
      <c r="K196" s="181" t="e">
        <f t="shared" si="12"/>
        <v>#NUM!</v>
      </c>
      <c r="L196" s="181"/>
      <c r="M196" s="183">
        <f t="shared" si="13"/>
        <v>0</v>
      </c>
    </row>
    <row r="197" spans="1:13" x14ac:dyDescent="0.25">
      <c r="A197" s="198"/>
      <c r="G197" s="169"/>
      <c r="H197" s="181">
        <v>192</v>
      </c>
      <c r="I197" s="182" t="str">
        <f t="shared" si="11"/>
        <v/>
      </c>
      <c r="J197" s="182" t="e">
        <f t="shared" si="14"/>
        <v>#NUM!</v>
      </c>
      <c r="K197" s="181" t="e">
        <f t="shared" si="12"/>
        <v>#NUM!</v>
      </c>
      <c r="L197" s="181"/>
      <c r="M197" s="183">
        <f t="shared" si="13"/>
        <v>0</v>
      </c>
    </row>
    <row r="198" spans="1:13" x14ac:dyDescent="0.25">
      <c r="A198" s="198"/>
      <c r="G198" s="169"/>
      <c r="H198" s="181">
        <v>193</v>
      </c>
      <c r="I198" s="182" t="str">
        <f t="shared" ref="I198:I261" si="15">IF(H198&lt;$H$2+1,($I$2-($I$2-1)*(LOG(H198)/LOG($H$2))),"")</f>
        <v/>
      </c>
      <c r="J198" s="182" t="e">
        <f t="shared" si="14"/>
        <v>#NUM!</v>
      </c>
      <c r="K198" s="181" t="e">
        <f t="shared" ref="K198:K261" si="16">J198*$J$2</f>
        <v>#NUM!</v>
      </c>
      <c r="L198" s="181"/>
      <c r="M198" s="183">
        <f t="shared" ref="M198:M261" si="17">IF(I198&lt;&gt;"",K198+I198+L198,0)</f>
        <v>0</v>
      </c>
    </row>
    <row r="199" spans="1:13" x14ac:dyDescent="0.25">
      <c r="A199" s="198"/>
      <c r="G199" s="169"/>
      <c r="H199" s="181">
        <v>194</v>
      </c>
      <c r="I199" s="182" t="str">
        <f t="shared" si="15"/>
        <v/>
      </c>
      <c r="J199" s="182" t="e">
        <f t="shared" ref="J199:J262" si="18">INT(LOG($H$2,2))-ROUNDUP(LOG(H199,2),0)+IF(OR($H$2=1,$H$2=2,$H$2=4,$H$2=8,$H$2=16,$H$2=32,$H$2=64,$H$2=128,$H$2=256),0,1)</f>
        <v>#NUM!</v>
      </c>
      <c r="K199" s="181" t="e">
        <f t="shared" si="16"/>
        <v>#NUM!</v>
      </c>
      <c r="L199" s="181"/>
      <c r="M199" s="183">
        <f t="shared" si="17"/>
        <v>0</v>
      </c>
    </row>
    <row r="200" spans="1:13" x14ac:dyDescent="0.25">
      <c r="A200" s="198"/>
      <c r="G200" s="169"/>
      <c r="H200" s="181">
        <v>195</v>
      </c>
      <c r="I200" s="182" t="str">
        <f t="shared" si="15"/>
        <v/>
      </c>
      <c r="J200" s="182" t="e">
        <f t="shared" si="18"/>
        <v>#NUM!</v>
      </c>
      <c r="K200" s="181" t="e">
        <f t="shared" si="16"/>
        <v>#NUM!</v>
      </c>
      <c r="L200" s="181"/>
      <c r="M200" s="183">
        <f t="shared" si="17"/>
        <v>0</v>
      </c>
    </row>
    <row r="201" spans="1:13" x14ac:dyDescent="0.25">
      <c r="A201" s="198"/>
      <c r="G201" s="169"/>
      <c r="H201" s="181">
        <v>196</v>
      </c>
      <c r="I201" s="182" t="str">
        <f t="shared" si="15"/>
        <v/>
      </c>
      <c r="J201" s="182" t="e">
        <f t="shared" si="18"/>
        <v>#NUM!</v>
      </c>
      <c r="K201" s="181" t="e">
        <f t="shared" si="16"/>
        <v>#NUM!</v>
      </c>
      <c r="L201" s="181"/>
      <c r="M201" s="183">
        <f t="shared" si="17"/>
        <v>0</v>
      </c>
    </row>
    <row r="202" spans="1:13" x14ac:dyDescent="0.25">
      <c r="A202" s="198"/>
      <c r="G202" s="169"/>
      <c r="H202" s="181">
        <v>197</v>
      </c>
      <c r="I202" s="182" t="str">
        <f t="shared" si="15"/>
        <v/>
      </c>
      <c r="J202" s="182" t="e">
        <f t="shared" si="18"/>
        <v>#NUM!</v>
      </c>
      <c r="K202" s="181" t="e">
        <f t="shared" si="16"/>
        <v>#NUM!</v>
      </c>
      <c r="L202" s="181"/>
      <c r="M202" s="183">
        <f t="shared" si="17"/>
        <v>0</v>
      </c>
    </row>
    <row r="203" spans="1:13" x14ac:dyDescent="0.25">
      <c r="A203" s="198"/>
      <c r="G203" s="169"/>
      <c r="H203" s="181">
        <v>198</v>
      </c>
      <c r="I203" s="182" t="str">
        <f t="shared" si="15"/>
        <v/>
      </c>
      <c r="J203" s="182" t="e">
        <f t="shared" si="18"/>
        <v>#NUM!</v>
      </c>
      <c r="K203" s="181" t="e">
        <f t="shared" si="16"/>
        <v>#NUM!</v>
      </c>
      <c r="L203" s="181"/>
      <c r="M203" s="183">
        <f t="shared" si="17"/>
        <v>0</v>
      </c>
    </row>
    <row r="204" spans="1:13" x14ac:dyDescent="0.25">
      <c r="A204" s="198"/>
      <c r="G204" s="169"/>
      <c r="H204" s="181">
        <v>199</v>
      </c>
      <c r="I204" s="182" t="str">
        <f t="shared" si="15"/>
        <v/>
      </c>
      <c r="J204" s="182" t="e">
        <f t="shared" si="18"/>
        <v>#NUM!</v>
      </c>
      <c r="K204" s="181" t="e">
        <f t="shared" si="16"/>
        <v>#NUM!</v>
      </c>
      <c r="L204" s="181"/>
      <c r="M204" s="183">
        <f t="shared" si="17"/>
        <v>0</v>
      </c>
    </row>
    <row r="205" spans="1:13" x14ac:dyDescent="0.25">
      <c r="A205" s="198"/>
      <c r="G205" s="169"/>
      <c r="H205" s="181">
        <v>200</v>
      </c>
      <c r="I205" s="182" t="str">
        <f t="shared" si="15"/>
        <v/>
      </c>
      <c r="J205" s="182" t="e">
        <f t="shared" si="18"/>
        <v>#NUM!</v>
      </c>
      <c r="K205" s="181" t="e">
        <f t="shared" si="16"/>
        <v>#NUM!</v>
      </c>
      <c r="L205" s="181"/>
      <c r="M205" s="183">
        <f t="shared" si="17"/>
        <v>0</v>
      </c>
    </row>
    <row r="206" spans="1:13" x14ac:dyDescent="0.25">
      <c r="A206" s="198"/>
      <c r="G206" s="169"/>
      <c r="H206" s="181">
        <v>201</v>
      </c>
      <c r="I206" s="182" t="str">
        <f t="shared" si="15"/>
        <v/>
      </c>
      <c r="J206" s="182" t="e">
        <f t="shared" si="18"/>
        <v>#NUM!</v>
      </c>
      <c r="K206" s="181" t="e">
        <f t="shared" si="16"/>
        <v>#NUM!</v>
      </c>
      <c r="L206" s="181"/>
      <c r="M206" s="183">
        <f t="shared" si="17"/>
        <v>0</v>
      </c>
    </row>
    <row r="207" spans="1:13" x14ac:dyDescent="0.25">
      <c r="A207" s="198"/>
      <c r="G207" s="169"/>
      <c r="H207" s="181">
        <v>202</v>
      </c>
      <c r="I207" s="182" t="str">
        <f t="shared" si="15"/>
        <v/>
      </c>
      <c r="J207" s="182" t="e">
        <f t="shared" si="18"/>
        <v>#NUM!</v>
      </c>
      <c r="K207" s="181" t="e">
        <f t="shared" si="16"/>
        <v>#NUM!</v>
      </c>
      <c r="L207" s="181"/>
      <c r="M207" s="183">
        <f t="shared" si="17"/>
        <v>0</v>
      </c>
    </row>
    <row r="208" spans="1:13" x14ac:dyDescent="0.25">
      <c r="A208" s="198"/>
      <c r="G208" s="169"/>
      <c r="H208" s="181">
        <v>203</v>
      </c>
      <c r="I208" s="182" t="str">
        <f t="shared" si="15"/>
        <v/>
      </c>
      <c r="J208" s="182" t="e">
        <f t="shared" si="18"/>
        <v>#NUM!</v>
      </c>
      <c r="K208" s="181" t="e">
        <f t="shared" si="16"/>
        <v>#NUM!</v>
      </c>
      <c r="L208" s="181"/>
      <c r="M208" s="183">
        <f t="shared" si="17"/>
        <v>0</v>
      </c>
    </row>
    <row r="209" spans="1:13" x14ac:dyDescent="0.25">
      <c r="A209" s="198"/>
      <c r="G209" s="169"/>
      <c r="H209" s="181">
        <v>204</v>
      </c>
      <c r="I209" s="182" t="str">
        <f t="shared" si="15"/>
        <v/>
      </c>
      <c r="J209" s="182" t="e">
        <f t="shared" si="18"/>
        <v>#NUM!</v>
      </c>
      <c r="K209" s="181" t="e">
        <f t="shared" si="16"/>
        <v>#NUM!</v>
      </c>
      <c r="L209" s="181"/>
      <c r="M209" s="183">
        <f t="shared" si="17"/>
        <v>0</v>
      </c>
    </row>
    <row r="210" spans="1:13" x14ac:dyDescent="0.25">
      <c r="A210" s="198"/>
      <c r="G210" s="169"/>
      <c r="H210" s="181">
        <v>205</v>
      </c>
      <c r="I210" s="182" t="str">
        <f t="shared" si="15"/>
        <v/>
      </c>
      <c r="J210" s="182" t="e">
        <f t="shared" si="18"/>
        <v>#NUM!</v>
      </c>
      <c r="K210" s="181" t="e">
        <f t="shared" si="16"/>
        <v>#NUM!</v>
      </c>
      <c r="L210" s="181"/>
      <c r="M210" s="183">
        <f t="shared" si="17"/>
        <v>0</v>
      </c>
    </row>
    <row r="211" spans="1:13" x14ac:dyDescent="0.25">
      <c r="A211" s="198"/>
      <c r="G211" s="169"/>
      <c r="H211" s="181">
        <v>206</v>
      </c>
      <c r="I211" s="182" t="str">
        <f t="shared" si="15"/>
        <v/>
      </c>
      <c r="J211" s="182" t="e">
        <f t="shared" si="18"/>
        <v>#NUM!</v>
      </c>
      <c r="K211" s="181" t="e">
        <f t="shared" si="16"/>
        <v>#NUM!</v>
      </c>
      <c r="L211" s="181"/>
      <c r="M211" s="183">
        <f t="shared" si="17"/>
        <v>0</v>
      </c>
    </row>
    <row r="212" spans="1:13" x14ac:dyDescent="0.25">
      <c r="A212" s="198"/>
      <c r="G212" s="169"/>
      <c r="H212" s="181">
        <v>207</v>
      </c>
      <c r="I212" s="182" t="str">
        <f t="shared" si="15"/>
        <v/>
      </c>
      <c r="J212" s="182" t="e">
        <f t="shared" si="18"/>
        <v>#NUM!</v>
      </c>
      <c r="K212" s="181" t="e">
        <f t="shared" si="16"/>
        <v>#NUM!</v>
      </c>
      <c r="L212" s="181"/>
      <c r="M212" s="183">
        <f t="shared" si="17"/>
        <v>0</v>
      </c>
    </row>
    <row r="213" spans="1:13" x14ac:dyDescent="0.25">
      <c r="A213" s="198"/>
      <c r="G213" s="169"/>
      <c r="H213" s="181">
        <v>208</v>
      </c>
      <c r="I213" s="182" t="str">
        <f t="shared" si="15"/>
        <v/>
      </c>
      <c r="J213" s="182" t="e">
        <f t="shared" si="18"/>
        <v>#NUM!</v>
      </c>
      <c r="K213" s="181" t="e">
        <f t="shared" si="16"/>
        <v>#NUM!</v>
      </c>
      <c r="L213" s="181"/>
      <c r="M213" s="183">
        <f t="shared" si="17"/>
        <v>0</v>
      </c>
    </row>
    <row r="214" spans="1:13" x14ac:dyDescent="0.25">
      <c r="A214" s="198"/>
      <c r="G214" s="169"/>
      <c r="H214" s="181">
        <v>209</v>
      </c>
      <c r="I214" s="182" t="str">
        <f t="shared" si="15"/>
        <v/>
      </c>
      <c r="J214" s="182" t="e">
        <f t="shared" si="18"/>
        <v>#NUM!</v>
      </c>
      <c r="K214" s="181" t="e">
        <f t="shared" si="16"/>
        <v>#NUM!</v>
      </c>
      <c r="L214" s="181"/>
      <c r="M214" s="183">
        <f t="shared" si="17"/>
        <v>0</v>
      </c>
    </row>
    <row r="215" spans="1:13" x14ac:dyDescent="0.25">
      <c r="A215" s="198"/>
      <c r="G215" s="169"/>
      <c r="H215" s="181">
        <v>210</v>
      </c>
      <c r="I215" s="182" t="str">
        <f t="shared" si="15"/>
        <v/>
      </c>
      <c r="J215" s="182" t="e">
        <f t="shared" si="18"/>
        <v>#NUM!</v>
      </c>
      <c r="K215" s="181" t="e">
        <f t="shared" si="16"/>
        <v>#NUM!</v>
      </c>
      <c r="L215" s="181"/>
      <c r="M215" s="183">
        <f t="shared" si="17"/>
        <v>0</v>
      </c>
    </row>
    <row r="216" spans="1:13" x14ac:dyDescent="0.25">
      <c r="A216" s="198"/>
      <c r="G216" s="169"/>
      <c r="H216" s="181">
        <v>211</v>
      </c>
      <c r="I216" s="182" t="str">
        <f t="shared" si="15"/>
        <v/>
      </c>
      <c r="J216" s="182" t="e">
        <f t="shared" si="18"/>
        <v>#NUM!</v>
      </c>
      <c r="K216" s="181" t="e">
        <f t="shared" si="16"/>
        <v>#NUM!</v>
      </c>
      <c r="L216" s="181"/>
      <c r="M216" s="183">
        <f t="shared" si="17"/>
        <v>0</v>
      </c>
    </row>
    <row r="217" spans="1:13" x14ac:dyDescent="0.25">
      <c r="A217" s="198"/>
      <c r="G217" s="169"/>
      <c r="H217" s="181">
        <v>212</v>
      </c>
      <c r="I217" s="182" t="str">
        <f t="shared" si="15"/>
        <v/>
      </c>
      <c r="J217" s="182" t="e">
        <f t="shared" si="18"/>
        <v>#NUM!</v>
      </c>
      <c r="K217" s="181" t="e">
        <f t="shared" si="16"/>
        <v>#NUM!</v>
      </c>
      <c r="L217" s="181"/>
      <c r="M217" s="183">
        <f t="shared" si="17"/>
        <v>0</v>
      </c>
    </row>
    <row r="218" spans="1:13" x14ac:dyDescent="0.25">
      <c r="A218" s="198"/>
      <c r="G218" s="169"/>
      <c r="H218" s="181">
        <v>213</v>
      </c>
      <c r="I218" s="182" t="str">
        <f t="shared" si="15"/>
        <v/>
      </c>
      <c r="J218" s="182" t="e">
        <f t="shared" si="18"/>
        <v>#NUM!</v>
      </c>
      <c r="K218" s="181" t="e">
        <f t="shared" si="16"/>
        <v>#NUM!</v>
      </c>
      <c r="L218" s="181"/>
      <c r="M218" s="183">
        <f t="shared" si="17"/>
        <v>0</v>
      </c>
    </row>
    <row r="219" spans="1:13" x14ac:dyDescent="0.25">
      <c r="A219" s="198"/>
      <c r="G219" s="169"/>
      <c r="H219" s="181">
        <v>214</v>
      </c>
      <c r="I219" s="182" t="str">
        <f t="shared" si="15"/>
        <v/>
      </c>
      <c r="J219" s="182" t="e">
        <f t="shared" si="18"/>
        <v>#NUM!</v>
      </c>
      <c r="K219" s="181" t="e">
        <f t="shared" si="16"/>
        <v>#NUM!</v>
      </c>
      <c r="L219" s="181"/>
      <c r="M219" s="183">
        <f t="shared" si="17"/>
        <v>0</v>
      </c>
    </row>
    <row r="220" spans="1:13" x14ac:dyDescent="0.25">
      <c r="A220" s="198"/>
      <c r="G220" s="169"/>
      <c r="H220" s="181">
        <v>215</v>
      </c>
      <c r="I220" s="182" t="str">
        <f t="shared" si="15"/>
        <v/>
      </c>
      <c r="J220" s="182" t="e">
        <f t="shared" si="18"/>
        <v>#NUM!</v>
      </c>
      <c r="K220" s="181" t="e">
        <f t="shared" si="16"/>
        <v>#NUM!</v>
      </c>
      <c r="L220" s="181"/>
      <c r="M220" s="183">
        <f t="shared" si="17"/>
        <v>0</v>
      </c>
    </row>
    <row r="221" spans="1:13" x14ac:dyDescent="0.25">
      <c r="A221" s="198"/>
      <c r="G221" s="169"/>
      <c r="H221" s="181">
        <v>216</v>
      </c>
      <c r="I221" s="182" t="str">
        <f t="shared" si="15"/>
        <v/>
      </c>
      <c r="J221" s="182" t="e">
        <f t="shared" si="18"/>
        <v>#NUM!</v>
      </c>
      <c r="K221" s="181" t="e">
        <f t="shared" si="16"/>
        <v>#NUM!</v>
      </c>
      <c r="L221" s="181"/>
      <c r="M221" s="183">
        <f t="shared" si="17"/>
        <v>0</v>
      </c>
    </row>
    <row r="222" spans="1:13" x14ac:dyDescent="0.25">
      <c r="A222" s="198"/>
      <c r="G222" s="169"/>
      <c r="H222" s="181">
        <v>217</v>
      </c>
      <c r="I222" s="182" t="str">
        <f t="shared" si="15"/>
        <v/>
      </c>
      <c r="J222" s="182" t="e">
        <f t="shared" si="18"/>
        <v>#NUM!</v>
      </c>
      <c r="K222" s="181" t="e">
        <f t="shared" si="16"/>
        <v>#NUM!</v>
      </c>
      <c r="L222" s="181"/>
      <c r="M222" s="183">
        <f t="shared" si="17"/>
        <v>0</v>
      </c>
    </row>
    <row r="223" spans="1:13" x14ac:dyDescent="0.25">
      <c r="A223" s="198"/>
      <c r="G223" s="169"/>
      <c r="H223" s="181">
        <v>218</v>
      </c>
      <c r="I223" s="182" t="str">
        <f t="shared" si="15"/>
        <v/>
      </c>
      <c r="J223" s="182" t="e">
        <f t="shared" si="18"/>
        <v>#NUM!</v>
      </c>
      <c r="K223" s="181" t="e">
        <f t="shared" si="16"/>
        <v>#NUM!</v>
      </c>
      <c r="L223" s="181"/>
      <c r="M223" s="183">
        <f t="shared" si="17"/>
        <v>0</v>
      </c>
    </row>
    <row r="224" spans="1:13" x14ac:dyDescent="0.25">
      <c r="A224" s="198"/>
      <c r="G224" s="169"/>
      <c r="H224" s="181">
        <v>219</v>
      </c>
      <c r="I224" s="182" t="str">
        <f t="shared" si="15"/>
        <v/>
      </c>
      <c r="J224" s="182" t="e">
        <f t="shared" si="18"/>
        <v>#NUM!</v>
      </c>
      <c r="K224" s="181" t="e">
        <f t="shared" si="16"/>
        <v>#NUM!</v>
      </c>
      <c r="L224" s="181"/>
      <c r="M224" s="183">
        <f t="shared" si="17"/>
        <v>0</v>
      </c>
    </row>
    <row r="225" spans="1:13" x14ac:dyDescent="0.25">
      <c r="A225" s="198"/>
      <c r="G225" s="169"/>
      <c r="H225" s="181">
        <v>220</v>
      </c>
      <c r="I225" s="182" t="str">
        <f t="shared" si="15"/>
        <v/>
      </c>
      <c r="J225" s="182" t="e">
        <f t="shared" si="18"/>
        <v>#NUM!</v>
      </c>
      <c r="K225" s="181" t="e">
        <f t="shared" si="16"/>
        <v>#NUM!</v>
      </c>
      <c r="L225" s="181"/>
      <c r="M225" s="183">
        <f t="shared" si="17"/>
        <v>0</v>
      </c>
    </row>
    <row r="226" spans="1:13" x14ac:dyDescent="0.25">
      <c r="A226" s="198"/>
      <c r="G226" s="169"/>
      <c r="H226" s="181">
        <v>221</v>
      </c>
      <c r="I226" s="182" t="str">
        <f t="shared" si="15"/>
        <v/>
      </c>
      <c r="J226" s="182" t="e">
        <f t="shared" si="18"/>
        <v>#NUM!</v>
      </c>
      <c r="K226" s="181" t="e">
        <f t="shared" si="16"/>
        <v>#NUM!</v>
      </c>
      <c r="L226" s="181"/>
      <c r="M226" s="183">
        <f t="shared" si="17"/>
        <v>0</v>
      </c>
    </row>
    <row r="227" spans="1:13" x14ac:dyDescent="0.25">
      <c r="A227" s="198"/>
      <c r="G227" s="169"/>
      <c r="H227" s="181">
        <v>222</v>
      </c>
      <c r="I227" s="182" t="str">
        <f t="shared" si="15"/>
        <v/>
      </c>
      <c r="J227" s="182" t="e">
        <f t="shared" si="18"/>
        <v>#NUM!</v>
      </c>
      <c r="K227" s="181" t="e">
        <f t="shared" si="16"/>
        <v>#NUM!</v>
      </c>
      <c r="L227" s="181"/>
      <c r="M227" s="183">
        <f t="shared" si="17"/>
        <v>0</v>
      </c>
    </row>
    <row r="228" spans="1:13" x14ac:dyDescent="0.25">
      <c r="A228" s="198"/>
      <c r="G228" s="169"/>
      <c r="H228" s="181">
        <v>223</v>
      </c>
      <c r="I228" s="182" t="str">
        <f t="shared" si="15"/>
        <v/>
      </c>
      <c r="J228" s="182" t="e">
        <f t="shared" si="18"/>
        <v>#NUM!</v>
      </c>
      <c r="K228" s="181" t="e">
        <f t="shared" si="16"/>
        <v>#NUM!</v>
      </c>
      <c r="L228" s="181"/>
      <c r="M228" s="183">
        <f t="shared" si="17"/>
        <v>0</v>
      </c>
    </row>
    <row r="229" spans="1:13" x14ac:dyDescent="0.25">
      <c r="A229" s="198"/>
      <c r="G229" s="169"/>
      <c r="H229" s="181">
        <v>224</v>
      </c>
      <c r="I229" s="182" t="str">
        <f t="shared" si="15"/>
        <v/>
      </c>
      <c r="J229" s="182" t="e">
        <f t="shared" si="18"/>
        <v>#NUM!</v>
      </c>
      <c r="K229" s="181" t="e">
        <f t="shared" si="16"/>
        <v>#NUM!</v>
      </c>
      <c r="L229" s="181"/>
      <c r="M229" s="183">
        <f t="shared" si="17"/>
        <v>0</v>
      </c>
    </row>
    <row r="230" spans="1:13" x14ac:dyDescent="0.25">
      <c r="A230" s="198"/>
      <c r="G230" s="169"/>
      <c r="H230" s="181">
        <v>225</v>
      </c>
      <c r="I230" s="182" t="str">
        <f t="shared" si="15"/>
        <v/>
      </c>
      <c r="J230" s="182" t="e">
        <f t="shared" si="18"/>
        <v>#NUM!</v>
      </c>
      <c r="K230" s="181" t="e">
        <f t="shared" si="16"/>
        <v>#NUM!</v>
      </c>
      <c r="L230" s="181"/>
      <c r="M230" s="183">
        <f t="shared" si="17"/>
        <v>0</v>
      </c>
    </row>
    <row r="231" spans="1:13" x14ac:dyDescent="0.25">
      <c r="A231" s="198"/>
      <c r="G231" s="169"/>
      <c r="H231" s="181">
        <v>226</v>
      </c>
      <c r="I231" s="182" t="str">
        <f t="shared" si="15"/>
        <v/>
      </c>
      <c r="J231" s="182" t="e">
        <f t="shared" si="18"/>
        <v>#NUM!</v>
      </c>
      <c r="K231" s="181" t="e">
        <f t="shared" si="16"/>
        <v>#NUM!</v>
      </c>
      <c r="L231" s="181"/>
      <c r="M231" s="183">
        <f t="shared" si="17"/>
        <v>0</v>
      </c>
    </row>
    <row r="232" spans="1:13" x14ac:dyDescent="0.25">
      <c r="A232" s="198"/>
      <c r="G232" s="169"/>
      <c r="H232" s="181">
        <v>227</v>
      </c>
      <c r="I232" s="182" t="str">
        <f t="shared" si="15"/>
        <v/>
      </c>
      <c r="J232" s="182" t="e">
        <f t="shared" si="18"/>
        <v>#NUM!</v>
      </c>
      <c r="K232" s="181" t="e">
        <f t="shared" si="16"/>
        <v>#NUM!</v>
      </c>
      <c r="L232" s="181"/>
      <c r="M232" s="183">
        <f t="shared" si="17"/>
        <v>0</v>
      </c>
    </row>
    <row r="233" spans="1:13" x14ac:dyDescent="0.25">
      <c r="A233" s="198"/>
      <c r="G233" s="169"/>
      <c r="H233" s="181">
        <v>228</v>
      </c>
      <c r="I233" s="182" t="str">
        <f t="shared" si="15"/>
        <v/>
      </c>
      <c r="J233" s="182" t="e">
        <f t="shared" si="18"/>
        <v>#NUM!</v>
      </c>
      <c r="K233" s="181" t="e">
        <f t="shared" si="16"/>
        <v>#NUM!</v>
      </c>
      <c r="L233" s="181"/>
      <c r="M233" s="183">
        <f t="shared" si="17"/>
        <v>0</v>
      </c>
    </row>
    <row r="234" spans="1:13" x14ac:dyDescent="0.25">
      <c r="A234" s="198"/>
      <c r="G234" s="169"/>
      <c r="H234" s="181">
        <v>229</v>
      </c>
      <c r="I234" s="182" t="str">
        <f t="shared" si="15"/>
        <v/>
      </c>
      <c r="J234" s="182" t="e">
        <f t="shared" si="18"/>
        <v>#NUM!</v>
      </c>
      <c r="K234" s="181" t="e">
        <f t="shared" si="16"/>
        <v>#NUM!</v>
      </c>
      <c r="L234" s="181"/>
      <c r="M234" s="183">
        <f t="shared" si="17"/>
        <v>0</v>
      </c>
    </row>
    <row r="235" spans="1:13" x14ac:dyDescent="0.25">
      <c r="A235" s="198"/>
      <c r="G235" s="169"/>
      <c r="H235" s="181">
        <v>230</v>
      </c>
      <c r="I235" s="182" t="str">
        <f t="shared" si="15"/>
        <v/>
      </c>
      <c r="J235" s="182" t="e">
        <f t="shared" si="18"/>
        <v>#NUM!</v>
      </c>
      <c r="K235" s="181" t="e">
        <f t="shared" si="16"/>
        <v>#NUM!</v>
      </c>
      <c r="L235" s="181"/>
      <c r="M235" s="183">
        <f t="shared" si="17"/>
        <v>0</v>
      </c>
    </row>
    <row r="236" spans="1:13" x14ac:dyDescent="0.25">
      <c r="A236" s="198"/>
      <c r="G236" s="169"/>
      <c r="H236" s="181">
        <v>231</v>
      </c>
      <c r="I236" s="182" t="str">
        <f t="shared" si="15"/>
        <v/>
      </c>
      <c r="J236" s="182" t="e">
        <f t="shared" si="18"/>
        <v>#NUM!</v>
      </c>
      <c r="K236" s="181" t="e">
        <f t="shared" si="16"/>
        <v>#NUM!</v>
      </c>
      <c r="L236" s="181"/>
      <c r="M236" s="183">
        <f t="shared" si="17"/>
        <v>0</v>
      </c>
    </row>
    <row r="237" spans="1:13" x14ac:dyDescent="0.25">
      <c r="A237" s="198"/>
      <c r="G237" s="169"/>
      <c r="H237" s="181">
        <v>232</v>
      </c>
      <c r="I237" s="182" t="str">
        <f t="shared" si="15"/>
        <v/>
      </c>
      <c r="J237" s="182" t="e">
        <f t="shared" si="18"/>
        <v>#NUM!</v>
      </c>
      <c r="K237" s="181" t="e">
        <f t="shared" si="16"/>
        <v>#NUM!</v>
      </c>
      <c r="L237" s="181"/>
      <c r="M237" s="183">
        <f t="shared" si="17"/>
        <v>0</v>
      </c>
    </row>
    <row r="238" spans="1:13" x14ac:dyDescent="0.25">
      <c r="A238" s="198"/>
      <c r="G238" s="169"/>
      <c r="H238" s="181">
        <v>233</v>
      </c>
      <c r="I238" s="182" t="str">
        <f t="shared" si="15"/>
        <v/>
      </c>
      <c r="J238" s="182" t="e">
        <f t="shared" si="18"/>
        <v>#NUM!</v>
      </c>
      <c r="K238" s="181" t="e">
        <f t="shared" si="16"/>
        <v>#NUM!</v>
      </c>
      <c r="L238" s="181"/>
      <c r="M238" s="183">
        <f t="shared" si="17"/>
        <v>0</v>
      </c>
    </row>
    <row r="239" spans="1:13" x14ac:dyDescent="0.25">
      <c r="A239" s="198"/>
      <c r="G239" s="169"/>
      <c r="H239" s="181">
        <v>234</v>
      </c>
      <c r="I239" s="182" t="str">
        <f t="shared" si="15"/>
        <v/>
      </c>
      <c r="J239" s="182" t="e">
        <f t="shared" si="18"/>
        <v>#NUM!</v>
      </c>
      <c r="K239" s="181" t="e">
        <f t="shared" si="16"/>
        <v>#NUM!</v>
      </c>
      <c r="L239" s="181"/>
      <c r="M239" s="183">
        <f t="shared" si="17"/>
        <v>0</v>
      </c>
    </row>
    <row r="240" spans="1:13" x14ac:dyDescent="0.25">
      <c r="A240" s="198"/>
      <c r="G240" s="169"/>
      <c r="H240" s="181">
        <v>235</v>
      </c>
      <c r="I240" s="182" t="str">
        <f t="shared" si="15"/>
        <v/>
      </c>
      <c r="J240" s="182" t="e">
        <f t="shared" si="18"/>
        <v>#NUM!</v>
      </c>
      <c r="K240" s="181" t="e">
        <f t="shared" si="16"/>
        <v>#NUM!</v>
      </c>
      <c r="L240" s="181"/>
      <c r="M240" s="183">
        <f t="shared" si="17"/>
        <v>0</v>
      </c>
    </row>
    <row r="241" spans="1:13" x14ac:dyDescent="0.25">
      <c r="A241" s="198"/>
      <c r="G241" s="169"/>
      <c r="H241" s="181">
        <v>236</v>
      </c>
      <c r="I241" s="182" t="str">
        <f t="shared" si="15"/>
        <v/>
      </c>
      <c r="J241" s="182" t="e">
        <f t="shared" si="18"/>
        <v>#NUM!</v>
      </c>
      <c r="K241" s="181" t="e">
        <f t="shared" si="16"/>
        <v>#NUM!</v>
      </c>
      <c r="L241" s="181"/>
      <c r="M241" s="183">
        <f t="shared" si="17"/>
        <v>0</v>
      </c>
    </row>
    <row r="242" spans="1:13" x14ac:dyDescent="0.25">
      <c r="A242" s="198"/>
      <c r="G242" s="169"/>
      <c r="H242" s="181">
        <v>237</v>
      </c>
      <c r="I242" s="182" t="str">
        <f t="shared" si="15"/>
        <v/>
      </c>
      <c r="J242" s="182" t="e">
        <f t="shared" si="18"/>
        <v>#NUM!</v>
      </c>
      <c r="K242" s="181" t="e">
        <f t="shared" si="16"/>
        <v>#NUM!</v>
      </c>
      <c r="L242" s="181"/>
      <c r="M242" s="183">
        <f t="shared" si="17"/>
        <v>0</v>
      </c>
    </row>
    <row r="243" spans="1:13" x14ac:dyDescent="0.25">
      <c r="A243" s="198"/>
      <c r="G243" s="169"/>
      <c r="H243" s="181">
        <v>238</v>
      </c>
      <c r="I243" s="182" t="str">
        <f t="shared" si="15"/>
        <v/>
      </c>
      <c r="J243" s="182" t="e">
        <f t="shared" si="18"/>
        <v>#NUM!</v>
      </c>
      <c r="K243" s="181" t="e">
        <f t="shared" si="16"/>
        <v>#NUM!</v>
      </c>
      <c r="L243" s="181"/>
      <c r="M243" s="183">
        <f t="shared" si="17"/>
        <v>0</v>
      </c>
    </row>
    <row r="244" spans="1:13" x14ac:dyDescent="0.25">
      <c r="A244" s="198"/>
      <c r="G244" s="169"/>
      <c r="H244" s="181">
        <v>239</v>
      </c>
      <c r="I244" s="182" t="str">
        <f t="shared" si="15"/>
        <v/>
      </c>
      <c r="J244" s="182" t="e">
        <f t="shared" si="18"/>
        <v>#NUM!</v>
      </c>
      <c r="K244" s="181" t="e">
        <f t="shared" si="16"/>
        <v>#NUM!</v>
      </c>
      <c r="L244" s="181"/>
      <c r="M244" s="183">
        <f t="shared" si="17"/>
        <v>0</v>
      </c>
    </row>
    <row r="245" spans="1:13" x14ac:dyDescent="0.25">
      <c r="A245" s="198"/>
      <c r="G245" s="169"/>
      <c r="H245" s="181">
        <v>240</v>
      </c>
      <c r="I245" s="182" t="str">
        <f t="shared" si="15"/>
        <v/>
      </c>
      <c r="J245" s="182" t="e">
        <f t="shared" si="18"/>
        <v>#NUM!</v>
      </c>
      <c r="K245" s="181" t="e">
        <f t="shared" si="16"/>
        <v>#NUM!</v>
      </c>
      <c r="L245" s="181"/>
      <c r="M245" s="183">
        <f t="shared" si="17"/>
        <v>0</v>
      </c>
    </row>
    <row r="246" spans="1:13" x14ac:dyDescent="0.25">
      <c r="A246" s="198"/>
      <c r="G246" s="169"/>
      <c r="H246" s="181">
        <v>241</v>
      </c>
      <c r="I246" s="182" t="str">
        <f t="shared" si="15"/>
        <v/>
      </c>
      <c r="J246" s="182" t="e">
        <f t="shared" si="18"/>
        <v>#NUM!</v>
      </c>
      <c r="K246" s="181" t="e">
        <f t="shared" si="16"/>
        <v>#NUM!</v>
      </c>
      <c r="L246" s="181"/>
      <c r="M246" s="183">
        <f t="shared" si="17"/>
        <v>0</v>
      </c>
    </row>
    <row r="247" spans="1:13" x14ac:dyDescent="0.25">
      <c r="A247" s="198"/>
      <c r="G247" s="169"/>
      <c r="H247" s="181">
        <v>242</v>
      </c>
      <c r="I247" s="182" t="str">
        <f t="shared" si="15"/>
        <v/>
      </c>
      <c r="J247" s="182" t="e">
        <f t="shared" si="18"/>
        <v>#NUM!</v>
      </c>
      <c r="K247" s="181" t="e">
        <f t="shared" si="16"/>
        <v>#NUM!</v>
      </c>
      <c r="L247" s="181"/>
      <c r="M247" s="183">
        <f t="shared" si="17"/>
        <v>0</v>
      </c>
    </row>
    <row r="248" spans="1:13" x14ac:dyDescent="0.25">
      <c r="A248" s="198"/>
      <c r="G248" s="169"/>
      <c r="H248" s="181">
        <v>243</v>
      </c>
      <c r="I248" s="182" t="str">
        <f t="shared" si="15"/>
        <v/>
      </c>
      <c r="J248" s="182" t="e">
        <f t="shared" si="18"/>
        <v>#NUM!</v>
      </c>
      <c r="K248" s="181" t="e">
        <f t="shared" si="16"/>
        <v>#NUM!</v>
      </c>
      <c r="L248" s="181"/>
      <c r="M248" s="183">
        <f t="shared" si="17"/>
        <v>0</v>
      </c>
    </row>
    <row r="249" spans="1:13" x14ac:dyDescent="0.25">
      <c r="A249" s="198"/>
      <c r="G249" s="169"/>
      <c r="H249" s="181">
        <v>244</v>
      </c>
      <c r="I249" s="182" t="str">
        <f t="shared" si="15"/>
        <v/>
      </c>
      <c r="J249" s="182" t="e">
        <f t="shared" si="18"/>
        <v>#NUM!</v>
      </c>
      <c r="K249" s="181" t="e">
        <f t="shared" si="16"/>
        <v>#NUM!</v>
      </c>
      <c r="L249" s="181"/>
      <c r="M249" s="183">
        <f t="shared" si="17"/>
        <v>0</v>
      </c>
    </row>
    <row r="250" spans="1:13" x14ac:dyDescent="0.25">
      <c r="A250" s="198"/>
      <c r="G250" s="169"/>
      <c r="H250" s="181">
        <v>245</v>
      </c>
      <c r="I250" s="182" t="str">
        <f t="shared" si="15"/>
        <v/>
      </c>
      <c r="J250" s="182" t="e">
        <f t="shared" si="18"/>
        <v>#NUM!</v>
      </c>
      <c r="K250" s="181" t="e">
        <f t="shared" si="16"/>
        <v>#NUM!</v>
      </c>
      <c r="L250" s="181"/>
      <c r="M250" s="183">
        <f t="shared" si="17"/>
        <v>0</v>
      </c>
    </row>
    <row r="251" spans="1:13" x14ac:dyDescent="0.25">
      <c r="A251" s="198"/>
      <c r="G251" s="169"/>
      <c r="H251" s="181">
        <v>246</v>
      </c>
      <c r="I251" s="182" t="str">
        <f t="shared" si="15"/>
        <v/>
      </c>
      <c r="J251" s="182" t="e">
        <f t="shared" si="18"/>
        <v>#NUM!</v>
      </c>
      <c r="K251" s="181" t="e">
        <f t="shared" si="16"/>
        <v>#NUM!</v>
      </c>
      <c r="L251" s="181"/>
      <c r="M251" s="183">
        <f t="shared" si="17"/>
        <v>0</v>
      </c>
    </row>
    <row r="252" spans="1:13" x14ac:dyDescent="0.25">
      <c r="A252" s="198"/>
      <c r="G252" s="169"/>
      <c r="H252" s="181">
        <v>247</v>
      </c>
      <c r="I252" s="182" t="str">
        <f t="shared" si="15"/>
        <v/>
      </c>
      <c r="J252" s="182" t="e">
        <f t="shared" si="18"/>
        <v>#NUM!</v>
      </c>
      <c r="K252" s="181" t="e">
        <f t="shared" si="16"/>
        <v>#NUM!</v>
      </c>
      <c r="L252" s="181"/>
      <c r="M252" s="183">
        <f t="shared" si="17"/>
        <v>0</v>
      </c>
    </row>
    <row r="253" spans="1:13" x14ac:dyDescent="0.25">
      <c r="A253" s="198"/>
      <c r="G253" s="169"/>
      <c r="H253" s="181">
        <v>248</v>
      </c>
      <c r="I253" s="182" t="str">
        <f t="shared" si="15"/>
        <v/>
      </c>
      <c r="J253" s="182" t="e">
        <f t="shared" si="18"/>
        <v>#NUM!</v>
      </c>
      <c r="K253" s="181" t="e">
        <f t="shared" si="16"/>
        <v>#NUM!</v>
      </c>
      <c r="L253" s="181"/>
      <c r="M253" s="183">
        <f t="shared" si="17"/>
        <v>0</v>
      </c>
    </row>
    <row r="254" spans="1:13" x14ac:dyDescent="0.25">
      <c r="A254" s="198"/>
      <c r="G254" s="169"/>
      <c r="H254" s="181">
        <v>249</v>
      </c>
      <c r="I254" s="182" t="str">
        <f t="shared" si="15"/>
        <v/>
      </c>
      <c r="J254" s="182" t="e">
        <f t="shared" si="18"/>
        <v>#NUM!</v>
      </c>
      <c r="K254" s="181" t="e">
        <f t="shared" si="16"/>
        <v>#NUM!</v>
      </c>
      <c r="L254" s="181"/>
      <c r="M254" s="183">
        <f t="shared" si="17"/>
        <v>0</v>
      </c>
    </row>
    <row r="255" spans="1:13" x14ac:dyDescent="0.25">
      <c r="A255" s="198"/>
      <c r="G255" s="169"/>
      <c r="H255" s="181">
        <v>250</v>
      </c>
      <c r="I255" s="182" t="str">
        <f t="shared" si="15"/>
        <v/>
      </c>
      <c r="J255" s="182" t="e">
        <f t="shared" si="18"/>
        <v>#NUM!</v>
      </c>
      <c r="K255" s="181" t="e">
        <f t="shared" si="16"/>
        <v>#NUM!</v>
      </c>
      <c r="L255" s="181"/>
      <c r="M255" s="183">
        <f t="shared" si="17"/>
        <v>0</v>
      </c>
    </row>
    <row r="256" spans="1:13" x14ac:dyDescent="0.25">
      <c r="A256" s="198"/>
      <c r="G256" s="169"/>
      <c r="H256" s="181">
        <v>251</v>
      </c>
      <c r="I256" s="182" t="str">
        <f t="shared" si="15"/>
        <v/>
      </c>
      <c r="J256" s="182" t="e">
        <f t="shared" si="18"/>
        <v>#NUM!</v>
      </c>
      <c r="K256" s="181" t="e">
        <f t="shared" si="16"/>
        <v>#NUM!</v>
      </c>
      <c r="L256" s="181"/>
      <c r="M256" s="183">
        <f t="shared" si="17"/>
        <v>0</v>
      </c>
    </row>
    <row r="257" spans="1:13" x14ac:dyDescent="0.25">
      <c r="A257" s="198"/>
      <c r="G257" s="169"/>
      <c r="H257" s="181">
        <v>252</v>
      </c>
      <c r="I257" s="182" t="str">
        <f t="shared" si="15"/>
        <v/>
      </c>
      <c r="J257" s="182" t="e">
        <f t="shared" si="18"/>
        <v>#NUM!</v>
      </c>
      <c r="K257" s="181" t="e">
        <f t="shared" si="16"/>
        <v>#NUM!</v>
      </c>
      <c r="L257" s="181"/>
      <c r="M257" s="183">
        <f t="shared" si="17"/>
        <v>0</v>
      </c>
    </row>
    <row r="258" spans="1:13" x14ac:dyDescent="0.25">
      <c r="A258" s="198"/>
      <c r="G258" s="169"/>
      <c r="H258" s="181">
        <v>253</v>
      </c>
      <c r="I258" s="182" t="str">
        <f t="shared" si="15"/>
        <v/>
      </c>
      <c r="J258" s="182" t="e">
        <f t="shared" si="18"/>
        <v>#NUM!</v>
      </c>
      <c r="K258" s="181" t="e">
        <f t="shared" si="16"/>
        <v>#NUM!</v>
      </c>
      <c r="L258" s="181"/>
      <c r="M258" s="183">
        <f t="shared" si="17"/>
        <v>0</v>
      </c>
    </row>
    <row r="259" spans="1:13" x14ac:dyDescent="0.25">
      <c r="A259" s="198"/>
      <c r="G259" s="169"/>
      <c r="H259" s="181">
        <v>254</v>
      </c>
      <c r="I259" s="182" t="str">
        <f t="shared" si="15"/>
        <v/>
      </c>
      <c r="J259" s="182" t="e">
        <f t="shared" si="18"/>
        <v>#NUM!</v>
      </c>
      <c r="K259" s="181" t="e">
        <f t="shared" si="16"/>
        <v>#NUM!</v>
      </c>
      <c r="L259" s="181"/>
      <c r="M259" s="183">
        <f t="shared" si="17"/>
        <v>0</v>
      </c>
    </row>
    <row r="260" spans="1:13" x14ac:dyDescent="0.25">
      <c r="A260" s="198"/>
      <c r="G260" s="169"/>
      <c r="H260" s="181">
        <v>255</v>
      </c>
      <c r="I260" s="182" t="str">
        <f t="shared" si="15"/>
        <v/>
      </c>
      <c r="J260" s="182" t="e">
        <f t="shared" si="18"/>
        <v>#NUM!</v>
      </c>
      <c r="K260" s="181" t="e">
        <f t="shared" si="16"/>
        <v>#NUM!</v>
      </c>
      <c r="L260" s="181"/>
      <c r="M260" s="183">
        <f t="shared" si="17"/>
        <v>0</v>
      </c>
    </row>
    <row r="261" spans="1:13" x14ac:dyDescent="0.25">
      <c r="A261" s="198"/>
      <c r="G261" s="169"/>
      <c r="H261" s="181">
        <v>256</v>
      </c>
      <c r="I261" s="182" t="str">
        <f t="shared" si="15"/>
        <v/>
      </c>
      <c r="J261" s="182" t="e">
        <f t="shared" si="18"/>
        <v>#NUM!</v>
      </c>
      <c r="K261" s="181" t="e">
        <f t="shared" si="16"/>
        <v>#NUM!</v>
      </c>
      <c r="L261" s="181"/>
      <c r="M261" s="183">
        <f t="shared" si="17"/>
        <v>0</v>
      </c>
    </row>
    <row r="262" spans="1:13" x14ac:dyDescent="0.25">
      <c r="A262" s="198"/>
      <c r="G262" s="169"/>
      <c r="H262" s="181">
        <v>257</v>
      </c>
      <c r="I262" s="182" t="str">
        <f t="shared" ref="I262:I305" si="19">IF(H262&lt;$H$2+1,($I$2-($I$2-1)*(LOG(H262)/LOG($H$2))),"")</f>
        <v/>
      </c>
      <c r="J262" s="182" t="e">
        <f t="shared" si="18"/>
        <v>#NUM!</v>
      </c>
      <c r="K262" s="181" t="e">
        <f t="shared" ref="K262:K305" si="20">J262*$J$2</f>
        <v>#NUM!</v>
      </c>
      <c r="L262" s="181"/>
      <c r="M262" s="183">
        <f t="shared" ref="M262:M305" si="21">IF(I262&lt;&gt;"",K262+I262+L262,0)</f>
        <v>0</v>
      </c>
    </row>
    <row r="263" spans="1:13" x14ac:dyDescent="0.25">
      <c r="A263" s="198"/>
      <c r="G263" s="169"/>
      <c r="H263" s="181">
        <v>258</v>
      </c>
      <c r="I263" s="182" t="str">
        <f t="shared" si="19"/>
        <v/>
      </c>
      <c r="J263" s="182" t="e">
        <f t="shared" ref="J263:J305" si="22">INT(LOG($H$2,2))-ROUNDUP(LOG(H263,2),0)+IF(OR($H$2=1,$H$2=2,$H$2=4,$H$2=8,$H$2=16,$H$2=32,$H$2=64,$H$2=128,$H$2=256),0,1)</f>
        <v>#NUM!</v>
      </c>
      <c r="K263" s="181" t="e">
        <f t="shared" si="20"/>
        <v>#NUM!</v>
      </c>
      <c r="L263" s="181"/>
      <c r="M263" s="183">
        <f t="shared" si="21"/>
        <v>0</v>
      </c>
    </row>
    <row r="264" spans="1:13" x14ac:dyDescent="0.25">
      <c r="A264" s="198"/>
      <c r="G264" s="169"/>
      <c r="H264" s="181">
        <v>259</v>
      </c>
      <c r="I264" s="182" t="str">
        <f t="shared" si="19"/>
        <v/>
      </c>
      <c r="J264" s="182" t="e">
        <f t="shared" si="22"/>
        <v>#NUM!</v>
      </c>
      <c r="K264" s="181" t="e">
        <f t="shared" si="20"/>
        <v>#NUM!</v>
      </c>
      <c r="L264" s="181"/>
      <c r="M264" s="183">
        <f t="shared" si="21"/>
        <v>0</v>
      </c>
    </row>
    <row r="265" spans="1:13" x14ac:dyDescent="0.25">
      <c r="A265" s="198"/>
      <c r="G265" s="169"/>
      <c r="H265" s="181">
        <v>260</v>
      </c>
      <c r="I265" s="182" t="str">
        <f t="shared" si="19"/>
        <v/>
      </c>
      <c r="J265" s="182" t="e">
        <f t="shared" si="22"/>
        <v>#NUM!</v>
      </c>
      <c r="K265" s="181" t="e">
        <f t="shared" si="20"/>
        <v>#NUM!</v>
      </c>
      <c r="L265" s="181"/>
      <c r="M265" s="183">
        <f t="shared" si="21"/>
        <v>0</v>
      </c>
    </row>
    <row r="266" spans="1:13" x14ac:dyDescent="0.25">
      <c r="A266" s="198"/>
      <c r="G266" s="169"/>
      <c r="H266" s="181">
        <v>261</v>
      </c>
      <c r="I266" s="182" t="str">
        <f t="shared" si="19"/>
        <v/>
      </c>
      <c r="J266" s="182" t="e">
        <f t="shared" si="22"/>
        <v>#NUM!</v>
      </c>
      <c r="K266" s="181" t="e">
        <f t="shared" si="20"/>
        <v>#NUM!</v>
      </c>
      <c r="L266" s="181"/>
      <c r="M266" s="183">
        <f t="shared" si="21"/>
        <v>0</v>
      </c>
    </row>
    <row r="267" spans="1:13" x14ac:dyDescent="0.25">
      <c r="A267" s="198"/>
      <c r="G267" s="169"/>
      <c r="H267" s="181">
        <v>262</v>
      </c>
      <c r="I267" s="182" t="str">
        <f t="shared" si="19"/>
        <v/>
      </c>
      <c r="J267" s="182" t="e">
        <f t="shared" si="22"/>
        <v>#NUM!</v>
      </c>
      <c r="K267" s="181" t="e">
        <f t="shared" si="20"/>
        <v>#NUM!</v>
      </c>
      <c r="L267" s="181"/>
      <c r="M267" s="183">
        <f t="shared" si="21"/>
        <v>0</v>
      </c>
    </row>
    <row r="268" spans="1:13" x14ac:dyDescent="0.25">
      <c r="A268" s="198"/>
      <c r="G268" s="169"/>
      <c r="H268" s="181">
        <v>263</v>
      </c>
      <c r="I268" s="182" t="str">
        <f t="shared" si="19"/>
        <v/>
      </c>
      <c r="J268" s="182" t="e">
        <f t="shared" si="22"/>
        <v>#NUM!</v>
      </c>
      <c r="K268" s="181" t="e">
        <f t="shared" si="20"/>
        <v>#NUM!</v>
      </c>
      <c r="L268" s="181"/>
      <c r="M268" s="183">
        <f t="shared" si="21"/>
        <v>0</v>
      </c>
    </row>
    <row r="269" spans="1:13" x14ac:dyDescent="0.25">
      <c r="A269" s="198"/>
      <c r="G269" s="169"/>
      <c r="H269" s="181">
        <v>264</v>
      </c>
      <c r="I269" s="182" t="str">
        <f t="shared" si="19"/>
        <v/>
      </c>
      <c r="J269" s="182" t="e">
        <f t="shared" si="22"/>
        <v>#NUM!</v>
      </c>
      <c r="K269" s="181" t="e">
        <f t="shared" si="20"/>
        <v>#NUM!</v>
      </c>
      <c r="L269" s="181"/>
      <c r="M269" s="183">
        <f t="shared" si="21"/>
        <v>0</v>
      </c>
    </row>
    <row r="270" spans="1:13" x14ac:dyDescent="0.25">
      <c r="A270" s="198"/>
      <c r="G270" s="169"/>
      <c r="H270" s="181">
        <v>265</v>
      </c>
      <c r="I270" s="182" t="str">
        <f t="shared" si="19"/>
        <v/>
      </c>
      <c r="J270" s="182" t="e">
        <f t="shared" si="22"/>
        <v>#NUM!</v>
      </c>
      <c r="K270" s="181" t="e">
        <f t="shared" si="20"/>
        <v>#NUM!</v>
      </c>
      <c r="L270" s="181"/>
      <c r="M270" s="183">
        <f t="shared" si="21"/>
        <v>0</v>
      </c>
    </row>
    <row r="271" spans="1:13" x14ac:dyDescent="0.25">
      <c r="A271" s="198"/>
      <c r="G271" s="169"/>
      <c r="H271" s="181">
        <v>266</v>
      </c>
      <c r="I271" s="182" t="str">
        <f t="shared" si="19"/>
        <v/>
      </c>
      <c r="J271" s="182" t="e">
        <f t="shared" si="22"/>
        <v>#NUM!</v>
      </c>
      <c r="K271" s="181" t="e">
        <f t="shared" si="20"/>
        <v>#NUM!</v>
      </c>
      <c r="L271" s="181"/>
      <c r="M271" s="183">
        <f t="shared" si="21"/>
        <v>0</v>
      </c>
    </row>
    <row r="272" spans="1:13" x14ac:dyDescent="0.25">
      <c r="A272" s="198"/>
      <c r="G272" s="169"/>
      <c r="H272" s="181">
        <v>267</v>
      </c>
      <c r="I272" s="182" t="str">
        <f t="shared" si="19"/>
        <v/>
      </c>
      <c r="J272" s="182" t="e">
        <f t="shared" si="22"/>
        <v>#NUM!</v>
      </c>
      <c r="K272" s="181" t="e">
        <f t="shared" si="20"/>
        <v>#NUM!</v>
      </c>
      <c r="L272" s="181"/>
      <c r="M272" s="183">
        <f t="shared" si="21"/>
        <v>0</v>
      </c>
    </row>
    <row r="273" spans="1:13" x14ac:dyDescent="0.25">
      <c r="A273" s="198"/>
      <c r="G273" s="169"/>
      <c r="H273" s="181">
        <v>268</v>
      </c>
      <c r="I273" s="182" t="str">
        <f t="shared" si="19"/>
        <v/>
      </c>
      <c r="J273" s="182" t="e">
        <f t="shared" si="22"/>
        <v>#NUM!</v>
      </c>
      <c r="K273" s="181" t="e">
        <f t="shared" si="20"/>
        <v>#NUM!</v>
      </c>
      <c r="L273" s="181"/>
      <c r="M273" s="183">
        <f t="shared" si="21"/>
        <v>0</v>
      </c>
    </row>
    <row r="274" spans="1:13" x14ac:dyDescent="0.25">
      <c r="A274" s="198"/>
      <c r="G274" s="169"/>
      <c r="H274" s="181">
        <v>269</v>
      </c>
      <c r="I274" s="182" t="str">
        <f t="shared" si="19"/>
        <v/>
      </c>
      <c r="J274" s="182" t="e">
        <f t="shared" si="22"/>
        <v>#NUM!</v>
      </c>
      <c r="K274" s="181" t="e">
        <f t="shared" si="20"/>
        <v>#NUM!</v>
      </c>
      <c r="L274" s="181"/>
      <c r="M274" s="183">
        <f t="shared" si="21"/>
        <v>0</v>
      </c>
    </row>
    <row r="275" spans="1:13" x14ac:dyDescent="0.25">
      <c r="A275" s="198"/>
      <c r="G275" s="169"/>
      <c r="H275" s="181">
        <v>270</v>
      </c>
      <c r="I275" s="182" t="str">
        <f t="shared" si="19"/>
        <v/>
      </c>
      <c r="J275" s="182" t="e">
        <f t="shared" si="22"/>
        <v>#NUM!</v>
      </c>
      <c r="K275" s="181" t="e">
        <f t="shared" si="20"/>
        <v>#NUM!</v>
      </c>
      <c r="L275" s="181"/>
      <c r="M275" s="183">
        <f t="shared" si="21"/>
        <v>0</v>
      </c>
    </row>
    <row r="276" spans="1:13" x14ac:dyDescent="0.25">
      <c r="A276" s="198"/>
      <c r="G276" s="169"/>
      <c r="H276" s="181">
        <v>271</v>
      </c>
      <c r="I276" s="182" t="str">
        <f t="shared" si="19"/>
        <v/>
      </c>
      <c r="J276" s="182" t="e">
        <f t="shared" si="22"/>
        <v>#NUM!</v>
      </c>
      <c r="K276" s="181" t="e">
        <f t="shared" si="20"/>
        <v>#NUM!</v>
      </c>
      <c r="L276" s="181"/>
      <c r="M276" s="183">
        <f t="shared" si="21"/>
        <v>0</v>
      </c>
    </row>
    <row r="277" spans="1:13" x14ac:dyDescent="0.25">
      <c r="A277" s="198"/>
      <c r="G277" s="169"/>
      <c r="H277" s="181">
        <v>272</v>
      </c>
      <c r="I277" s="182" t="str">
        <f t="shared" si="19"/>
        <v/>
      </c>
      <c r="J277" s="182" t="e">
        <f t="shared" si="22"/>
        <v>#NUM!</v>
      </c>
      <c r="K277" s="181" t="e">
        <f t="shared" si="20"/>
        <v>#NUM!</v>
      </c>
      <c r="L277" s="181"/>
      <c r="M277" s="183">
        <f t="shared" si="21"/>
        <v>0</v>
      </c>
    </row>
    <row r="278" spans="1:13" x14ac:dyDescent="0.25">
      <c r="A278" s="198"/>
      <c r="G278" s="169"/>
      <c r="H278" s="181">
        <v>273</v>
      </c>
      <c r="I278" s="182" t="str">
        <f t="shared" si="19"/>
        <v/>
      </c>
      <c r="J278" s="182" t="e">
        <f t="shared" si="22"/>
        <v>#NUM!</v>
      </c>
      <c r="K278" s="181" t="e">
        <f t="shared" si="20"/>
        <v>#NUM!</v>
      </c>
      <c r="L278" s="181"/>
      <c r="M278" s="183">
        <f t="shared" si="21"/>
        <v>0</v>
      </c>
    </row>
    <row r="279" spans="1:13" x14ac:dyDescent="0.25">
      <c r="A279" s="198"/>
      <c r="G279" s="169"/>
      <c r="H279" s="181">
        <v>274</v>
      </c>
      <c r="I279" s="182" t="str">
        <f t="shared" si="19"/>
        <v/>
      </c>
      <c r="J279" s="182" t="e">
        <f t="shared" si="22"/>
        <v>#NUM!</v>
      </c>
      <c r="K279" s="181" t="e">
        <f t="shared" si="20"/>
        <v>#NUM!</v>
      </c>
      <c r="L279" s="181"/>
      <c r="M279" s="183">
        <f t="shared" si="21"/>
        <v>0</v>
      </c>
    </row>
    <row r="280" spans="1:13" x14ac:dyDescent="0.25">
      <c r="A280" s="198"/>
      <c r="G280" s="169"/>
      <c r="H280" s="181">
        <v>275</v>
      </c>
      <c r="I280" s="182" t="str">
        <f t="shared" si="19"/>
        <v/>
      </c>
      <c r="J280" s="182" t="e">
        <f t="shared" si="22"/>
        <v>#NUM!</v>
      </c>
      <c r="K280" s="181" t="e">
        <f t="shared" si="20"/>
        <v>#NUM!</v>
      </c>
      <c r="L280" s="181"/>
      <c r="M280" s="183">
        <f t="shared" si="21"/>
        <v>0</v>
      </c>
    </row>
    <row r="281" spans="1:13" x14ac:dyDescent="0.25">
      <c r="A281" s="198"/>
      <c r="G281" s="169"/>
      <c r="H281" s="181">
        <v>276</v>
      </c>
      <c r="I281" s="182" t="str">
        <f t="shared" si="19"/>
        <v/>
      </c>
      <c r="J281" s="182" t="e">
        <f t="shared" si="22"/>
        <v>#NUM!</v>
      </c>
      <c r="K281" s="181" t="e">
        <f t="shared" si="20"/>
        <v>#NUM!</v>
      </c>
      <c r="L281" s="181"/>
      <c r="M281" s="183">
        <f t="shared" si="21"/>
        <v>0</v>
      </c>
    </row>
    <row r="282" spans="1:13" x14ac:dyDescent="0.25">
      <c r="A282" s="198"/>
      <c r="G282" s="169"/>
      <c r="H282" s="181">
        <v>277</v>
      </c>
      <c r="I282" s="182" t="str">
        <f t="shared" si="19"/>
        <v/>
      </c>
      <c r="J282" s="182" t="e">
        <f t="shared" si="22"/>
        <v>#NUM!</v>
      </c>
      <c r="K282" s="181" t="e">
        <f t="shared" si="20"/>
        <v>#NUM!</v>
      </c>
      <c r="L282" s="181"/>
      <c r="M282" s="183">
        <f t="shared" si="21"/>
        <v>0</v>
      </c>
    </row>
    <row r="283" spans="1:13" x14ac:dyDescent="0.25">
      <c r="A283" s="198"/>
      <c r="G283" s="169"/>
      <c r="H283" s="181">
        <v>278</v>
      </c>
      <c r="I283" s="182" t="str">
        <f t="shared" si="19"/>
        <v/>
      </c>
      <c r="J283" s="182" t="e">
        <f t="shared" si="22"/>
        <v>#NUM!</v>
      </c>
      <c r="K283" s="181" t="e">
        <f t="shared" si="20"/>
        <v>#NUM!</v>
      </c>
      <c r="L283" s="181"/>
      <c r="M283" s="183">
        <f t="shared" si="21"/>
        <v>0</v>
      </c>
    </row>
    <row r="284" spans="1:13" x14ac:dyDescent="0.25">
      <c r="A284" s="198"/>
      <c r="G284" s="169"/>
      <c r="H284" s="181">
        <v>279</v>
      </c>
      <c r="I284" s="182" t="str">
        <f t="shared" si="19"/>
        <v/>
      </c>
      <c r="J284" s="182" t="e">
        <f t="shared" si="22"/>
        <v>#NUM!</v>
      </c>
      <c r="K284" s="181" t="e">
        <f t="shared" si="20"/>
        <v>#NUM!</v>
      </c>
      <c r="L284" s="181"/>
      <c r="M284" s="183">
        <f t="shared" si="21"/>
        <v>0</v>
      </c>
    </row>
    <row r="285" spans="1:13" x14ac:dyDescent="0.25">
      <c r="A285" s="198"/>
      <c r="G285" s="169"/>
      <c r="H285" s="181">
        <v>280</v>
      </c>
      <c r="I285" s="182" t="str">
        <f t="shared" si="19"/>
        <v/>
      </c>
      <c r="J285" s="182" t="e">
        <f t="shared" si="22"/>
        <v>#NUM!</v>
      </c>
      <c r="K285" s="181" t="e">
        <f t="shared" si="20"/>
        <v>#NUM!</v>
      </c>
      <c r="L285" s="181"/>
      <c r="M285" s="183">
        <f t="shared" si="21"/>
        <v>0</v>
      </c>
    </row>
    <row r="286" spans="1:13" x14ac:dyDescent="0.25">
      <c r="A286" s="198"/>
      <c r="G286" s="169"/>
      <c r="H286" s="181">
        <v>281</v>
      </c>
      <c r="I286" s="182" t="str">
        <f t="shared" si="19"/>
        <v/>
      </c>
      <c r="J286" s="182" t="e">
        <f t="shared" si="22"/>
        <v>#NUM!</v>
      </c>
      <c r="K286" s="181" t="e">
        <f t="shared" si="20"/>
        <v>#NUM!</v>
      </c>
      <c r="L286" s="181"/>
      <c r="M286" s="183">
        <f t="shared" si="21"/>
        <v>0</v>
      </c>
    </row>
    <row r="287" spans="1:13" x14ac:dyDescent="0.25">
      <c r="A287" s="198"/>
      <c r="G287" s="169"/>
      <c r="H287" s="181">
        <v>282</v>
      </c>
      <c r="I287" s="182" t="str">
        <f t="shared" si="19"/>
        <v/>
      </c>
      <c r="J287" s="182" t="e">
        <f t="shared" si="22"/>
        <v>#NUM!</v>
      </c>
      <c r="K287" s="181" t="e">
        <f t="shared" si="20"/>
        <v>#NUM!</v>
      </c>
      <c r="L287" s="181"/>
      <c r="M287" s="183">
        <f t="shared" si="21"/>
        <v>0</v>
      </c>
    </row>
    <row r="288" spans="1:13" x14ac:dyDescent="0.25">
      <c r="A288" s="198"/>
      <c r="G288" s="169"/>
      <c r="H288" s="181">
        <v>283</v>
      </c>
      <c r="I288" s="182" t="str">
        <f t="shared" si="19"/>
        <v/>
      </c>
      <c r="J288" s="182" t="e">
        <f t="shared" si="22"/>
        <v>#NUM!</v>
      </c>
      <c r="K288" s="181" t="e">
        <f t="shared" si="20"/>
        <v>#NUM!</v>
      </c>
      <c r="L288" s="181"/>
      <c r="M288" s="183">
        <f t="shared" si="21"/>
        <v>0</v>
      </c>
    </row>
    <row r="289" spans="1:13" x14ac:dyDescent="0.25">
      <c r="A289" s="198"/>
      <c r="G289" s="169"/>
      <c r="H289" s="181">
        <v>284</v>
      </c>
      <c r="I289" s="182" t="str">
        <f t="shared" si="19"/>
        <v/>
      </c>
      <c r="J289" s="182" t="e">
        <f t="shared" si="22"/>
        <v>#NUM!</v>
      </c>
      <c r="K289" s="181" t="e">
        <f t="shared" si="20"/>
        <v>#NUM!</v>
      </c>
      <c r="L289" s="181"/>
      <c r="M289" s="183">
        <f t="shared" si="21"/>
        <v>0</v>
      </c>
    </row>
    <row r="290" spans="1:13" x14ac:dyDescent="0.25">
      <c r="A290" s="198"/>
      <c r="G290" s="169"/>
      <c r="H290" s="181">
        <v>285</v>
      </c>
      <c r="I290" s="182" t="str">
        <f t="shared" si="19"/>
        <v/>
      </c>
      <c r="J290" s="182" t="e">
        <f t="shared" si="22"/>
        <v>#NUM!</v>
      </c>
      <c r="K290" s="181" t="e">
        <f t="shared" si="20"/>
        <v>#NUM!</v>
      </c>
      <c r="L290" s="181"/>
      <c r="M290" s="183">
        <f t="shared" si="21"/>
        <v>0</v>
      </c>
    </row>
    <row r="291" spans="1:13" x14ac:dyDescent="0.25">
      <c r="A291" s="198"/>
      <c r="G291" s="169"/>
      <c r="H291" s="181">
        <v>286</v>
      </c>
      <c r="I291" s="182" t="str">
        <f t="shared" si="19"/>
        <v/>
      </c>
      <c r="J291" s="182" t="e">
        <f t="shared" si="22"/>
        <v>#NUM!</v>
      </c>
      <c r="K291" s="181" t="e">
        <f t="shared" si="20"/>
        <v>#NUM!</v>
      </c>
      <c r="L291" s="181"/>
      <c r="M291" s="183">
        <f t="shared" si="21"/>
        <v>0</v>
      </c>
    </row>
    <row r="292" spans="1:13" x14ac:dyDescent="0.25">
      <c r="A292" s="198"/>
      <c r="G292" s="169"/>
      <c r="H292" s="181">
        <v>287</v>
      </c>
      <c r="I292" s="182" t="str">
        <f t="shared" si="19"/>
        <v/>
      </c>
      <c r="J292" s="182" t="e">
        <f t="shared" si="22"/>
        <v>#NUM!</v>
      </c>
      <c r="K292" s="181" t="e">
        <f t="shared" si="20"/>
        <v>#NUM!</v>
      </c>
      <c r="L292" s="181"/>
      <c r="M292" s="183">
        <f t="shared" si="21"/>
        <v>0</v>
      </c>
    </row>
    <row r="293" spans="1:13" x14ac:dyDescent="0.25">
      <c r="A293" s="198"/>
      <c r="G293" s="169"/>
      <c r="H293" s="181">
        <v>288</v>
      </c>
      <c r="I293" s="182" t="str">
        <f t="shared" si="19"/>
        <v/>
      </c>
      <c r="J293" s="182" t="e">
        <f t="shared" si="22"/>
        <v>#NUM!</v>
      </c>
      <c r="K293" s="181" t="e">
        <f t="shared" si="20"/>
        <v>#NUM!</v>
      </c>
      <c r="L293" s="181"/>
      <c r="M293" s="183">
        <f t="shared" si="21"/>
        <v>0</v>
      </c>
    </row>
    <row r="294" spans="1:13" x14ac:dyDescent="0.25">
      <c r="A294" s="198"/>
      <c r="G294" s="169"/>
      <c r="H294" s="181">
        <v>289</v>
      </c>
      <c r="I294" s="182" t="str">
        <f t="shared" si="19"/>
        <v/>
      </c>
      <c r="J294" s="182" t="e">
        <f t="shared" si="22"/>
        <v>#NUM!</v>
      </c>
      <c r="K294" s="181" t="e">
        <f t="shared" si="20"/>
        <v>#NUM!</v>
      </c>
      <c r="L294" s="181"/>
      <c r="M294" s="183">
        <f t="shared" si="21"/>
        <v>0</v>
      </c>
    </row>
    <row r="295" spans="1:13" x14ac:dyDescent="0.25">
      <c r="A295" s="198"/>
      <c r="G295" s="169"/>
      <c r="H295" s="181">
        <v>290</v>
      </c>
      <c r="I295" s="182" t="str">
        <f t="shared" si="19"/>
        <v/>
      </c>
      <c r="J295" s="182" t="e">
        <f t="shared" si="22"/>
        <v>#NUM!</v>
      </c>
      <c r="K295" s="181" t="e">
        <f t="shared" si="20"/>
        <v>#NUM!</v>
      </c>
      <c r="L295" s="181"/>
      <c r="M295" s="183">
        <f t="shared" si="21"/>
        <v>0</v>
      </c>
    </row>
    <row r="296" spans="1:13" x14ac:dyDescent="0.25">
      <c r="A296" s="198"/>
      <c r="G296" s="169"/>
      <c r="H296" s="181">
        <v>291</v>
      </c>
      <c r="I296" s="182" t="str">
        <f t="shared" si="19"/>
        <v/>
      </c>
      <c r="J296" s="182" t="e">
        <f t="shared" si="22"/>
        <v>#NUM!</v>
      </c>
      <c r="K296" s="181" t="e">
        <f t="shared" si="20"/>
        <v>#NUM!</v>
      </c>
      <c r="L296" s="181"/>
      <c r="M296" s="183">
        <f t="shared" si="21"/>
        <v>0</v>
      </c>
    </row>
    <row r="297" spans="1:13" x14ac:dyDescent="0.25">
      <c r="A297" s="198"/>
      <c r="G297" s="169"/>
      <c r="H297" s="181">
        <v>292</v>
      </c>
      <c r="I297" s="182" t="str">
        <f t="shared" si="19"/>
        <v/>
      </c>
      <c r="J297" s="182" t="e">
        <f t="shared" si="22"/>
        <v>#NUM!</v>
      </c>
      <c r="K297" s="181" t="e">
        <f t="shared" si="20"/>
        <v>#NUM!</v>
      </c>
      <c r="L297" s="181"/>
      <c r="M297" s="183">
        <f t="shared" si="21"/>
        <v>0</v>
      </c>
    </row>
    <row r="298" spans="1:13" x14ac:dyDescent="0.25">
      <c r="A298" s="198"/>
      <c r="G298" s="169"/>
      <c r="H298" s="181">
        <v>293</v>
      </c>
      <c r="I298" s="182" t="str">
        <f t="shared" si="19"/>
        <v/>
      </c>
      <c r="J298" s="182" t="e">
        <f t="shared" si="22"/>
        <v>#NUM!</v>
      </c>
      <c r="K298" s="181" t="e">
        <f t="shared" si="20"/>
        <v>#NUM!</v>
      </c>
      <c r="L298" s="181"/>
      <c r="M298" s="183">
        <f t="shared" si="21"/>
        <v>0</v>
      </c>
    </row>
    <row r="299" spans="1:13" x14ac:dyDescent="0.25">
      <c r="A299" s="198"/>
      <c r="G299" s="169"/>
      <c r="H299" s="181">
        <v>294</v>
      </c>
      <c r="I299" s="182" t="str">
        <f t="shared" si="19"/>
        <v/>
      </c>
      <c r="J299" s="182" t="e">
        <f t="shared" si="22"/>
        <v>#NUM!</v>
      </c>
      <c r="K299" s="181" t="e">
        <f t="shared" si="20"/>
        <v>#NUM!</v>
      </c>
      <c r="L299" s="181"/>
      <c r="M299" s="183">
        <f t="shared" si="21"/>
        <v>0</v>
      </c>
    </row>
    <row r="300" spans="1:13" x14ac:dyDescent="0.25">
      <c r="A300" s="198"/>
      <c r="G300" s="169"/>
      <c r="H300" s="181">
        <v>295</v>
      </c>
      <c r="I300" s="182" t="str">
        <f t="shared" si="19"/>
        <v/>
      </c>
      <c r="J300" s="182" t="e">
        <f t="shared" si="22"/>
        <v>#NUM!</v>
      </c>
      <c r="K300" s="181" t="e">
        <f t="shared" si="20"/>
        <v>#NUM!</v>
      </c>
      <c r="L300" s="181"/>
      <c r="M300" s="183">
        <f t="shared" si="21"/>
        <v>0</v>
      </c>
    </row>
    <row r="301" spans="1:13" x14ac:dyDescent="0.25">
      <c r="A301" s="198"/>
      <c r="G301" s="169"/>
      <c r="H301" s="181">
        <v>296</v>
      </c>
      <c r="I301" s="182" t="str">
        <f t="shared" si="19"/>
        <v/>
      </c>
      <c r="J301" s="182" t="e">
        <f t="shared" si="22"/>
        <v>#NUM!</v>
      </c>
      <c r="K301" s="181" t="e">
        <f t="shared" si="20"/>
        <v>#NUM!</v>
      </c>
      <c r="L301" s="181"/>
      <c r="M301" s="183">
        <f t="shared" si="21"/>
        <v>0</v>
      </c>
    </row>
    <row r="302" spans="1:13" x14ac:dyDescent="0.25">
      <c r="A302" s="198"/>
      <c r="G302" s="169"/>
      <c r="H302" s="181">
        <v>297</v>
      </c>
      <c r="I302" s="182" t="str">
        <f t="shared" si="19"/>
        <v/>
      </c>
      <c r="J302" s="182" t="e">
        <f t="shared" si="22"/>
        <v>#NUM!</v>
      </c>
      <c r="K302" s="181" t="e">
        <f t="shared" si="20"/>
        <v>#NUM!</v>
      </c>
      <c r="L302" s="181"/>
      <c r="M302" s="183">
        <f t="shared" si="21"/>
        <v>0</v>
      </c>
    </row>
    <row r="303" spans="1:13" x14ac:dyDescent="0.25">
      <c r="A303" s="198"/>
      <c r="G303" s="169"/>
      <c r="H303" s="181">
        <v>298</v>
      </c>
      <c r="I303" s="182" t="str">
        <f t="shared" si="19"/>
        <v/>
      </c>
      <c r="J303" s="182" t="e">
        <f t="shared" si="22"/>
        <v>#NUM!</v>
      </c>
      <c r="K303" s="181" t="e">
        <f t="shared" si="20"/>
        <v>#NUM!</v>
      </c>
      <c r="L303" s="181"/>
      <c r="M303" s="183">
        <f t="shared" si="21"/>
        <v>0</v>
      </c>
    </row>
    <row r="304" spans="1:13" x14ac:dyDescent="0.25">
      <c r="A304" s="198"/>
      <c r="G304" s="169"/>
      <c r="H304" s="181">
        <v>299</v>
      </c>
      <c r="I304" s="182" t="str">
        <f t="shared" si="19"/>
        <v/>
      </c>
      <c r="J304" s="182" t="e">
        <f t="shared" si="22"/>
        <v>#NUM!</v>
      </c>
      <c r="K304" s="181" t="e">
        <f t="shared" si="20"/>
        <v>#NUM!</v>
      </c>
      <c r="L304" s="181"/>
      <c r="M304" s="183">
        <f t="shared" si="21"/>
        <v>0</v>
      </c>
    </row>
    <row r="305" spans="1:16" x14ac:dyDescent="0.25">
      <c r="A305" s="198"/>
      <c r="G305" s="169"/>
      <c r="H305" s="181">
        <v>300</v>
      </c>
      <c r="I305" s="182" t="str">
        <f t="shared" si="19"/>
        <v/>
      </c>
      <c r="J305" s="182" t="e">
        <f t="shared" si="22"/>
        <v>#NUM!</v>
      </c>
      <c r="K305" s="181" t="e">
        <f t="shared" si="20"/>
        <v>#NUM!</v>
      </c>
      <c r="L305" s="181"/>
      <c r="M305" s="183">
        <f t="shared" si="21"/>
        <v>0</v>
      </c>
    </row>
    <row r="306" spans="1:16" x14ac:dyDescent="0.25">
      <c r="A306" s="199"/>
    </row>
    <row r="314" spans="1:16" x14ac:dyDescent="0.25">
      <c r="L314" s="202"/>
      <c r="P314" s="192"/>
    </row>
    <row r="315" spans="1:16" x14ac:dyDescent="0.25">
      <c r="L315" s="202"/>
      <c r="P315" s="192"/>
    </row>
    <row r="316" spans="1:16" x14ac:dyDescent="0.25">
      <c r="L316" s="202"/>
      <c r="P316" s="192"/>
    </row>
    <row r="317" spans="1:16" x14ac:dyDescent="0.25">
      <c r="L317" s="202"/>
      <c r="P317" s="192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9EB64206-0A06-42AB-959C-3320220753D2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281B-A859-442F-962C-1B26772BACD0}">
  <sheetPr>
    <tabColor rgb="FF92D050"/>
  </sheetPr>
  <dimension ref="A1:AL317"/>
  <sheetViews>
    <sheetView workbookViewId="0">
      <selection activeCell="E23" sqref="E23"/>
    </sheetView>
  </sheetViews>
  <sheetFormatPr defaultColWidth="8.875" defaultRowHeight="14.3" x14ac:dyDescent="0.25"/>
  <cols>
    <col min="1" max="1" width="8" style="197" customWidth="1"/>
    <col min="2" max="2" width="8.25" style="197" customWidth="1"/>
    <col min="3" max="3" width="34.75" style="197" customWidth="1"/>
    <col min="4" max="4" width="11.25" style="197" customWidth="1"/>
    <col min="5" max="6" width="8.875" style="197"/>
    <col min="7" max="7" width="0.875" style="197" customWidth="1"/>
    <col min="8" max="8" width="8.875" style="200"/>
    <col min="9" max="9" width="11" style="200" customWidth="1"/>
    <col min="10" max="10" width="15" style="200" customWidth="1"/>
    <col min="11" max="11" width="8.75" style="200" customWidth="1"/>
    <col min="12" max="12" width="11" style="200" customWidth="1"/>
    <col min="13" max="13" width="11.75" style="201" customWidth="1"/>
    <col min="14" max="15" width="13.875" style="169" customWidth="1"/>
    <col min="16" max="18" width="8.875" style="169"/>
    <col min="19" max="20" width="8.875" style="174"/>
    <col min="21" max="21" width="12.125" style="174" customWidth="1"/>
    <col min="22" max="22" width="27.375" style="174" customWidth="1"/>
    <col min="23" max="38" width="8.875" style="174"/>
    <col min="39" max="16384" width="8.875" style="197"/>
  </cols>
  <sheetData>
    <row r="1" spans="1:36" x14ac:dyDescent="0.25">
      <c r="A1" s="169"/>
      <c r="B1" s="169"/>
      <c r="C1" s="169"/>
      <c r="D1" s="169"/>
      <c r="E1" s="169"/>
      <c r="F1" s="169"/>
      <c r="G1" s="169"/>
      <c r="H1" s="170" t="s">
        <v>29</v>
      </c>
      <c r="I1" s="171" t="s">
        <v>30</v>
      </c>
      <c r="J1" s="171" t="s">
        <v>31</v>
      </c>
      <c r="K1" s="172" t="s">
        <v>116</v>
      </c>
      <c r="L1" s="173"/>
      <c r="M1" s="173"/>
    </row>
    <row r="2" spans="1:36" x14ac:dyDescent="0.25">
      <c r="A2" s="169"/>
      <c r="B2" s="19" t="s">
        <v>33</v>
      </c>
      <c r="C2" s="266" t="s">
        <v>117</v>
      </c>
      <c r="D2" s="129"/>
      <c r="E2" s="20"/>
      <c r="F2" s="20"/>
      <c r="G2" s="20"/>
      <c r="H2" s="175">
        <v>10</v>
      </c>
      <c r="I2" s="176">
        <v>50</v>
      </c>
      <c r="J2" s="176">
        <v>10</v>
      </c>
      <c r="K2" s="177">
        <f>3*H2^(1/3)</f>
        <v>6.463304070095651</v>
      </c>
      <c r="L2" s="173"/>
      <c r="M2" s="173"/>
    </row>
    <row r="3" spans="1:36" ht="14.45" customHeight="1" x14ac:dyDescent="0.25">
      <c r="A3" s="169"/>
      <c r="B3" s="178" t="s">
        <v>35</v>
      </c>
      <c r="C3" s="70" t="s">
        <v>132</v>
      </c>
      <c r="D3" s="70"/>
      <c r="E3" s="25"/>
      <c r="F3" s="25"/>
      <c r="G3" s="25"/>
      <c r="H3" s="173"/>
      <c r="I3" s="173"/>
      <c r="J3" s="173"/>
      <c r="K3" s="173"/>
      <c r="L3" s="173"/>
      <c r="M3" s="17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3"/>
      <c r="I4" s="173"/>
      <c r="J4" s="173"/>
      <c r="K4" s="173"/>
      <c r="L4" s="173"/>
      <c r="M4" s="17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79" t="s">
        <v>43</v>
      </c>
      <c r="I5" s="180" t="s">
        <v>44</v>
      </c>
      <c r="J5" s="180" t="s">
        <v>45</v>
      </c>
      <c r="K5" s="180" t="s">
        <v>46</v>
      </c>
      <c r="L5" s="180" t="s">
        <v>47</v>
      </c>
      <c r="M5" s="179" t="s">
        <v>48</v>
      </c>
    </row>
    <row r="6" spans="1:36" ht="14.45" customHeight="1" x14ac:dyDescent="0.25">
      <c r="A6" s="97">
        <f>M6</f>
        <v>109.38991221028695</v>
      </c>
      <c r="B6" s="33">
        <f t="shared" ref="B6:B65" si="0">IF(H6&gt;$H$2,"",(ROW()-5))</f>
        <v>1</v>
      </c>
      <c r="C6" s="265" t="s">
        <v>26</v>
      </c>
      <c r="D6" s="34"/>
      <c r="E6" s="34"/>
      <c r="F6" s="34"/>
      <c r="G6" s="27"/>
      <c r="H6" s="181">
        <v>1</v>
      </c>
      <c r="I6" s="182">
        <f t="shared" ref="I6:I69" si="1">IF(H6&lt;$H$2+1,($I$2-($I$2-1)*(LOG(H6)/LOG($H$2))),"")</f>
        <v>50</v>
      </c>
      <c r="J6" s="182">
        <f>INT(LOG($H$2,2))-ROUNDUP(LOG(H6,2),0)+IF(OR($H$2=1,$H$2=2,$H$2=4,$H$2=8,$H$2=16,$H$2=32,$H$2=64,$H$2=128,$H$2=256),0,1)</f>
        <v>4</v>
      </c>
      <c r="K6" s="181">
        <f t="shared" ref="K6:K69" si="2">J6*$J$2</f>
        <v>40</v>
      </c>
      <c r="L6" s="183">
        <f>3*K2</f>
        <v>19.389912210286951</v>
      </c>
      <c r="M6" s="183">
        <f t="shared" ref="M6:M69" si="3">IF(I6&lt;&gt;"",K6+I6+L6,0)</f>
        <v>109.38991221028695</v>
      </c>
    </row>
    <row r="7" spans="1:36" ht="14.45" customHeight="1" x14ac:dyDescent="0.25">
      <c r="A7" s="101">
        <f t="shared" ref="A7:A70" si="4">M7</f>
        <v>78.176138352656224</v>
      </c>
      <c r="B7" s="39">
        <f t="shared" si="0"/>
        <v>2</v>
      </c>
      <c r="C7" s="40" t="s">
        <v>54</v>
      </c>
      <c r="D7" s="40"/>
      <c r="E7" s="40"/>
      <c r="F7" s="40"/>
      <c r="G7" s="27"/>
      <c r="H7" s="184">
        <v>2</v>
      </c>
      <c r="I7" s="185">
        <f t="shared" si="1"/>
        <v>35.249530212464919</v>
      </c>
      <c r="J7" s="185">
        <f t="shared" ref="J7:J70" si="5">INT(LOG($H$2,2))-ROUNDUP(LOG(H7,2),0)+IF(OR($H$2=1,$H$2=2,$H$2=4,$H$2=8,$H$2=16,$H$2=32,$H$2=64,$H$2=128,$H$2=256),0,1)</f>
        <v>3</v>
      </c>
      <c r="K7" s="184">
        <f t="shared" si="2"/>
        <v>30</v>
      </c>
      <c r="L7" s="186">
        <f>2*K2</f>
        <v>12.926608140191302</v>
      </c>
      <c r="M7" s="186">
        <f t="shared" si="3"/>
        <v>78.176138352656224</v>
      </c>
    </row>
    <row r="8" spans="1:36" ht="14.45" customHeight="1" x14ac:dyDescent="0.25">
      <c r="A8" s="97">
        <f t="shared" si="4"/>
        <v>53.084362588832192</v>
      </c>
      <c r="B8" s="33">
        <f t="shared" si="0"/>
        <v>3</v>
      </c>
      <c r="C8" s="265" t="s">
        <v>54</v>
      </c>
      <c r="D8" s="34"/>
      <c r="E8" s="34"/>
      <c r="F8" s="34"/>
      <c r="G8" s="27"/>
      <c r="H8" s="181">
        <v>3</v>
      </c>
      <c r="I8" s="182">
        <f t="shared" si="1"/>
        <v>26.62105851873654</v>
      </c>
      <c r="J8" s="182">
        <f t="shared" si="5"/>
        <v>2</v>
      </c>
      <c r="K8" s="181">
        <f t="shared" si="2"/>
        <v>20</v>
      </c>
      <c r="L8" s="183">
        <f>K2</f>
        <v>6.463304070095651</v>
      </c>
      <c r="M8" s="183">
        <f t="shared" si="3"/>
        <v>53.084362588832192</v>
      </c>
    </row>
    <row r="9" spans="1:36" s="174" customFormat="1" ht="14.45" customHeight="1" x14ac:dyDescent="0.25">
      <c r="A9" s="101">
        <f t="shared" si="4"/>
        <v>53.084362588832192</v>
      </c>
      <c r="B9" s="39">
        <f>IF(H9&gt;$H$2,"",3)</f>
        <v>3</v>
      </c>
      <c r="C9" s="40" t="s">
        <v>54</v>
      </c>
      <c r="D9" s="40"/>
      <c r="E9" s="40"/>
      <c r="F9" s="40"/>
      <c r="G9" s="27"/>
      <c r="H9" s="184">
        <v>3</v>
      </c>
      <c r="I9" s="185">
        <f t="shared" si="1"/>
        <v>26.62105851873654</v>
      </c>
      <c r="J9" s="184">
        <f t="shared" si="5"/>
        <v>2</v>
      </c>
      <c r="K9" s="184">
        <f t="shared" si="2"/>
        <v>20</v>
      </c>
      <c r="L9" s="186">
        <f>K2</f>
        <v>6.463304070095651</v>
      </c>
      <c r="M9" s="186">
        <f t="shared" si="3"/>
        <v>53.084362588832192</v>
      </c>
      <c r="N9" s="169"/>
      <c r="O9" s="169"/>
      <c r="P9" s="169"/>
      <c r="Q9" s="169"/>
      <c r="R9" s="169"/>
      <c r="V9" s="187"/>
      <c r="Z9" s="188"/>
      <c r="AA9" s="188"/>
      <c r="AG9" s="189"/>
      <c r="AH9" s="174" t="s">
        <v>54</v>
      </c>
      <c r="AI9" s="174">
        <v>23</v>
      </c>
    </row>
    <row r="10" spans="1:36" ht="14.45" customHeight="1" x14ac:dyDescent="0.25">
      <c r="A10" s="97">
        <f t="shared" si="4"/>
        <v>25.750469787535074</v>
      </c>
      <c r="B10" s="33">
        <f t="shared" si="0"/>
        <v>5</v>
      </c>
      <c r="C10" s="34" t="s">
        <v>54</v>
      </c>
      <c r="D10" s="34"/>
      <c r="E10" s="34"/>
      <c r="F10" s="34"/>
      <c r="G10" s="27"/>
      <c r="H10" s="181">
        <v>5</v>
      </c>
      <c r="I10" s="182">
        <f t="shared" si="1"/>
        <v>15.750469787535074</v>
      </c>
      <c r="J10" s="182">
        <f t="shared" si="5"/>
        <v>1</v>
      </c>
      <c r="K10" s="181">
        <f t="shared" si="2"/>
        <v>10</v>
      </c>
      <c r="L10" s="181"/>
      <c r="M10" s="183">
        <f t="shared" si="3"/>
        <v>25.750469787535074</v>
      </c>
      <c r="V10" s="187"/>
      <c r="Z10" s="188"/>
      <c r="AA10" s="188"/>
      <c r="AG10" s="189"/>
      <c r="AH10" s="174" t="s">
        <v>55</v>
      </c>
      <c r="AI10" s="174">
        <v>45</v>
      </c>
    </row>
    <row r="11" spans="1:36" ht="14.45" customHeight="1" x14ac:dyDescent="0.25">
      <c r="A11" s="101">
        <f t="shared" si="4"/>
        <v>21.870588731201465</v>
      </c>
      <c r="B11" s="39">
        <f t="shared" si="0"/>
        <v>6</v>
      </c>
      <c r="C11" s="40" t="s">
        <v>54</v>
      </c>
      <c r="D11" s="40"/>
      <c r="E11" s="40"/>
      <c r="F11" s="40"/>
      <c r="G11" s="27"/>
      <c r="H11" s="184">
        <v>6</v>
      </c>
      <c r="I11" s="185">
        <f t="shared" si="1"/>
        <v>11.870588731201465</v>
      </c>
      <c r="J11" s="185">
        <f t="shared" si="5"/>
        <v>1</v>
      </c>
      <c r="K11" s="184">
        <f t="shared" si="2"/>
        <v>10</v>
      </c>
      <c r="L11" s="184"/>
      <c r="M11" s="186">
        <f t="shared" si="3"/>
        <v>21.870588731201465</v>
      </c>
      <c r="V11" s="190"/>
      <c r="Z11" s="188"/>
      <c r="AA11" s="188"/>
      <c r="AG11" s="189"/>
      <c r="AH11" s="174" t="s">
        <v>56</v>
      </c>
      <c r="AI11" s="174">
        <v>50</v>
      </c>
    </row>
    <row r="12" spans="1:36" ht="14.45" customHeight="1" x14ac:dyDescent="0.25">
      <c r="A12" s="97">
        <f t="shared" si="4"/>
        <v>18.590196039301418</v>
      </c>
      <c r="B12" s="33">
        <f t="shared" si="0"/>
        <v>7</v>
      </c>
      <c r="C12" s="34" t="s">
        <v>54</v>
      </c>
      <c r="D12" s="34"/>
      <c r="E12" s="34"/>
      <c r="F12" s="34"/>
      <c r="G12" s="27"/>
      <c r="H12" s="181">
        <v>7</v>
      </c>
      <c r="I12" s="182">
        <f t="shared" si="1"/>
        <v>8.5901960393014178</v>
      </c>
      <c r="J12" s="182">
        <f t="shared" si="5"/>
        <v>1</v>
      </c>
      <c r="K12" s="181">
        <f t="shared" si="2"/>
        <v>10</v>
      </c>
      <c r="L12" s="181"/>
      <c r="M12" s="183">
        <f t="shared" si="3"/>
        <v>18.590196039301418</v>
      </c>
      <c r="Z12" s="188"/>
      <c r="AA12" s="188"/>
      <c r="AG12" s="189"/>
      <c r="AH12" s="174" t="s">
        <v>57</v>
      </c>
      <c r="AI12" s="174">
        <f>AI11-1</f>
        <v>49</v>
      </c>
    </row>
    <row r="13" spans="1:36" ht="14.45" customHeight="1" x14ac:dyDescent="0.25">
      <c r="A13" s="101">
        <f t="shared" si="4"/>
        <v>15.74859063739477</v>
      </c>
      <c r="B13" s="39">
        <f t="shared" si="0"/>
        <v>8</v>
      </c>
      <c r="C13" s="40" t="s">
        <v>54</v>
      </c>
      <c r="D13" s="40"/>
      <c r="E13" s="40"/>
      <c r="F13" s="40"/>
      <c r="G13" s="27"/>
      <c r="H13" s="184">
        <v>8</v>
      </c>
      <c r="I13" s="185">
        <f t="shared" si="1"/>
        <v>5.7485906373947699</v>
      </c>
      <c r="J13" s="185">
        <f t="shared" si="5"/>
        <v>1</v>
      </c>
      <c r="K13" s="184">
        <f t="shared" si="2"/>
        <v>10</v>
      </c>
      <c r="L13" s="184"/>
      <c r="M13" s="186">
        <f t="shared" si="3"/>
        <v>15.74859063739477</v>
      </c>
      <c r="X13" s="187"/>
      <c r="AG13" s="189"/>
      <c r="AH13" s="174" t="s">
        <v>58</v>
      </c>
      <c r="AI13" s="174">
        <f>LOG(AI9)</f>
        <v>1.3617278360175928</v>
      </c>
    </row>
    <row r="14" spans="1:36" x14ac:dyDescent="0.25">
      <c r="A14" s="97">
        <f t="shared" si="4"/>
        <v>3.2421170374730792</v>
      </c>
      <c r="B14" s="33">
        <f t="shared" si="0"/>
        <v>9</v>
      </c>
      <c r="C14" s="34" t="s">
        <v>54</v>
      </c>
      <c r="D14" s="34"/>
      <c r="E14" s="34"/>
      <c r="F14" s="34"/>
      <c r="G14" s="27"/>
      <c r="H14" s="181">
        <v>9</v>
      </c>
      <c r="I14" s="182">
        <f t="shared" si="1"/>
        <v>3.2421170374730792</v>
      </c>
      <c r="J14" s="182">
        <f t="shared" si="5"/>
        <v>0</v>
      </c>
      <c r="K14" s="181">
        <f t="shared" si="2"/>
        <v>0</v>
      </c>
      <c r="L14" s="181"/>
      <c r="M14" s="183">
        <f t="shared" si="3"/>
        <v>3.2421170374730792</v>
      </c>
      <c r="X14" s="191"/>
      <c r="Z14" s="188"/>
      <c r="AA14" s="188"/>
      <c r="AG14" s="189"/>
      <c r="AH14" s="174" t="s">
        <v>59</v>
      </c>
      <c r="AI14" s="174">
        <f>LOG(AI10)</f>
        <v>1.6532125137753437</v>
      </c>
    </row>
    <row r="15" spans="1:36" x14ac:dyDescent="0.25">
      <c r="A15" s="101">
        <f t="shared" si="4"/>
        <v>1</v>
      </c>
      <c r="B15" s="39">
        <f t="shared" si="0"/>
        <v>10</v>
      </c>
      <c r="C15" s="40" t="s">
        <v>54</v>
      </c>
      <c r="D15" s="40"/>
      <c r="E15" s="40"/>
      <c r="F15" s="40"/>
      <c r="G15" s="27"/>
      <c r="H15" s="184">
        <v>10</v>
      </c>
      <c r="I15" s="185">
        <f t="shared" si="1"/>
        <v>1</v>
      </c>
      <c r="J15" s="185">
        <f t="shared" si="5"/>
        <v>0</v>
      </c>
      <c r="K15" s="184">
        <f t="shared" si="2"/>
        <v>0</v>
      </c>
      <c r="L15" s="184"/>
      <c r="M15" s="186">
        <f t="shared" si="3"/>
        <v>1</v>
      </c>
      <c r="X15" s="187"/>
      <c r="Z15" s="188"/>
      <c r="AA15" s="188"/>
    </row>
    <row r="16" spans="1:36" x14ac:dyDescent="0.25">
      <c r="A16" s="97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1">
        <v>11</v>
      </c>
      <c r="I16" s="182" t="str">
        <f t="shared" si="1"/>
        <v/>
      </c>
      <c r="J16" s="182">
        <f t="shared" si="5"/>
        <v>0</v>
      </c>
      <c r="K16" s="181">
        <f t="shared" si="2"/>
        <v>0</v>
      </c>
      <c r="L16" s="181"/>
      <c r="M16" s="183">
        <f t="shared" si="3"/>
        <v>0</v>
      </c>
      <c r="R16" s="192"/>
      <c r="Z16" s="188"/>
      <c r="AA16" s="188"/>
      <c r="AH16" s="193" t="s">
        <v>60</v>
      </c>
      <c r="AI16" s="174">
        <f>AI11-AI12*AI13/AI14</f>
        <v>9.6393909380186855</v>
      </c>
      <c r="AJ16" s="174" t="s">
        <v>61</v>
      </c>
    </row>
    <row r="17" spans="1:19" x14ac:dyDescent="0.25">
      <c r="A17" s="10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4">
        <v>12</v>
      </c>
      <c r="I17" s="185" t="str">
        <f t="shared" si="1"/>
        <v/>
      </c>
      <c r="J17" s="185">
        <f t="shared" si="5"/>
        <v>0</v>
      </c>
      <c r="K17" s="184">
        <f t="shared" si="2"/>
        <v>0</v>
      </c>
      <c r="L17" s="184"/>
      <c r="M17" s="186">
        <f t="shared" si="3"/>
        <v>0</v>
      </c>
    </row>
    <row r="18" spans="1:19" x14ac:dyDescent="0.25">
      <c r="A18" s="97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1">
        <v>13</v>
      </c>
      <c r="I18" s="182" t="str">
        <f t="shared" si="1"/>
        <v/>
      </c>
      <c r="J18" s="182">
        <f t="shared" si="5"/>
        <v>0</v>
      </c>
      <c r="K18" s="181">
        <f t="shared" si="2"/>
        <v>0</v>
      </c>
      <c r="L18" s="181"/>
      <c r="M18" s="183">
        <f t="shared" si="3"/>
        <v>0</v>
      </c>
    </row>
    <row r="19" spans="1:19" x14ac:dyDescent="0.25">
      <c r="A19" s="10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4">
        <v>14</v>
      </c>
      <c r="I19" s="185" t="str">
        <f t="shared" si="1"/>
        <v/>
      </c>
      <c r="J19" s="185">
        <f t="shared" si="5"/>
        <v>0</v>
      </c>
      <c r="K19" s="184">
        <f t="shared" si="2"/>
        <v>0</v>
      </c>
      <c r="L19" s="184"/>
      <c r="M19" s="186">
        <f t="shared" si="3"/>
        <v>0</v>
      </c>
    </row>
    <row r="20" spans="1:19" x14ac:dyDescent="0.25">
      <c r="A20" s="97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1">
        <v>15</v>
      </c>
      <c r="I20" s="182" t="str">
        <f t="shared" si="1"/>
        <v/>
      </c>
      <c r="J20" s="182">
        <f t="shared" si="5"/>
        <v>0</v>
      </c>
      <c r="K20" s="181">
        <f t="shared" si="2"/>
        <v>0</v>
      </c>
      <c r="L20" s="181"/>
      <c r="M20" s="183">
        <f t="shared" si="3"/>
        <v>0</v>
      </c>
      <c r="R20" s="194"/>
      <c r="S20" s="195"/>
    </row>
    <row r="21" spans="1:19" x14ac:dyDescent="0.25">
      <c r="A21" s="10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4">
        <v>16</v>
      </c>
      <c r="I21" s="185" t="str">
        <f t="shared" si="1"/>
        <v/>
      </c>
      <c r="J21" s="185">
        <f t="shared" si="5"/>
        <v>0</v>
      </c>
      <c r="K21" s="184">
        <f t="shared" si="2"/>
        <v>0</v>
      </c>
      <c r="L21" s="184"/>
      <c r="M21" s="186">
        <f t="shared" si="3"/>
        <v>0</v>
      </c>
    </row>
    <row r="22" spans="1:19" x14ac:dyDescent="0.25">
      <c r="A22" s="97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1">
        <v>17</v>
      </c>
      <c r="I22" s="182" t="str">
        <f t="shared" si="1"/>
        <v/>
      </c>
      <c r="J22" s="182">
        <f t="shared" si="5"/>
        <v>-1</v>
      </c>
      <c r="K22" s="181">
        <f t="shared" si="2"/>
        <v>-10</v>
      </c>
      <c r="L22" s="181"/>
      <c r="M22" s="183">
        <f t="shared" si="3"/>
        <v>0</v>
      </c>
    </row>
    <row r="23" spans="1:19" x14ac:dyDescent="0.25">
      <c r="A23" s="10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4">
        <v>18</v>
      </c>
      <c r="I23" s="185" t="str">
        <f t="shared" si="1"/>
        <v/>
      </c>
      <c r="J23" s="185">
        <f t="shared" si="5"/>
        <v>-1</v>
      </c>
      <c r="K23" s="184">
        <f t="shared" si="2"/>
        <v>-10</v>
      </c>
      <c r="L23" s="184"/>
      <c r="M23" s="186">
        <f t="shared" si="3"/>
        <v>0</v>
      </c>
    </row>
    <row r="24" spans="1:19" x14ac:dyDescent="0.25">
      <c r="A24" s="97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1">
        <v>19</v>
      </c>
      <c r="I24" s="182" t="str">
        <f t="shared" si="1"/>
        <v/>
      </c>
      <c r="J24" s="182">
        <f t="shared" si="5"/>
        <v>-1</v>
      </c>
      <c r="K24" s="181">
        <f t="shared" si="2"/>
        <v>-10</v>
      </c>
      <c r="L24" s="181"/>
      <c r="M24" s="183">
        <f t="shared" si="3"/>
        <v>0</v>
      </c>
      <c r="R24" s="194"/>
      <c r="S24" s="195"/>
    </row>
    <row r="25" spans="1:19" x14ac:dyDescent="0.25">
      <c r="A25" s="10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4">
        <v>20</v>
      </c>
      <c r="I25" s="185" t="str">
        <f t="shared" si="1"/>
        <v/>
      </c>
      <c r="J25" s="185">
        <f t="shared" si="5"/>
        <v>-1</v>
      </c>
      <c r="K25" s="184">
        <f t="shared" si="2"/>
        <v>-10</v>
      </c>
      <c r="L25" s="184"/>
      <c r="M25" s="186">
        <f t="shared" si="3"/>
        <v>0</v>
      </c>
    </row>
    <row r="26" spans="1:19" x14ac:dyDescent="0.25">
      <c r="A26" s="97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1">
        <v>21</v>
      </c>
      <c r="I26" s="182" t="str">
        <f t="shared" si="1"/>
        <v/>
      </c>
      <c r="J26" s="182">
        <f t="shared" si="5"/>
        <v>-1</v>
      </c>
      <c r="K26" s="181">
        <f t="shared" si="2"/>
        <v>-10</v>
      </c>
      <c r="L26" s="181"/>
      <c r="M26" s="183">
        <f t="shared" si="3"/>
        <v>0</v>
      </c>
    </row>
    <row r="27" spans="1:19" x14ac:dyDescent="0.25">
      <c r="A27" s="10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4">
        <v>22</v>
      </c>
      <c r="I27" s="185" t="str">
        <f t="shared" si="1"/>
        <v/>
      </c>
      <c r="J27" s="185">
        <f t="shared" si="5"/>
        <v>-1</v>
      </c>
      <c r="K27" s="184">
        <f t="shared" si="2"/>
        <v>-10</v>
      </c>
      <c r="L27" s="184"/>
      <c r="M27" s="186">
        <f t="shared" si="3"/>
        <v>0</v>
      </c>
    </row>
    <row r="28" spans="1:19" x14ac:dyDescent="0.25">
      <c r="A28" s="97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1">
        <v>23</v>
      </c>
      <c r="I28" s="182" t="str">
        <f t="shared" si="1"/>
        <v/>
      </c>
      <c r="J28" s="182">
        <f t="shared" si="5"/>
        <v>-1</v>
      </c>
      <c r="K28" s="181">
        <f t="shared" si="2"/>
        <v>-10</v>
      </c>
      <c r="L28" s="181"/>
      <c r="M28" s="183">
        <f t="shared" si="3"/>
        <v>0</v>
      </c>
      <c r="R28" s="194"/>
      <c r="S28" s="195"/>
    </row>
    <row r="29" spans="1:19" x14ac:dyDescent="0.25">
      <c r="A29" s="101">
        <f t="shared" si="4"/>
        <v>0</v>
      </c>
      <c r="B29" s="39" t="str">
        <f t="shared" si="0"/>
        <v/>
      </c>
      <c r="C29" s="40"/>
      <c r="D29" s="40"/>
      <c r="E29" s="40"/>
      <c r="F29" s="40"/>
      <c r="G29" s="169"/>
      <c r="H29" s="184">
        <v>24</v>
      </c>
      <c r="I29" s="185" t="str">
        <f t="shared" si="1"/>
        <v/>
      </c>
      <c r="J29" s="185">
        <f t="shared" si="5"/>
        <v>-1</v>
      </c>
      <c r="K29" s="184">
        <f t="shared" si="2"/>
        <v>-10</v>
      </c>
      <c r="L29" s="184"/>
      <c r="M29" s="186">
        <f t="shared" si="3"/>
        <v>0</v>
      </c>
    </row>
    <row r="30" spans="1:19" x14ac:dyDescent="0.25">
      <c r="A30" s="97">
        <f t="shared" si="4"/>
        <v>0</v>
      </c>
      <c r="B30" s="33" t="str">
        <f t="shared" si="0"/>
        <v/>
      </c>
      <c r="C30" s="34"/>
      <c r="D30" s="34"/>
      <c r="E30" s="34"/>
      <c r="F30" s="34"/>
      <c r="G30" s="169"/>
      <c r="H30" s="181">
        <v>25</v>
      </c>
      <c r="I30" s="182" t="str">
        <f t="shared" si="1"/>
        <v/>
      </c>
      <c r="J30" s="182">
        <f t="shared" si="5"/>
        <v>-1</v>
      </c>
      <c r="K30" s="181">
        <f t="shared" si="2"/>
        <v>-10</v>
      </c>
      <c r="L30" s="181"/>
      <c r="M30" s="183">
        <f t="shared" si="3"/>
        <v>0</v>
      </c>
    </row>
    <row r="31" spans="1:19" x14ac:dyDescent="0.25">
      <c r="A31" s="101">
        <f t="shared" si="4"/>
        <v>0</v>
      </c>
      <c r="B31" s="39" t="str">
        <f t="shared" si="0"/>
        <v/>
      </c>
      <c r="C31" s="40"/>
      <c r="D31" s="40"/>
      <c r="E31" s="40"/>
      <c r="F31" s="40"/>
      <c r="G31" s="169"/>
      <c r="H31" s="184">
        <v>26</v>
      </c>
      <c r="I31" s="185" t="str">
        <f t="shared" si="1"/>
        <v/>
      </c>
      <c r="J31" s="185">
        <f t="shared" si="5"/>
        <v>-1</v>
      </c>
      <c r="K31" s="184">
        <f t="shared" si="2"/>
        <v>-10</v>
      </c>
      <c r="L31" s="184"/>
      <c r="M31" s="186">
        <f t="shared" si="3"/>
        <v>0</v>
      </c>
    </row>
    <row r="32" spans="1:19" x14ac:dyDescent="0.25">
      <c r="A32" s="97">
        <f t="shared" si="4"/>
        <v>0</v>
      </c>
      <c r="B32" s="33" t="str">
        <f t="shared" si="0"/>
        <v/>
      </c>
      <c r="C32" s="34"/>
      <c r="D32" s="34"/>
      <c r="E32" s="34"/>
      <c r="F32" s="34"/>
      <c r="G32" s="169"/>
      <c r="H32" s="181">
        <v>27</v>
      </c>
      <c r="I32" s="182" t="str">
        <f t="shared" si="1"/>
        <v/>
      </c>
      <c r="J32" s="182">
        <f t="shared" si="5"/>
        <v>-1</v>
      </c>
      <c r="K32" s="181">
        <f t="shared" si="2"/>
        <v>-10</v>
      </c>
      <c r="L32" s="181"/>
      <c r="M32" s="183">
        <f t="shared" si="3"/>
        <v>0</v>
      </c>
      <c r="R32" s="194"/>
      <c r="S32" s="195"/>
    </row>
    <row r="33" spans="1:21" x14ac:dyDescent="0.25">
      <c r="A33" s="101">
        <f t="shared" si="4"/>
        <v>0</v>
      </c>
      <c r="B33" s="39" t="str">
        <f t="shared" si="0"/>
        <v/>
      </c>
      <c r="C33" s="40"/>
      <c r="D33" s="40"/>
      <c r="E33" s="40"/>
      <c r="F33" s="40"/>
      <c r="G33" s="169"/>
      <c r="H33" s="184">
        <v>28</v>
      </c>
      <c r="I33" s="185" t="str">
        <f t="shared" si="1"/>
        <v/>
      </c>
      <c r="J33" s="185">
        <f t="shared" si="5"/>
        <v>-1</v>
      </c>
      <c r="K33" s="184">
        <f t="shared" si="2"/>
        <v>-10</v>
      </c>
      <c r="L33" s="184"/>
      <c r="M33" s="186">
        <f t="shared" si="3"/>
        <v>0</v>
      </c>
    </row>
    <row r="34" spans="1:21" x14ac:dyDescent="0.25">
      <c r="A34" s="97">
        <f t="shared" si="4"/>
        <v>0</v>
      </c>
      <c r="B34" s="33" t="str">
        <f t="shared" si="0"/>
        <v/>
      </c>
      <c r="C34" s="34"/>
      <c r="D34" s="34"/>
      <c r="E34" s="34"/>
      <c r="F34" s="34"/>
      <c r="G34" s="169"/>
      <c r="H34" s="181">
        <v>29</v>
      </c>
      <c r="I34" s="182" t="str">
        <f t="shared" si="1"/>
        <v/>
      </c>
      <c r="J34" s="182">
        <f t="shared" si="5"/>
        <v>-1</v>
      </c>
      <c r="K34" s="181">
        <f t="shared" si="2"/>
        <v>-10</v>
      </c>
      <c r="L34" s="181"/>
      <c r="M34" s="183">
        <f t="shared" si="3"/>
        <v>0</v>
      </c>
    </row>
    <row r="35" spans="1:21" x14ac:dyDescent="0.25">
      <c r="A35" s="101">
        <f t="shared" si="4"/>
        <v>0</v>
      </c>
      <c r="B35" s="39" t="str">
        <f t="shared" si="0"/>
        <v/>
      </c>
      <c r="C35" s="40"/>
      <c r="D35" s="40"/>
      <c r="E35" s="40"/>
      <c r="F35" s="40"/>
      <c r="G35" s="169"/>
      <c r="H35" s="184">
        <v>30</v>
      </c>
      <c r="I35" s="185" t="str">
        <f t="shared" si="1"/>
        <v/>
      </c>
      <c r="J35" s="185">
        <f t="shared" si="5"/>
        <v>-1</v>
      </c>
      <c r="K35" s="184">
        <f t="shared" si="2"/>
        <v>-10</v>
      </c>
      <c r="L35" s="184"/>
      <c r="M35" s="186">
        <f t="shared" si="3"/>
        <v>0</v>
      </c>
    </row>
    <row r="36" spans="1:21" x14ac:dyDescent="0.25">
      <c r="A36" s="97">
        <f t="shared" si="4"/>
        <v>0</v>
      </c>
      <c r="B36" s="33" t="str">
        <f t="shared" si="0"/>
        <v/>
      </c>
      <c r="C36" s="34"/>
      <c r="D36" s="34"/>
      <c r="E36" s="34"/>
      <c r="F36" s="34"/>
      <c r="G36" s="169"/>
      <c r="H36" s="181">
        <v>31</v>
      </c>
      <c r="I36" s="182" t="str">
        <f t="shared" si="1"/>
        <v/>
      </c>
      <c r="J36" s="182">
        <f t="shared" si="5"/>
        <v>-1</v>
      </c>
      <c r="K36" s="181">
        <f t="shared" si="2"/>
        <v>-10</v>
      </c>
      <c r="L36" s="181"/>
      <c r="M36" s="183">
        <f t="shared" si="3"/>
        <v>0</v>
      </c>
      <c r="R36" s="194"/>
      <c r="S36" s="195"/>
    </row>
    <row r="37" spans="1:21" x14ac:dyDescent="0.25">
      <c r="A37" s="101">
        <f t="shared" si="4"/>
        <v>0</v>
      </c>
      <c r="B37" s="39" t="str">
        <f t="shared" si="0"/>
        <v/>
      </c>
      <c r="C37" s="40"/>
      <c r="D37" s="40"/>
      <c r="E37" s="40"/>
      <c r="F37" s="40"/>
      <c r="G37" s="169"/>
      <c r="H37" s="184">
        <v>32</v>
      </c>
      <c r="I37" s="185" t="str">
        <f t="shared" si="1"/>
        <v/>
      </c>
      <c r="J37" s="185">
        <f t="shared" si="5"/>
        <v>-1</v>
      </c>
      <c r="K37" s="184">
        <f t="shared" si="2"/>
        <v>-10</v>
      </c>
      <c r="L37" s="184"/>
      <c r="M37" s="186">
        <f t="shared" si="3"/>
        <v>0</v>
      </c>
    </row>
    <row r="38" spans="1:21" x14ac:dyDescent="0.25">
      <c r="A38" s="101">
        <f t="shared" si="4"/>
        <v>0</v>
      </c>
      <c r="B38" s="33" t="str">
        <f t="shared" si="0"/>
        <v/>
      </c>
      <c r="C38" s="34"/>
      <c r="D38" s="34"/>
      <c r="E38" s="34"/>
      <c r="F38" s="34"/>
      <c r="G38" s="169"/>
      <c r="H38" s="181">
        <v>33</v>
      </c>
      <c r="I38" s="182" t="str">
        <f t="shared" si="1"/>
        <v/>
      </c>
      <c r="J38" s="182">
        <f t="shared" si="5"/>
        <v>-2</v>
      </c>
      <c r="K38" s="181">
        <f t="shared" si="2"/>
        <v>-20</v>
      </c>
      <c r="L38" s="181"/>
      <c r="M38" s="183">
        <f t="shared" si="3"/>
        <v>0</v>
      </c>
    </row>
    <row r="39" spans="1:21" x14ac:dyDescent="0.25">
      <c r="A39" s="101">
        <f t="shared" si="4"/>
        <v>0</v>
      </c>
      <c r="B39" s="39" t="str">
        <f t="shared" si="0"/>
        <v/>
      </c>
      <c r="C39" s="40"/>
      <c r="D39" s="40"/>
      <c r="E39" s="40"/>
      <c r="F39" s="40"/>
      <c r="G39" s="169"/>
      <c r="H39" s="184">
        <v>34</v>
      </c>
      <c r="I39" s="185" t="str">
        <f t="shared" si="1"/>
        <v/>
      </c>
      <c r="J39" s="185">
        <f t="shared" si="5"/>
        <v>-2</v>
      </c>
      <c r="K39" s="184">
        <f t="shared" si="2"/>
        <v>-20</v>
      </c>
      <c r="L39" s="184"/>
      <c r="M39" s="186">
        <f t="shared" si="3"/>
        <v>0</v>
      </c>
    </row>
    <row r="40" spans="1:21" x14ac:dyDescent="0.25">
      <c r="A40" s="101">
        <f t="shared" si="4"/>
        <v>0</v>
      </c>
      <c r="B40" s="33" t="str">
        <f t="shared" si="0"/>
        <v/>
      </c>
      <c r="C40" s="34"/>
      <c r="D40" s="34"/>
      <c r="E40" s="34"/>
      <c r="F40" s="34"/>
      <c r="G40" s="169"/>
      <c r="H40" s="181">
        <v>35</v>
      </c>
      <c r="I40" s="182" t="str">
        <f t="shared" si="1"/>
        <v/>
      </c>
      <c r="J40" s="182">
        <f t="shared" si="5"/>
        <v>-2</v>
      </c>
      <c r="K40" s="181">
        <f t="shared" si="2"/>
        <v>-20</v>
      </c>
      <c r="L40" s="181"/>
      <c r="M40" s="183">
        <f t="shared" si="3"/>
        <v>0</v>
      </c>
    </row>
    <row r="41" spans="1:21" x14ac:dyDescent="0.25">
      <c r="A41" s="101">
        <f t="shared" si="4"/>
        <v>0</v>
      </c>
      <c r="B41" s="39" t="str">
        <f t="shared" si="0"/>
        <v/>
      </c>
      <c r="C41" s="40"/>
      <c r="D41" s="40"/>
      <c r="E41" s="40"/>
      <c r="F41" s="40"/>
      <c r="G41" s="169"/>
      <c r="H41" s="184">
        <v>36</v>
      </c>
      <c r="I41" s="185" t="str">
        <f t="shared" si="1"/>
        <v/>
      </c>
      <c r="J41" s="185">
        <f t="shared" si="5"/>
        <v>-2</v>
      </c>
      <c r="K41" s="184">
        <f t="shared" si="2"/>
        <v>-20</v>
      </c>
      <c r="L41" s="184"/>
      <c r="M41" s="186">
        <f t="shared" si="3"/>
        <v>0</v>
      </c>
      <c r="S41" s="196"/>
    </row>
    <row r="42" spans="1:21" x14ac:dyDescent="0.25">
      <c r="A42" s="101">
        <f t="shared" si="4"/>
        <v>0</v>
      </c>
      <c r="B42" s="33" t="str">
        <f t="shared" si="0"/>
        <v/>
      </c>
      <c r="C42" s="34"/>
      <c r="D42" s="34"/>
      <c r="E42" s="34"/>
      <c r="F42" s="34"/>
      <c r="G42" s="169"/>
      <c r="H42" s="181">
        <v>37</v>
      </c>
      <c r="I42" s="182" t="str">
        <f t="shared" si="1"/>
        <v/>
      </c>
      <c r="J42" s="182">
        <f t="shared" si="5"/>
        <v>-2</v>
      </c>
      <c r="K42" s="181">
        <f t="shared" si="2"/>
        <v>-20</v>
      </c>
      <c r="L42" s="181"/>
      <c r="M42" s="183">
        <f t="shared" si="3"/>
        <v>0</v>
      </c>
    </row>
    <row r="43" spans="1:21" x14ac:dyDescent="0.25">
      <c r="A43" s="101">
        <f t="shared" si="4"/>
        <v>0</v>
      </c>
      <c r="B43" s="39" t="str">
        <f t="shared" si="0"/>
        <v/>
      </c>
      <c r="C43" s="40"/>
      <c r="D43" s="40"/>
      <c r="E43" s="40"/>
      <c r="F43" s="40"/>
      <c r="G43" s="169"/>
      <c r="H43" s="184">
        <v>38</v>
      </c>
      <c r="I43" s="185" t="str">
        <f t="shared" si="1"/>
        <v/>
      </c>
      <c r="J43" s="185">
        <f t="shared" si="5"/>
        <v>-2</v>
      </c>
      <c r="K43" s="184">
        <f t="shared" si="2"/>
        <v>-20</v>
      </c>
      <c r="L43" s="184"/>
      <c r="M43" s="186">
        <f t="shared" si="3"/>
        <v>0</v>
      </c>
    </row>
    <row r="44" spans="1:21" x14ac:dyDescent="0.25">
      <c r="A44" s="101">
        <f t="shared" si="4"/>
        <v>0</v>
      </c>
      <c r="B44" s="33" t="str">
        <f t="shared" si="0"/>
        <v/>
      </c>
      <c r="C44" s="34"/>
      <c r="D44" s="34"/>
      <c r="E44" s="34"/>
      <c r="F44" s="34"/>
      <c r="G44" s="169"/>
      <c r="H44" s="181">
        <v>39</v>
      </c>
      <c r="I44" s="182" t="str">
        <f t="shared" si="1"/>
        <v/>
      </c>
      <c r="J44" s="182">
        <f t="shared" si="5"/>
        <v>-2</v>
      </c>
      <c r="K44" s="181">
        <f t="shared" si="2"/>
        <v>-20</v>
      </c>
      <c r="L44" s="181"/>
      <c r="M44" s="183">
        <f t="shared" si="3"/>
        <v>0</v>
      </c>
    </row>
    <row r="45" spans="1:21" x14ac:dyDescent="0.25">
      <c r="A45" s="101">
        <f t="shared" si="4"/>
        <v>0</v>
      </c>
      <c r="B45" s="39" t="str">
        <f t="shared" si="0"/>
        <v/>
      </c>
      <c r="C45" s="40"/>
      <c r="D45" s="40"/>
      <c r="E45" s="40"/>
      <c r="F45" s="40"/>
      <c r="G45" s="169"/>
      <c r="H45" s="184">
        <v>40</v>
      </c>
      <c r="I45" s="185" t="str">
        <f t="shared" si="1"/>
        <v/>
      </c>
      <c r="J45" s="185">
        <f t="shared" si="5"/>
        <v>-2</v>
      </c>
      <c r="K45" s="184">
        <f t="shared" si="2"/>
        <v>-20</v>
      </c>
      <c r="L45" s="184"/>
      <c r="M45" s="186">
        <f t="shared" si="3"/>
        <v>0</v>
      </c>
    </row>
    <row r="46" spans="1:21" x14ac:dyDescent="0.25">
      <c r="A46" s="101">
        <f t="shared" si="4"/>
        <v>0</v>
      </c>
      <c r="B46" s="33" t="str">
        <f t="shared" si="0"/>
        <v/>
      </c>
      <c r="C46" s="34"/>
      <c r="D46" s="34"/>
      <c r="E46" s="34"/>
      <c r="F46" s="34"/>
      <c r="G46" s="169"/>
      <c r="H46" s="181">
        <v>41</v>
      </c>
      <c r="I46" s="182" t="str">
        <f t="shared" si="1"/>
        <v/>
      </c>
      <c r="J46" s="182">
        <f t="shared" si="5"/>
        <v>-2</v>
      </c>
      <c r="K46" s="181">
        <f t="shared" si="2"/>
        <v>-20</v>
      </c>
      <c r="L46" s="181"/>
      <c r="M46" s="183">
        <f t="shared" si="3"/>
        <v>0</v>
      </c>
      <c r="R46" s="169">
        <f>LOG($H$2,2)</f>
        <v>3.3219280948873626</v>
      </c>
      <c r="T46" s="174">
        <f>LOG(H38,2)</f>
        <v>5.0443941193584534</v>
      </c>
      <c r="U46" s="174">
        <f>R46-T46</f>
        <v>-1.7224660244710908</v>
      </c>
    </row>
    <row r="47" spans="1:21" x14ac:dyDescent="0.25">
      <c r="A47" s="101">
        <f t="shared" si="4"/>
        <v>0</v>
      </c>
      <c r="B47" s="39" t="str">
        <f t="shared" si="0"/>
        <v/>
      </c>
      <c r="C47" s="40"/>
      <c r="D47" s="40"/>
      <c r="E47" s="40"/>
      <c r="F47" s="40"/>
      <c r="G47" s="169"/>
      <c r="H47" s="184">
        <v>42</v>
      </c>
      <c r="I47" s="185" t="str">
        <f t="shared" si="1"/>
        <v/>
      </c>
      <c r="J47" s="185">
        <f t="shared" si="5"/>
        <v>-2</v>
      </c>
      <c r="K47" s="184">
        <f t="shared" si="2"/>
        <v>-20</v>
      </c>
      <c r="L47" s="184"/>
      <c r="M47" s="186">
        <f t="shared" si="3"/>
        <v>0</v>
      </c>
    </row>
    <row r="48" spans="1:21" x14ac:dyDescent="0.25">
      <c r="A48" s="101">
        <f t="shared" si="4"/>
        <v>0</v>
      </c>
      <c r="B48" s="33" t="str">
        <f t="shared" si="0"/>
        <v/>
      </c>
      <c r="C48" s="34"/>
      <c r="D48" s="34"/>
      <c r="E48" s="34"/>
      <c r="F48" s="34"/>
      <c r="G48" s="169"/>
      <c r="H48" s="181">
        <v>43</v>
      </c>
      <c r="I48" s="182" t="str">
        <f t="shared" si="1"/>
        <v/>
      </c>
      <c r="J48" s="182">
        <f t="shared" si="5"/>
        <v>-2</v>
      </c>
      <c r="K48" s="181">
        <f t="shared" si="2"/>
        <v>-20</v>
      </c>
      <c r="L48" s="181"/>
      <c r="M48" s="183">
        <f t="shared" si="3"/>
        <v>0</v>
      </c>
    </row>
    <row r="49" spans="1:13" x14ac:dyDescent="0.25">
      <c r="A49" s="101">
        <f t="shared" si="4"/>
        <v>0</v>
      </c>
      <c r="B49" s="39" t="str">
        <f t="shared" si="0"/>
        <v/>
      </c>
      <c r="C49" s="40"/>
      <c r="D49" s="40"/>
      <c r="E49" s="40"/>
      <c r="F49" s="40"/>
      <c r="G49" s="169"/>
      <c r="H49" s="184">
        <v>44</v>
      </c>
      <c r="I49" s="185" t="str">
        <f t="shared" si="1"/>
        <v/>
      </c>
      <c r="J49" s="185">
        <f t="shared" si="5"/>
        <v>-2</v>
      </c>
      <c r="K49" s="184">
        <f t="shared" si="2"/>
        <v>-20</v>
      </c>
      <c r="L49" s="184"/>
      <c r="M49" s="186">
        <f t="shared" si="3"/>
        <v>0</v>
      </c>
    </row>
    <row r="50" spans="1:13" x14ac:dyDescent="0.25">
      <c r="A50" s="101">
        <f t="shared" si="4"/>
        <v>0</v>
      </c>
      <c r="B50" s="33" t="str">
        <f t="shared" si="0"/>
        <v/>
      </c>
      <c r="C50" s="34"/>
      <c r="D50" s="34"/>
      <c r="E50" s="34"/>
      <c r="F50" s="34"/>
      <c r="G50" s="169"/>
      <c r="H50" s="181">
        <v>45</v>
      </c>
      <c r="I50" s="182" t="str">
        <f t="shared" si="1"/>
        <v/>
      </c>
      <c r="J50" s="182">
        <f t="shared" si="5"/>
        <v>-2</v>
      </c>
      <c r="K50" s="181">
        <f t="shared" si="2"/>
        <v>-20</v>
      </c>
      <c r="L50" s="181"/>
      <c r="M50" s="183">
        <f t="shared" si="3"/>
        <v>0</v>
      </c>
    </row>
    <row r="51" spans="1:13" x14ac:dyDescent="0.25">
      <c r="A51" s="101">
        <f t="shared" si="4"/>
        <v>0</v>
      </c>
      <c r="B51" s="39" t="str">
        <f t="shared" si="0"/>
        <v/>
      </c>
      <c r="C51" s="40"/>
      <c r="D51" s="40"/>
      <c r="E51" s="40"/>
      <c r="F51" s="40"/>
      <c r="G51" s="169"/>
      <c r="H51" s="184">
        <v>46</v>
      </c>
      <c r="I51" s="185" t="str">
        <f t="shared" si="1"/>
        <v/>
      </c>
      <c r="J51" s="185">
        <f t="shared" si="5"/>
        <v>-2</v>
      </c>
      <c r="K51" s="184">
        <f t="shared" si="2"/>
        <v>-20</v>
      </c>
      <c r="L51" s="184"/>
      <c r="M51" s="186">
        <f t="shared" si="3"/>
        <v>0</v>
      </c>
    </row>
    <row r="52" spans="1:13" x14ac:dyDescent="0.25">
      <c r="A52" s="101">
        <f t="shared" si="4"/>
        <v>0</v>
      </c>
      <c r="B52" s="33" t="str">
        <f t="shared" si="0"/>
        <v/>
      </c>
      <c r="C52" s="34"/>
      <c r="D52" s="34"/>
      <c r="E52" s="34"/>
      <c r="F52" s="34"/>
      <c r="G52" s="169"/>
      <c r="H52" s="181">
        <v>47</v>
      </c>
      <c r="I52" s="182" t="str">
        <f t="shared" si="1"/>
        <v/>
      </c>
      <c r="J52" s="182">
        <f t="shared" si="5"/>
        <v>-2</v>
      </c>
      <c r="K52" s="181">
        <f t="shared" si="2"/>
        <v>-20</v>
      </c>
      <c r="L52" s="181"/>
      <c r="M52" s="183">
        <f t="shared" si="3"/>
        <v>0</v>
      </c>
    </row>
    <row r="53" spans="1:13" x14ac:dyDescent="0.25">
      <c r="A53" s="101">
        <f t="shared" si="4"/>
        <v>0</v>
      </c>
      <c r="B53" s="39" t="str">
        <f t="shared" si="0"/>
        <v/>
      </c>
      <c r="C53" s="40"/>
      <c r="D53" s="40"/>
      <c r="E53" s="40"/>
      <c r="F53" s="40"/>
      <c r="G53" s="169"/>
      <c r="H53" s="184">
        <v>48</v>
      </c>
      <c r="I53" s="185" t="str">
        <f t="shared" si="1"/>
        <v/>
      </c>
      <c r="J53" s="185">
        <f t="shared" si="5"/>
        <v>-2</v>
      </c>
      <c r="K53" s="184">
        <f t="shared" si="2"/>
        <v>-20</v>
      </c>
      <c r="L53" s="184"/>
      <c r="M53" s="186">
        <f t="shared" si="3"/>
        <v>0</v>
      </c>
    </row>
    <row r="54" spans="1:13" x14ac:dyDescent="0.25">
      <c r="A54" s="101">
        <f t="shared" si="4"/>
        <v>0</v>
      </c>
      <c r="B54" s="33" t="str">
        <f t="shared" si="0"/>
        <v/>
      </c>
      <c r="C54" s="34"/>
      <c r="D54" s="34"/>
      <c r="E54" s="34"/>
      <c r="F54" s="34"/>
      <c r="G54" s="169"/>
      <c r="H54" s="181">
        <v>49</v>
      </c>
      <c r="I54" s="182" t="str">
        <f t="shared" si="1"/>
        <v/>
      </c>
      <c r="J54" s="182">
        <f t="shared" si="5"/>
        <v>-2</v>
      </c>
      <c r="K54" s="181">
        <f t="shared" si="2"/>
        <v>-20</v>
      </c>
      <c r="L54" s="181"/>
      <c r="M54" s="183">
        <f t="shared" si="3"/>
        <v>0</v>
      </c>
    </row>
    <row r="55" spans="1:13" x14ac:dyDescent="0.25">
      <c r="A55" s="101">
        <f t="shared" si="4"/>
        <v>0</v>
      </c>
      <c r="B55" s="39" t="str">
        <f t="shared" si="0"/>
        <v/>
      </c>
      <c r="C55" s="40"/>
      <c r="D55" s="40"/>
      <c r="E55" s="40"/>
      <c r="F55" s="40"/>
      <c r="G55" s="169"/>
      <c r="H55" s="184">
        <v>50</v>
      </c>
      <c r="I55" s="185" t="str">
        <f t="shared" si="1"/>
        <v/>
      </c>
      <c r="J55" s="185">
        <f t="shared" si="5"/>
        <v>-2</v>
      </c>
      <c r="K55" s="184">
        <f t="shared" si="2"/>
        <v>-20</v>
      </c>
      <c r="L55" s="184"/>
      <c r="M55" s="186">
        <f t="shared" si="3"/>
        <v>0</v>
      </c>
    </row>
    <row r="56" spans="1:13" x14ac:dyDescent="0.25">
      <c r="A56" s="101">
        <f t="shared" si="4"/>
        <v>0</v>
      </c>
      <c r="B56" s="33" t="str">
        <f t="shared" si="0"/>
        <v/>
      </c>
      <c r="C56" s="34"/>
      <c r="D56" s="34"/>
      <c r="E56" s="34"/>
      <c r="F56" s="34"/>
      <c r="G56" s="169"/>
      <c r="H56" s="181">
        <v>51</v>
      </c>
      <c r="I56" s="182" t="str">
        <f t="shared" si="1"/>
        <v/>
      </c>
      <c r="J56" s="182">
        <f t="shared" si="5"/>
        <v>-2</v>
      </c>
      <c r="K56" s="181">
        <f t="shared" si="2"/>
        <v>-20</v>
      </c>
      <c r="L56" s="181"/>
      <c r="M56" s="183">
        <f t="shared" si="3"/>
        <v>0</v>
      </c>
    </row>
    <row r="57" spans="1:13" x14ac:dyDescent="0.25">
      <c r="A57" s="101">
        <f t="shared" si="4"/>
        <v>0</v>
      </c>
      <c r="B57" s="39" t="str">
        <f t="shared" si="0"/>
        <v/>
      </c>
      <c r="C57" s="40"/>
      <c r="D57" s="40"/>
      <c r="E57" s="40"/>
      <c r="F57" s="40"/>
      <c r="G57" s="169"/>
      <c r="H57" s="184">
        <v>52</v>
      </c>
      <c r="I57" s="185" t="str">
        <f t="shared" si="1"/>
        <v/>
      </c>
      <c r="J57" s="185">
        <f t="shared" si="5"/>
        <v>-2</v>
      </c>
      <c r="K57" s="184">
        <f t="shared" si="2"/>
        <v>-20</v>
      </c>
      <c r="L57" s="184"/>
      <c r="M57" s="186">
        <f t="shared" si="3"/>
        <v>0</v>
      </c>
    </row>
    <row r="58" spans="1:13" x14ac:dyDescent="0.25">
      <c r="A58" s="101">
        <f t="shared" si="4"/>
        <v>0</v>
      </c>
      <c r="B58" s="33" t="str">
        <f t="shared" si="0"/>
        <v/>
      </c>
      <c r="C58" s="34"/>
      <c r="D58" s="34"/>
      <c r="E58" s="34"/>
      <c r="F58" s="34"/>
      <c r="G58" s="169"/>
      <c r="H58" s="181">
        <v>53</v>
      </c>
      <c r="I58" s="182" t="str">
        <f t="shared" si="1"/>
        <v/>
      </c>
      <c r="J58" s="182">
        <f t="shared" si="5"/>
        <v>-2</v>
      </c>
      <c r="K58" s="181">
        <f t="shared" si="2"/>
        <v>-20</v>
      </c>
      <c r="L58" s="181"/>
      <c r="M58" s="183">
        <f t="shared" si="3"/>
        <v>0</v>
      </c>
    </row>
    <row r="59" spans="1:13" x14ac:dyDescent="0.25">
      <c r="A59" s="101">
        <f t="shared" si="4"/>
        <v>0</v>
      </c>
      <c r="B59" s="39" t="str">
        <f t="shared" si="0"/>
        <v/>
      </c>
      <c r="C59" s="40"/>
      <c r="D59" s="40"/>
      <c r="E59" s="40"/>
      <c r="F59" s="40"/>
      <c r="G59" s="169"/>
      <c r="H59" s="184">
        <v>54</v>
      </c>
      <c r="I59" s="185" t="str">
        <f t="shared" si="1"/>
        <v/>
      </c>
      <c r="J59" s="185">
        <f t="shared" si="5"/>
        <v>-2</v>
      </c>
      <c r="K59" s="184">
        <f t="shared" si="2"/>
        <v>-20</v>
      </c>
      <c r="L59" s="184"/>
      <c r="M59" s="186">
        <f t="shared" si="3"/>
        <v>0</v>
      </c>
    </row>
    <row r="60" spans="1:13" x14ac:dyDescent="0.25">
      <c r="A60" s="101">
        <f t="shared" si="4"/>
        <v>0</v>
      </c>
      <c r="B60" s="33" t="str">
        <f t="shared" si="0"/>
        <v/>
      </c>
      <c r="C60" s="34"/>
      <c r="D60" s="34"/>
      <c r="E60" s="34"/>
      <c r="F60" s="34"/>
      <c r="G60" s="169"/>
      <c r="H60" s="181">
        <v>55</v>
      </c>
      <c r="I60" s="182" t="str">
        <f t="shared" si="1"/>
        <v/>
      </c>
      <c r="J60" s="182">
        <f t="shared" si="5"/>
        <v>-2</v>
      </c>
      <c r="K60" s="181">
        <f t="shared" si="2"/>
        <v>-20</v>
      </c>
      <c r="L60" s="181"/>
      <c r="M60" s="183">
        <f t="shared" si="3"/>
        <v>0</v>
      </c>
    </row>
    <row r="61" spans="1:13" x14ac:dyDescent="0.25">
      <c r="A61" s="101">
        <f t="shared" si="4"/>
        <v>0</v>
      </c>
      <c r="B61" s="39" t="str">
        <f t="shared" si="0"/>
        <v/>
      </c>
      <c r="C61" s="40"/>
      <c r="D61" s="40"/>
      <c r="E61" s="40"/>
      <c r="F61" s="40"/>
      <c r="G61" s="169"/>
      <c r="H61" s="184">
        <v>56</v>
      </c>
      <c r="I61" s="185" t="str">
        <f t="shared" si="1"/>
        <v/>
      </c>
      <c r="J61" s="185">
        <f t="shared" si="5"/>
        <v>-2</v>
      </c>
      <c r="K61" s="184">
        <f t="shared" si="2"/>
        <v>-20</v>
      </c>
      <c r="L61" s="184"/>
      <c r="M61" s="186">
        <f t="shared" si="3"/>
        <v>0</v>
      </c>
    </row>
    <row r="62" spans="1:13" x14ac:dyDescent="0.25">
      <c r="A62" s="101">
        <f t="shared" si="4"/>
        <v>0</v>
      </c>
      <c r="B62" s="33" t="str">
        <f t="shared" si="0"/>
        <v/>
      </c>
      <c r="C62" s="34"/>
      <c r="D62" s="34"/>
      <c r="E62" s="34"/>
      <c r="F62" s="34"/>
      <c r="G62" s="169"/>
      <c r="H62" s="181">
        <v>57</v>
      </c>
      <c r="I62" s="182" t="str">
        <f t="shared" si="1"/>
        <v/>
      </c>
      <c r="J62" s="182">
        <f t="shared" si="5"/>
        <v>-2</v>
      </c>
      <c r="K62" s="181">
        <f t="shared" si="2"/>
        <v>-20</v>
      </c>
      <c r="L62" s="181"/>
      <c r="M62" s="183">
        <f t="shared" si="3"/>
        <v>0</v>
      </c>
    </row>
    <row r="63" spans="1:13" x14ac:dyDescent="0.25">
      <c r="A63" s="101">
        <f t="shared" si="4"/>
        <v>0</v>
      </c>
      <c r="B63" s="39" t="str">
        <f t="shared" si="0"/>
        <v/>
      </c>
      <c r="C63" s="40"/>
      <c r="D63" s="40"/>
      <c r="E63" s="40"/>
      <c r="F63" s="40"/>
      <c r="G63" s="169"/>
      <c r="H63" s="184">
        <v>58</v>
      </c>
      <c r="I63" s="185" t="str">
        <f t="shared" si="1"/>
        <v/>
      </c>
      <c r="J63" s="185">
        <f t="shared" si="5"/>
        <v>-2</v>
      </c>
      <c r="K63" s="184">
        <f t="shared" si="2"/>
        <v>-20</v>
      </c>
      <c r="L63" s="184"/>
      <c r="M63" s="186">
        <f t="shared" si="3"/>
        <v>0</v>
      </c>
    </row>
    <row r="64" spans="1:13" x14ac:dyDescent="0.25">
      <c r="A64" s="101">
        <f t="shared" si="4"/>
        <v>0</v>
      </c>
      <c r="B64" s="33" t="str">
        <f t="shared" si="0"/>
        <v/>
      </c>
      <c r="C64" s="34"/>
      <c r="D64" s="34"/>
      <c r="E64" s="34"/>
      <c r="F64" s="34"/>
      <c r="G64" s="169"/>
      <c r="H64" s="181">
        <v>59</v>
      </c>
      <c r="I64" s="182" t="str">
        <f t="shared" si="1"/>
        <v/>
      </c>
      <c r="J64" s="182">
        <f t="shared" si="5"/>
        <v>-2</v>
      </c>
      <c r="K64" s="181">
        <f t="shared" si="2"/>
        <v>-20</v>
      </c>
      <c r="L64" s="181"/>
      <c r="M64" s="183">
        <f t="shared" si="3"/>
        <v>0</v>
      </c>
    </row>
    <row r="65" spans="1:13" x14ac:dyDescent="0.25">
      <c r="A65" s="101">
        <f t="shared" si="4"/>
        <v>0</v>
      </c>
      <c r="B65" s="39" t="str">
        <f t="shared" si="0"/>
        <v/>
      </c>
      <c r="C65" s="40"/>
      <c r="D65" s="40"/>
      <c r="E65" s="40"/>
      <c r="F65" s="40"/>
      <c r="G65" s="169"/>
      <c r="H65" s="184">
        <v>60</v>
      </c>
      <c r="I65" s="185" t="str">
        <f t="shared" si="1"/>
        <v/>
      </c>
      <c r="J65" s="185">
        <f t="shared" si="5"/>
        <v>-2</v>
      </c>
      <c r="K65" s="184">
        <f t="shared" si="2"/>
        <v>-20</v>
      </c>
      <c r="L65" s="184"/>
      <c r="M65" s="186">
        <f t="shared" si="3"/>
        <v>0</v>
      </c>
    </row>
    <row r="66" spans="1:13" x14ac:dyDescent="0.25">
      <c r="A66" s="101">
        <f t="shared" si="4"/>
        <v>0</v>
      </c>
      <c r="B66" s="33"/>
      <c r="G66" s="169"/>
      <c r="H66" s="181">
        <v>61</v>
      </c>
      <c r="I66" s="182" t="str">
        <f t="shared" si="1"/>
        <v/>
      </c>
      <c r="J66" s="182">
        <f t="shared" si="5"/>
        <v>-2</v>
      </c>
      <c r="K66" s="181">
        <f t="shared" si="2"/>
        <v>-20</v>
      </c>
      <c r="L66" s="181"/>
      <c r="M66" s="183">
        <f t="shared" si="3"/>
        <v>0</v>
      </c>
    </row>
    <row r="67" spans="1:13" x14ac:dyDescent="0.25">
      <c r="A67" s="101">
        <f t="shared" si="4"/>
        <v>0</v>
      </c>
      <c r="B67" s="39"/>
      <c r="G67" s="169"/>
      <c r="H67" s="181">
        <v>62</v>
      </c>
      <c r="I67" s="182" t="str">
        <f t="shared" si="1"/>
        <v/>
      </c>
      <c r="J67" s="182">
        <f t="shared" si="5"/>
        <v>-2</v>
      </c>
      <c r="K67" s="181">
        <f t="shared" si="2"/>
        <v>-20</v>
      </c>
      <c r="L67" s="181"/>
      <c r="M67" s="183">
        <f t="shared" si="3"/>
        <v>0</v>
      </c>
    </row>
    <row r="68" spans="1:13" x14ac:dyDescent="0.25">
      <c r="A68" s="101">
        <f t="shared" si="4"/>
        <v>0</v>
      </c>
      <c r="B68" s="33"/>
      <c r="G68" s="169"/>
      <c r="H68" s="181">
        <v>63</v>
      </c>
      <c r="I68" s="182" t="str">
        <f t="shared" si="1"/>
        <v/>
      </c>
      <c r="J68" s="182">
        <f t="shared" si="5"/>
        <v>-2</v>
      </c>
      <c r="K68" s="181">
        <f t="shared" si="2"/>
        <v>-20</v>
      </c>
      <c r="L68" s="181"/>
      <c r="M68" s="183">
        <f t="shared" si="3"/>
        <v>0</v>
      </c>
    </row>
    <row r="69" spans="1:13" x14ac:dyDescent="0.25">
      <c r="A69" s="101">
        <f t="shared" si="4"/>
        <v>0</v>
      </c>
      <c r="B69" s="39"/>
      <c r="G69" s="169"/>
      <c r="H69" s="181">
        <v>64</v>
      </c>
      <c r="I69" s="182" t="str">
        <f t="shared" si="1"/>
        <v/>
      </c>
      <c r="J69" s="182">
        <f t="shared" si="5"/>
        <v>-2</v>
      </c>
      <c r="K69" s="181">
        <f t="shared" si="2"/>
        <v>-20</v>
      </c>
      <c r="L69" s="181"/>
      <c r="M69" s="183">
        <f t="shared" si="3"/>
        <v>0</v>
      </c>
    </row>
    <row r="70" spans="1:13" x14ac:dyDescent="0.25">
      <c r="A70" s="101">
        <f t="shared" si="4"/>
        <v>0</v>
      </c>
      <c r="G70" s="169"/>
      <c r="H70" s="181">
        <v>65</v>
      </c>
      <c r="I70" s="182" t="str">
        <f t="shared" ref="I70:I133" si="6">IF(H70&lt;$H$2+1,($I$2-($I$2-1)*(LOG(H70)/LOG($H$2))),"")</f>
        <v/>
      </c>
      <c r="J70" s="182">
        <f t="shared" si="5"/>
        <v>-3</v>
      </c>
      <c r="K70" s="181">
        <f t="shared" ref="K70:K133" si="7">J70*$J$2</f>
        <v>-30</v>
      </c>
      <c r="L70" s="181"/>
      <c r="M70" s="183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69"/>
      <c r="H71" s="181">
        <v>66</v>
      </c>
      <c r="I71" s="182" t="str">
        <f t="shared" si="6"/>
        <v/>
      </c>
      <c r="J71" s="182">
        <f t="shared" ref="J71:J134" si="10">INT(LOG($H$2,2))-ROUNDUP(LOG(H71,2),0)+IF(OR($H$2=1,$H$2=2,$H$2=4,$H$2=8,$H$2=16,$H$2=32,$H$2=64,$H$2=128,$H$2=256),0,1)</f>
        <v>-3</v>
      </c>
      <c r="K71" s="181">
        <f t="shared" si="7"/>
        <v>-30</v>
      </c>
      <c r="L71" s="181"/>
      <c r="M71" s="183">
        <f t="shared" si="8"/>
        <v>0</v>
      </c>
    </row>
    <row r="72" spans="1:13" x14ac:dyDescent="0.25">
      <c r="A72" s="101">
        <f t="shared" si="9"/>
        <v>0</v>
      </c>
      <c r="G72" s="169"/>
      <c r="H72" s="181">
        <v>67</v>
      </c>
      <c r="I72" s="182" t="str">
        <f t="shared" si="6"/>
        <v/>
      </c>
      <c r="J72" s="182">
        <f t="shared" si="10"/>
        <v>-3</v>
      </c>
      <c r="K72" s="181">
        <f t="shared" si="7"/>
        <v>-30</v>
      </c>
      <c r="L72" s="181"/>
      <c r="M72" s="183">
        <f t="shared" si="8"/>
        <v>0</v>
      </c>
    </row>
    <row r="73" spans="1:13" x14ac:dyDescent="0.25">
      <c r="A73" s="101">
        <f t="shared" si="9"/>
        <v>0</v>
      </c>
      <c r="G73" s="169"/>
      <c r="H73" s="181">
        <v>68</v>
      </c>
      <c r="I73" s="182" t="str">
        <f t="shared" si="6"/>
        <v/>
      </c>
      <c r="J73" s="182">
        <f t="shared" si="10"/>
        <v>-3</v>
      </c>
      <c r="K73" s="181">
        <f t="shared" si="7"/>
        <v>-30</v>
      </c>
      <c r="L73" s="181"/>
      <c r="M73" s="183">
        <f t="shared" si="8"/>
        <v>0</v>
      </c>
    </row>
    <row r="74" spans="1:13" x14ac:dyDescent="0.25">
      <c r="A74" s="101">
        <f t="shared" si="9"/>
        <v>0</v>
      </c>
      <c r="G74" s="169"/>
      <c r="H74" s="181">
        <v>69</v>
      </c>
      <c r="I74" s="182" t="str">
        <f t="shared" si="6"/>
        <v/>
      </c>
      <c r="J74" s="182">
        <f t="shared" si="10"/>
        <v>-3</v>
      </c>
      <c r="K74" s="181">
        <f t="shared" si="7"/>
        <v>-30</v>
      </c>
      <c r="L74" s="181"/>
      <c r="M74" s="183">
        <f t="shared" si="8"/>
        <v>0</v>
      </c>
    </row>
    <row r="75" spans="1:13" x14ac:dyDescent="0.25">
      <c r="A75" s="101">
        <f t="shared" si="9"/>
        <v>0</v>
      </c>
      <c r="G75" s="169"/>
      <c r="H75" s="181">
        <v>70</v>
      </c>
      <c r="I75" s="182" t="str">
        <f t="shared" si="6"/>
        <v/>
      </c>
      <c r="J75" s="182">
        <f t="shared" si="10"/>
        <v>-3</v>
      </c>
      <c r="K75" s="181">
        <f t="shared" si="7"/>
        <v>-30</v>
      </c>
      <c r="L75" s="181"/>
      <c r="M75" s="183">
        <f t="shared" si="8"/>
        <v>0</v>
      </c>
    </row>
    <row r="76" spans="1:13" x14ac:dyDescent="0.25">
      <c r="A76" s="101">
        <f t="shared" si="9"/>
        <v>0</v>
      </c>
      <c r="G76" s="169"/>
      <c r="H76" s="181">
        <v>71</v>
      </c>
      <c r="I76" s="182" t="str">
        <f t="shared" si="6"/>
        <v/>
      </c>
      <c r="J76" s="182">
        <f t="shared" si="10"/>
        <v>-3</v>
      </c>
      <c r="K76" s="181">
        <f t="shared" si="7"/>
        <v>-30</v>
      </c>
      <c r="L76" s="181"/>
      <c r="M76" s="183">
        <f t="shared" si="8"/>
        <v>0</v>
      </c>
    </row>
    <row r="77" spans="1:13" x14ac:dyDescent="0.25">
      <c r="A77" s="101">
        <f t="shared" si="9"/>
        <v>0</v>
      </c>
      <c r="G77" s="169"/>
      <c r="H77" s="181">
        <v>72</v>
      </c>
      <c r="I77" s="182" t="str">
        <f t="shared" si="6"/>
        <v/>
      </c>
      <c r="J77" s="182">
        <f t="shared" si="10"/>
        <v>-3</v>
      </c>
      <c r="K77" s="181">
        <f t="shared" si="7"/>
        <v>-30</v>
      </c>
      <c r="L77" s="181"/>
      <c r="M77" s="183">
        <f t="shared" si="8"/>
        <v>0</v>
      </c>
    </row>
    <row r="78" spans="1:13" x14ac:dyDescent="0.25">
      <c r="A78" s="101">
        <f t="shared" si="9"/>
        <v>0</v>
      </c>
      <c r="G78" s="169"/>
      <c r="H78" s="181">
        <v>73</v>
      </c>
      <c r="I78" s="182" t="str">
        <f t="shared" si="6"/>
        <v/>
      </c>
      <c r="J78" s="182">
        <f t="shared" si="10"/>
        <v>-3</v>
      </c>
      <c r="K78" s="181">
        <f t="shared" si="7"/>
        <v>-30</v>
      </c>
      <c r="L78" s="181"/>
      <c r="M78" s="183">
        <f t="shared" si="8"/>
        <v>0</v>
      </c>
    </row>
    <row r="79" spans="1:13" x14ac:dyDescent="0.25">
      <c r="A79" s="101">
        <f t="shared" si="9"/>
        <v>0</v>
      </c>
      <c r="G79" s="169"/>
      <c r="H79" s="181">
        <v>74</v>
      </c>
      <c r="I79" s="182" t="str">
        <f t="shared" si="6"/>
        <v/>
      </c>
      <c r="J79" s="182">
        <f t="shared" si="10"/>
        <v>-3</v>
      </c>
      <c r="K79" s="181">
        <f t="shared" si="7"/>
        <v>-30</v>
      </c>
      <c r="L79" s="181"/>
      <c r="M79" s="183">
        <f t="shared" si="8"/>
        <v>0</v>
      </c>
    </row>
    <row r="80" spans="1:13" x14ac:dyDescent="0.25">
      <c r="A80" s="97"/>
      <c r="G80" s="169"/>
      <c r="H80" s="181">
        <v>75</v>
      </c>
      <c r="I80" s="182" t="str">
        <f t="shared" si="6"/>
        <v/>
      </c>
      <c r="J80" s="182">
        <f t="shared" si="10"/>
        <v>-3</v>
      </c>
      <c r="K80" s="181">
        <f t="shared" si="7"/>
        <v>-30</v>
      </c>
      <c r="L80" s="181"/>
      <c r="M80" s="183">
        <f t="shared" si="8"/>
        <v>0</v>
      </c>
    </row>
    <row r="81" spans="1:13" x14ac:dyDescent="0.25">
      <c r="A81" s="198"/>
      <c r="G81" s="169"/>
      <c r="H81" s="181">
        <v>76</v>
      </c>
      <c r="I81" s="182" t="str">
        <f t="shared" si="6"/>
        <v/>
      </c>
      <c r="J81" s="182">
        <f t="shared" si="10"/>
        <v>-3</v>
      </c>
      <c r="K81" s="181">
        <f t="shared" si="7"/>
        <v>-30</v>
      </c>
      <c r="L81" s="181"/>
      <c r="M81" s="183">
        <f t="shared" si="8"/>
        <v>0</v>
      </c>
    </row>
    <row r="82" spans="1:13" x14ac:dyDescent="0.25">
      <c r="A82" s="198"/>
      <c r="G82" s="169"/>
      <c r="H82" s="181">
        <v>77</v>
      </c>
      <c r="I82" s="182" t="str">
        <f t="shared" si="6"/>
        <v/>
      </c>
      <c r="J82" s="182">
        <f t="shared" si="10"/>
        <v>-3</v>
      </c>
      <c r="K82" s="181">
        <f t="shared" si="7"/>
        <v>-30</v>
      </c>
      <c r="L82" s="181"/>
      <c r="M82" s="183">
        <f t="shared" si="8"/>
        <v>0</v>
      </c>
    </row>
    <row r="83" spans="1:13" x14ac:dyDescent="0.25">
      <c r="A83" s="198"/>
      <c r="G83" s="169"/>
      <c r="H83" s="181">
        <v>78</v>
      </c>
      <c r="I83" s="182" t="str">
        <f t="shared" si="6"/>
        <v/>
      </c>
      <c r="J83" s="182">
        <f t="shared" si="10"/>
        <v>-3</v>
      </c>
      <c r="K83" s="181">
        <f t="shared" si="7"/>
        <v>-30</v>
      </c>
      <c r="L83" s="181"/>
      <c r="M83" s="183">
        <f t="shared" si="8"/>
        <v>0</v>
      </c>
    </row>
    <row r="84" spans="1:13" x14ac:dyDescent="0.25">
      <c r="A84" s="198"/>
      <c r="G84" s="169"/>
      <c r="H84" s="181">
        <v>79</v>
      </c>
      <c r="I84" s="182" t="str">
        <f t="shared" si="6"/>
        <v/>
      </c>
      <c r="J84" s="182">
        <f t="shared" si="10"/>
        <v>-3</v>
      </c>
      <c r="K84" s="181">
        <f t="shared" si="7"/>
        <v>-30</v>
      </c>
      <c r="L84" s="181"/>
      <c r="M84" s="183">
        <f t="shared" si="8"/>
        <v>0</v>
      </c>
    </row>
    <row r="85" spans="1:13" x14ac:dyDescent="0.25">
      <c r="A85" s="198"/>
      <c r="G85" s="169"/>
      <c r="H85" s="181">
        <v>80</v>
      </c>
      <c r="I85" s="182" t="str">
        <f t="shared" si="6"/>
        <v/>
      </c>
      <c r="J85" s="182">
        <f t="shared" si="10"/>
        <v>-3</v>
      </c>
      <c r="K85" s="181">
        <f t="shared" si="7"/>
        <v>-30</v>
      </c>
      <c r="L85" s="181"/>
      <c r="M85" s="183">
        <f t="shared" si="8"/>
        <v>0</v>
      </c>
    </row>
    <row r="86" spans="1:13" x14ac:dyDescent="0.25">
      <c r="A86" s="198"/>
      <c r="G86" s="169"/>
      <c r="H86" s="181">
        <v>81</v>
      </c>
      <c r="I86" s="182" t="str">
        <f t="shared" si="6"/>
        <v/>
      </c>
      <c r="J86" s="182">
        <f t="shared" si="10"/>
        <v>-3</v>
      </c>
      <c r="K86" s="181">
        <f t="shared" si="7"/>
        <v>-30</v>
      </c>
      <c r="L86" s="181"/>
      <c r="M86" s="183">
        <f t="shared" si="8"/>
        <v>0</v>
      </c>
    </row>
    <row r="87" spans="1:13" x14ac:dyDescent="0.25">
      <c r="A87" s="198"/>
      <c r="G87" s="169"/>
      <c r="H87" s="181">
        <v>82</v>
      </c>
      <c r="I87" s="182" t="str">
        <f t="shared" si="6"/>
        <v/>
      </c>
      <c r="J87" s="182">
        <f t="shared" si="10"/>
        <v>-3</v>
      </c>
      <c r="K87" s="181">
        <f t="shared" si="7"/>
        <v>-30</v>
      </c>
      <c r="L87" s="181"/>
      <c r="M87" s="183">
        <f t="shared" si="8"/>
        <v>0</v>
      </c>
    </row>
    <row r="88" spans="1:13" x14ac:dyDescent="0.25">
      <c r="A88" s="198"/>
      <c r="G88" s="169"/>
      <c r="H88" s="181">
        <v>83</v>
      </c>
      <c r="I88" s="182" t="str">
        <f t="shared" si="6"/>
        <v/>
      </c>
      <c r="J88" s="182">
        <f t="shared" si="10"/>
        <v>-3</v>
      </c>
      <c r="K88" s="181">
        <f t="shared" si="7"/>
        <v>-30</v>
      </c>
      <c r="L88" s="181"/>
      <c r="M88" s="183">
        <f t="shared" si="8"/>
        <v>0</v>
      </c>
    </row>
    <row r="89" spans="1:13" x14ac:dyDescent="0.25">
      <c r="A89" s="198"/>
      <c r="G89" s="169"/>
      <c r="H89" s="181">
        <v>84</v>
      </c>
      <c r="I89" s="182" t="str">
        <f t="shared" si="6"/>
        <v/>
      </c>
      <c r="J89" s="182">
        <f t="shared" si="10"/>
        <v>-3</v>
      </c>
      <c r="K89" s="181">
        <f t="shared" si="7"/>
        <v>-30</v>
      </c>
      <c r="L89" s="181"/>
      <c r="M89" s="183">
        <f t="shared" si="8"/>
        <v>0</v>
      </c>
    </row>
    <row r="90" spans="1:13" x14ac:dyDescent="0.25">
      <c r="A90" s="198"/>
      <c r="G90" s="169"/>
      <c r="H90" s="181">
        <v>85</v>
      </c>
      <c r="I90" s="182" t="str">
        <f t="shared" si="6"/>
        <v/>
      </c>
      <c r="J90" s="182">
        <f t="shared" si="10"/>
        <v>-3</v>
      </c>
      <c r="K90" s="181">
        <f t="shared" si="7"/>
        <v>-30</v>
      </c>
      <c r="L90" s="181"/>
      <c r="M90" s="183">
        <f t="shared" si="8"/>
        <v>0</v>
      </c>
    </row>
    <row r="91" spans="1:13" x14ac:dyDescent="0.25">
      <c r="A91" s="198"/>
      <c r="G91" s="169"/>
      <c r="H91" s="181">
        <v>86</v>
      </c>
      <c r="I91" s="182" t="str">
        <f t="shared" si="6"/>
        <v/>
      </c>
      <c r="J91" s="182">
        <f t="shared" si="10"/>
        <v>-3</v>
      </c>
      <c r="K91" s="181">
        <f t="shared" si="7"/>
        <v>-30</v>
      </c>
      <c r="L91" s="181"/>
      <c r="M91" s="183">
        <f t="shared" si="8"/>
        <v>0</v>
      </c>
    </row>
    <row r="92" spans="1:13" x14ac:dyDescent="0.25">
      <c r="A92" s="198"/>
      <c r="G92" s="169"/>
      <c r="H92" s="181">
        <v>87</v>
      </c>
      <c r="I92" s="182" t="str">
        <f t="shared" si="6"/>
        <v/>
      </c>
      <c r="J92" s="182">
        <f t="shared" si="10"/>
        <v>-3</v>
      </c>
      <c r="K92" s="181">
        <f t="shared" si="7"/>
        <v>-30</v>
      </c>
      <c r="L92" s="181"/>
      <c r="M92" s="183">
        <f t="shared" si="8"/>
        <v>0</v>
      </c>
    </row>
    <row r="93" spans="1:13" x14ac:dyDescent="0.25">
      <c r="A93" s="198"/>
      <c r="G93" s="169"/>
      <c r="H93" s="181">
        <v>88</v>
      </c>
      <c r="I93" s="182" t="str">
        <f t="shared" si="6"/>
        <v/>
      </c>
      <c r="J93" s="182">
        <f t="shared" si="10"/>
        <v>-3</v>
      </c>
      <c r="K93" s="181">
        <f t="shared" si="7"/>
        <v>-30</v>
      </c>
      <c r="L93" s="181"/>
      <c r="M93" s="183">
        <f t="shared" si="8"/>
        <v>0</v>
      </c>
    </row>
    <row r="94" spans="1:13" x14ac:dyDescent="0.25">
      <c r="A94" s="198"/>
      <c r="G94" s="169"/>
      <c r="H94" s="181">
        <v>89</v>
      </c>
      <c r="I94" s="182" t="str">
        <f t="shared" si="6"/>
        <v/>
      </c>
      <c r="J94" s="182">
        <f t="shared" si="10"/>
        <v>-3</v>
      </c>
      <c r="K94" s="181">
        <f t="shared" si="7"/>
        <v>-30</v>
      </c>
      <c r="L94" s="181"/>
      <c r="M94" s="183">
        <f t="shared" si="8"/>
        <v>0</v>
      </c>
    </row>
    <row r="95" spans="1:13" x14ac:dyDescent="0.25">
      <c r="A95" s="198"/>
      <c r="G95" s="169"/>
      <c r="H95" s="181">
        <v>90</v>
      </c>
      <c r="I95" s="182" t="str">
        <f t="shared" si="6"/>
        <v/>
      </c>
      <c r="J95" s="182">
        <f t="shared" si="10"/>
        <v>-3</v>
      </c>
      <c r="K95" s="181">
        <f t="shared" si="7"/>
        <v>-30</v>
      </c>
      <c r="L95" s="181"/>
      <c r="M95" s="183">
        <f t="shared" si="8"/>
        <v>0</v>
      </c>
    </row>
    <row r="96" spans="1:13" x14ac:dyDescent="0.25">
      <c r="A96" s="198"/>
      <c r="G96" s="169"/>
      <c r="H96" s="181">
        <v>91</v>
      </c>
      <c r="I96" s="182" t="str">
        <f t="shared" si="6"/>
        <v/>
      </c>
      <c r="J96" s="182">
        <f t="shared" si="10"/>
        <v>-3</v>
      </c>
      <c r="K96" s="181">
        <f t="shared" si="7"/>
        <v>-30</v>
      </c>
      <c r="L96" s="181"/>
      <c r="M96" s="183">
        <f t="shared" si="8"/>
        <v>0</v>
      </c>
    </row>
    <row r="97" spans="1:13" x14ac:dyDescent="0.25">
      <c r="A97" s="198"/>
      <c r="G97" s="169"/>
      <c r="H97" s="181">
        <v>92</v>
      </c>
      <c r="I97" s="182" t="str">
        <f t="shared" si="6"/>
        <v/>
      </c>
      <c r="J97" s="182">
        <f t="shared" si="10"/>
        <v>-3</v>
      </c>
      <c r="K97" s="181">
        <f t="shared" si="7"/>
        <v>-30</v>
      </c>
      <c r="L97" s="181"/>
      <c r="M97" s="183">
        <f t="shared" si="8"/>
        <v>0</v>
      </c>
    </row>
    <row r="98" spans="1:13" x14ac:dyDescent="0.25">
      <c r="A98" s="198"/>
      <c r="G98" s="169"/>
      <c r="H98" s="181">
        <v>93</v>
      </c>
      <c r="I98" s="182" t="str">
        <f t="shared" si="6"/>
        <v/>
      </c>
      <c r="J98" s="182">
        <f t="shared" si="10"/>
        <v>-3</v>
      </c>
      <c r="K98" s="181">
        <f t="shared" si="7"/>
        <v>-30</v>
      </c>
      <c r="L98" s="181"/>
      <c r="M98" s="183">
        <f t="shared" si="8"/>
        <v>0</v>
      </c>
    </row>
    <row r="99" spans="1:13" x14ac:dyDescent="0.25">
      <c r="A99" s="198"/>
      <c r="G99" s="169"/>
      <c r="H99" s="181">
        <v>94</v>
      </c>
      <c r="I99" s="182" t="str">
        <f t="shared" si="6"/>
        <v/>
      </c>
      <c r="J99" s="182">
        <f t="shared" si="10"/>
        <v>-3</v>
      </c>
      <c r="K99" s="181">
        <f t="shared" si="7"/>
        <v>-30</v>
      </c>
      <c r="L99" s="181"/>
      <c r="M99" s="183">
        <f t="shared" si="8"/>
        <v>0</v>
      </c>
    </row>
    <row r="100" spans="1:13" x14ac:dyDescent="0.25">
      <c r="A100" s="198"/>
      <c r="G100" s="169"/>
      <c r="H100" s="181">
        <v>95</v>
      </c>
      <c r="I100" s="182" t="str">
        <f t="shared" si="6"/>
        <v/>
      </c>
      <c r="J100" s="182">
        <f t="shared" si="10"/>
        <v>-3</v>
      </c>
      <c r="K100" s="181">
        <f t="shared" si="7"/>
        <v>-30</v>
      </c>
      <c r="L100" s="181"/>
      <c r="M100" s="183">
        <f t="shared" si="8"/>
        <v>0</v>
      </c>
    </row>
    <row r="101" spans="1:13" x14ac:dyDescent="0.25">
      <c r="A101" s="198"/>
      <c r="G101" s="169"/>
      <c r="H101" s="181">
        <v>96</v>
      </c>
      <c r="I101" s="182" t="str">
        <f t="shared" si="6"/>
        <v/>
      </c>
      <c r="J101" s="182">
        <f t="shared" si="10"/>
        <v>-3</v>
      </c>
      <c r="K101" s="181">
        <f t="shared" si="7"/>
        <v>-30</v>
      </c>
      <c r="L101" s="181"/>
      <c r="M101" s="183">
        <f t="shared" si="8"/>
        <v>0</v>
      </c>
    </row>
    <row r="102" spans="1:13" x14ac:dyDescent="0.25">
      <c r="A102" s="198"/>
      <c r="G102" s="169"/>
      <c r="H102" s="181">
        <v>97</v>
      </c>
      <c r="I102" s="182" t="str">
        <f t="shared" si="6"/>
        <v/>
      </c>
      <c r="J102" s="182">
        <f t="shared" si="10"/>
        <v>-3</v>
      </c>
      <c r="K102" s="181">
        <f t="shared" si="7"/>
        <v>-30</v>
      </c>
      <c r="L102" s="181"/>
      <c r="M102" s="183">
        <f t="shared" si="8"/>
        <v>0</v>
      </c>
    </row>
    <row r="103" spans="1:13" x14ac:dyDescent="0.25">
      <c r="A103" s="198"/>
      <c r="G103" s="169"/>
      <c r="H103" s="181">
        <v>98</v>
      </c>
      <c r="I103" s="182" t="str">
        <f t="shared" si="6"/>
        <v/>
      </c>
      <c r="J103" s="182">
        <f t="shared" si="10"/>
        <v>-3</v>
      </c>
      <c r="K103" s="181">
        <f t="shared" si="7"/>
        <v>-30</v>
      </c>
      <c r="L103" s="181"/>
      <c r="M103" s="183">
        <f t="shared" si="8"/>
        <v>0</v>
      </c>
    </row>
    <row r="104" spans="1:13" x14ac:dyDescent="0.25">
      <c r="A104" s="198"/>
      <c r="G104" s="169"/>
      <c r="H104" s="181">
        <v>99</v>
      </c>
      <c r="I104" s="182" t="str">
        <f t="shared" si="6"/>
        <v/>
      </c>
      <c r="J104" s="182">
        <f t="shared" si="10"/>
        <v>-3</v>
      </c>
      <c r="K104" s="181">
        <f t="shared" si="7"/>
        <v>-30</v>
      </c>
      <c r="L104" s="181"/>
      <c r="M104" s="183">
        <f t="shared" si="8"/>
        <v>0</v>
      </c>
    </row>
    <row r="105" spans="1:13" x14ac:dyDescent="0.25">
      <c r="A105" s="198"/>
      <c r="G105" s="169"/>
      <c r="H105" s="181">
        <v>100</v>
      </c>
      <c r="I105" s="182" t="str">
        <f t="shared" si="6"/>
        <v/>
      </c>
      <c r="J105" s="182">
        <f t="shared" si="10"/>
        <v>-3</v>
      </c>
      <c r="K105" s="181">
        <f t="shared" si="7"/>
        <v>-30</v>
      </c>
      <c r="L105" s="181"/>
      <c r="M105" s="183">
        <f t="shared" si="8"/>
        <v>0</v>
      </c>
    </row>
    <row r="106" spans="1:13" x14ac:dyDescent="0.25">
      <c r="A106" s="198"/>
      <c r="G106" s="169"/>
      <c r="H106" s="181">
        <v>101</v>
      </c>
      <c r="I106" s="182" t="str">
        <f t="shared" si="6"/>
        <v/>
      </c>
      <c r="J106" s="182">
        <f t="shared" si="10"/>
        <v>-3</v>
      </c>
      <c r="K106" s="181">
        <f t="shared" si="7"/>
        <v>-30</v>
      </c>
      <c r="L106" s="181"/>
      <c r="M106" s="183">
        <f t="shared" si="8"/>
        <v>0</v>
      </c>
    </row>
    <row r="107" spans="1:13" x14ac:dyDescent="0.25">
      <c r="A107" s="198"/>
      <c r="G107" s="169"/>
      <c r="H107" s="181">
        <v>102</v>
      </c>
      <c r="I107" s="182" t="str">
        <f t="shared" si="6"/>
        <v/>
      </c>
      <c r="J107" s="182">
        <f t="shared" si="10"/>
        <v>-3</v>
      </c>
      <c r="K107" s="181">
        <f t="shared" si="7"/>
        <v>-30</v>
      </c>
      <c r="L107" s="181"/>
      <c r="M107" s="183">
        <f t="shared" si="8"/>
        <v>0</v>
      </c>
    </row>
    <row r="108" spans="1:13" x14ac:dyDescent="0.25">
      <c r="A108" s="198"/>
      <c r="G108" s="169"/>
      <c r="H108" s="181">
        <v>103</v>
      </c>
      <c r="I108" s="182" t="str">
        <f t="shared" si="6"/>
        <v/>
      </c>
      <c r="J108" s="182">
        <f t="shared" si="10"/>
        <v>-3</v>
      </c>
      <c r="K108" s="181">
        <f t="shared" si="7"/>
        <v>-30</v>
      </c>
      <c r="L108" s="181"/>
      <c r="M108" s="183">
        <f t="shared" si="8"/>
        <v>0</v>
      </c>
    </row>
    <row r="109" spans="1:13" x14ac:dyDescent="0.25">
      <c r="A109" s="198"/>
      <c r="G109" s="169"/>
      <c r="H109" s="181">
        <v>104</v>
      </c>
      <c r="I109" s="182" t="str">
        <f t="shared" si="6"/>
        <v/>
      </c>
      <c r="J109" s="182">
        <f t="shared" si="10"/>
        <v>-3</v>
      </c>
      <c r="K109" s="181">
        <f t="shared" si="7"/>
        <v>-30</v>
      </c>
      <c r="L109" s="181"/>
      <c r="M109" s="183">
        <f t="shared" si="8"/>
        <v>0</v>
      </c>
    </row>
    <row r="110" spans="1:13" x14ac:dyDescent="0.25">
      <c r="A110" s="198"/>
      <c r="G110" s="169"/>
      <c r="H110" s="181">
        <v>105</v>
      </c>
      <c r="I110" s="182" t="str">
        <f t="shared" si="6"/>
        <v/>
      </c>
      <c r="J110" s="182">
        <f t="shared" si="10"/>
        <v>-3</v>
      </c>
      <c r="K110" s="181">
        <f t="shared" si="7"/>
        <v>-30</v>
      </c>
      <c r="L110" s="181"/>
      <c r="M110" s="183">
        <f t="shared" si="8"/>
        <v>0</v>
      </c>
    </row>
    <row r="111" spans="1:13" x14ac:dyDescent="0.25">
      <c r="A111" s="198"/>
      <c r="G111" s="169"/>
      <c r="H111" s="181">
        <v>106</v>
      </c>
      <c r="I111" s="182" t="str">
        <f t="shared" si="6"/>
        <v/>
      </c>
      <c r="J111" s="182">
        <f t="shared" si="10"/>
        <v>-3</v>
      </c>
      <c r="K111" s="181">
        <f t="shared" si="7"/>
        <v>-30</v>
      </c>
      <c r="L111" s="181"/>
      <c r="M111" s="183">
        <f t="shared" si="8"/>
        <v>0</v>
      </c>
    </row>
    <row r="112" spans="1:13" x14ac:dyDescent="0.25">
      <c r="A112" s="198"/>
      <c r="G112" s="169"/>
      <c r="H112" s="181">
        <v>107</v>
      </c>
      <c r="I112" s="182" t="str">
        <f t="shared" si="6"/>
        <v/>
      </c>
      <c r="J112" s="182">
        <f t="shared" si="10"/>
        <v>-3</v>
      </c>
      <c r="K112" s="181">
        <f t="shared" si="7"/>
        <v>-30</v>
      </c>
      <c r="L112" s="181"/>
      <c r="M112" s="183">
        <f t="shared" si="8"/>
        <v>0</v>
      </c>
    </row>
    <row r="113" spans="1:13" x14ac:dyDescent="0.25">
      <c r="A113" s="198"/>
      <c r="G113" s="169"/>
      <c r="H113" s="181">
        <v>108</v>
      </c>
      <c r="I113" s="182" t="str">
        <f t="shared" si="6"/>
        <v/>
      </c>
      <c r="J113" s="182">
        <f t="shared" si="10"/>
        <v>-3</v>
      </c>
      <c r="K113" s="181">
        <f t="shared" si="7"/>
        <v>-30</v>
      </c>
      <c r="L113" s="181"/>
      <c r="M113" s="183">
        <f t="shared" si="8"/>
        <v>0</v>
      </c>
    </row>
    <row r="114" spans="1:13" x14ac:dyDescent="0.25">
      <c r="A114" s="198"/>
      <c r="G114" s="169"/>
      <c r="H114" s="181">
        <v>109</v>
      </c>
      <c r="I114" s="182" t="str">
        <f t="shared" si="6"/>
        <v/>
      </c>
      <c r="J114" s="182">
        <f t="shared" si="10"/>
        <v>-3</v>
      </c>
      <c r="K114" s="181">
        <f t="shared" si="7"/>
        <v>-30</v>
      </c>
      <c r="L114" s="181"/>
      <c r="M114" s="183">
        <f t="shared" si="8"/>
        <v>0</v>
      </c>
    </row>
    <row r="115" spans="1:13" x14ac:dyDescent="0.25">
      <c r="A115" s="198"/>
      <c r="G115" s="169"/>
      <c r="H115" s="181">
        <v>110</v>
      </c>
      <c r="I115" s="182" t="str">
        <f t="shared" si="6"/>
        <v/>
      </c>
      <c r="J115" s="182">
        <f t="shared" si="10"/>
        <v>-3</v>
      </c>
      <c r="K115" s="181">
        <f t="shared" si="7"/>
        <v>-30</v>
      </c>
      <c r="L115" s="181"/>
      <c r="M115" s="183">
        <f t="shared" si="8"/>
        <v>0</v>
      </c>
    </row>
    <row r="116" spans="1:13" x14ac:dyDescent="0.25">
      <c r="A116" s="198"/>
      <c r="G116" s="169"/>
      <c r="H116" s="181">
        <v>111</v>
      </c>
      <c r="I116" s="182" t="str">
        <f t="shared" si="6"/>
        <v/>
      </c>
      <c r="J116" s="182">
        <f t="shared" si="10"/>
        <v>-3</v>
      </c>
      <c r="K116" s="181">
        <f t="shared" si="7"/>
        <v>-30</v>
      </c>
      <c r="L116" s="181"/>
      <c r="M116" s="183">
        <f t="shared" si="8"/>
        <v>0</v>
      </c>
    </row>
    <row r="117" spans="1:13" x14ac:dyDescent="0.25">
      <c r="A117" s="198"/>
      <c r="G117" s="169"/>
      <c r="H117" s="181">
        <v>112</v>
      </c>
      <c r="I117" s="182" t="str">
        <f t="shared" si="6"/>
        <v/>
      </c>
      <c r="J117" s="182">
        <f t="shared" si="10"/>
        <v>-3</v>
      </c>
      <c r="K117" s="181">
        <f t="shared" si="7"/>
        <v>-30</v>
      </c>
      <c r="L117" s="181"/>
      <c r="M117" s="183">
        <f t="shared" si="8"/>
        <v>0</v>
      </c>
    </row>
    <row r="118" spans="1:13" x14ac:dyDescent="0.25">
      <c r="A118" s="198"/>
      <c r="G118" s="169"/>
      <c r="H118" s="181">
        <v>113</v>
      </c>
      <c r="I118" s="182" t="str">
        <f t="shared" si="6"/>
        <v/>
      </c>
      <c r="J118" s="182">
        <f t="shared" si="10"/>
        <v>-3</v>
      </c>
      <c r="K118" s="181">
        <f t="shared" si="7"/>
        <v>-30</v>
      </c>
      <c r="L118" s="181"/>
      <c r="M118" s="183">
        <f t="shared" si="8"/>
        <v>0</v>
      </c>
    </row>
    <row r="119" spans="1:13" x14ac:dyDescent="0.25">
      <c r="A119" s="198"/>
      <c r="G119" s="169"/>
      <c r="H119" s="181">
        <v>114</v>
      </c>
      <c r="I119" s="182" t="str">
        <f t="shared" si="6"/>
        <v/>
      </c>
      <c r="J119" s="182">
        <f t="shared" si="10"/>
        <v>-3</v>
      </c>
      <c r="K119" s="181">
        <f t="shared" si="7"/>
        <v>-30</v>
      </c>
      <c r="L119" s="181"/>
      <c r="M119" s="183">
        <f t="shared" si="8"/>
        <v>0</v>
      </c>
    </row>
    <row r="120" spans="1:13" x14ac:dyDescent="0.25">
      <c r="A120" s="198"/>
      <c r="G120" s="169"/>
      <c r="H120" s="181">
        <v>115</v>
      </c>
      <c r="I120" s="182" t="str">
        <f t="shared" si="6"/>
        <v/>
      </c>
      <c r="J120" s="182">
        <f t="shared" si="10"/>
        <v>-3</v>
      </c>
      <c r="K120" s="181">
        <f t="shared" si="7"/>
        <v>-30</v>
      </c>
      <c r="L120" s="181"/>
      <c r="M120" s="183">
        <f t="shared" si="8"/>
        <v>0</v>
      </c>
    </row>
    <row r="121" spans="1:13" x14ac:dyDescent="0.25">
      <c r="A121" s="198"/>
      <c r="G121" s="169"/>
      <c r="H121" s="181">
        <v>116</v>
      </c>
      <c r="I121" s="182" t="str">
        <f t="shared" si="6"/>
        <v/>
      </c>
      <c r="J121" s="182">
        <f t="shared" si="10"/>
        <v>-3</v>
      </c>
      <c r="K121" s="181">
        <f t="shared" si="7"/>
        <v>-30</v>
      </c>
      <c r="L121" s="181"/>
      <c r="M121" s="183">
        <f t="shared" si="8"/>
        <v>0</v>
      </c>
    </row>
    <row r="122" spans="1:13" x14ac:dyDescent="0.25">
      <c r="A122" s="198"/>
      <c r="G122" s="169"/>
      <c r="H122" s="181">
        <v>117</v>
      </c>
      <c r="I122" s="182" t="str">
        <f t="shared" si="6"/>
        <v/>
      </c>
      <c r="J122" s="182">
        <f t="shared" si="10"/>
        <v>-3</v>
      </c>
      <c r="K122" s="181">
        <f t="shared" si="7"/>
        <v>-30</v>
      </c>
      <c r="L122" s="181"/>
      <c r="M122" s="183">
        <f t="shared" si="8"/>
        <v>0</v>
      </c>
    </row>
    <row r="123" spans="1:13" x14ac:dyDescent="0.25">
      <c r="A123" s="198"/>
      <c r="G123" s="169"/>
      <c r="H123" s="181">
        <v>118</v>
      </c>
      <c r="I123" s="182" t="str">
        <f t="shared" si="6"/>
        <v/>
      </c>
      <c r="J123" s="182">
        <f t="shared" si="10"/>
        <v>-3</v>
      </c>
      <c r="K123" s="181">
        <f t="shared" si="7"/>
        <v>-30</v>
      </c>
      <c r="L123" s="181"/>
      <c r="M123" s="183">
        <f t="shared" si="8"/>
        <v>0</v>
      </c>
    </row>
    <row r="124" spans="1:13" x14ac:dyDescent="0.25">
      <c r="A124" s="198"/>
      <c r="G124" s="169"/>
      <c r="H124" s="181">
        <v>119</v>
      </c>
      <c r="I124" s="182" t="str">
        <f t="shared" si="6"/>
        <v/>
      </c>
      <c r="J124" s="182">
        <f t="shared" si="10"/>
        <v>-3</v>
      </c>
      <c r="K124" s="181">
        <f t="shared" si="7"/>
        <v>-30</v>
      </c>
      <c r="L124" s="181"/>
      <c r="M124" s="183">
        <f t="shared" si="8"/>
        <v>0</v>
      </c>
    </row>
    <row r="125" spans="1:13" x14ac:dyDescent="0.25">
      <c r="A125" s="198"/>
      <c r="G125" s="169"/>
      <c r="H125" s="181">
        <v>120</v>
      </c>
      <c r="I125" s="182" t="str">
        <f t="shared" si="6"/>
        <v/>
      </c>
      <c r="J125" s="182">
        <f t="shared" si="10"/>
        <v>-3</v>
      </c>
      <c r="K125" s="181">
        <f t="shared" si="7"/>
        <v>-30</v>
      </c>
      <c r="L125" s="181"/>
      <c r="M125" s="183">
        <f t="shared" si="8"/>
        <v>0</v>
      </c>
    </row>
    <row r="126" spans="1:13" x14ac:dyDescent="0.25">
      <c r="A126" s="198"/>
      <c r="G126" s="169"/>
      <c r="H126" s="181">
        <v>121</v>
      </c>
      <c r="I126" s="182" t="str">
        <f t="shared" si="6"/>
        <v/>
      </c>
      <c r="J126" s="182">
        <f t="shared" si="10"/>
        <v>-3</v>
      </c>
      <c r="K126" s="181">
        <f t="shared" si="7"/>
        <v>-30</v>
      </c>
      <c r="L126" s="181"/>
      <c r="M126" s="183">
        <f t="shared" si="8"/>
        <v>0</v>
      </c>
    </row>
    <row r="127" spans="1:13" x14ac:dyDescent="0.25">
      <c r="A127" s="198"/>
      <c r="G127" s="169"/>
      <c r="H127" s="181">
        <v>122</v>
      </c>
      <c r="I127" s="182" t="str">
        <f t="shared" si="6"/>
        <v/>
      </c>
      <c r="J127" s="182">
        <f t="shared" si="10"/>
        <v>-3</v>
      </c>
      <c r="K127" s="181">
        <f t="shared" si="7"/>
        <v>-30</v>
      </c>
      <c r="L127" s="181"/>
      <c r="M127" s="183">
        <f t="shared" si="8"/>
        <v>0</v>
      </c>
    </row>
    <row r="128" spans="1:13" x14ac:dyDescent="0.25">
      <c r="A128" s="198"/>
      <c r="G128" s="169"/>
      <c r="H128" s="181">
        <v>123</v>
      </c>
      <c r="I128" s="182" t="str">
        <f t="shared" si="6"/>
        <v/>
      </c>
      <c r="J128" s="182">
        <f t="shared" si="10"/>
        <v>-3</v>
      </c>
      <c r="K128" s="181">
        <f t="shared" si="7"/>
        <v>-30</v>
      </c>
      <c r="L128" s="181"/>
      <c r="M128" s="183">
        <f t="shared" si="8"/>
        <v>0</v>
      </c>
    </row>
    <row r="129" spans="1:13" x14ac:dyDescent="0.25">
      <c r="A129" s="198"/>
      <c r="G129" s="169"/>
      <c r="H129" s="181">
        <v>124</v>
      </c>
      <c r="I129" s="182" t="str">
        <f t="shared" si="6"/>
        <v/>
      </c>
      <c r="J129" s="182">
        <f t="shared" si="10"/>
        <v>-3</v>
      </c>
      <c r="K129" s="181">
        <f t="shared" si="7"/>
        <v>-30</v>
      </c>
      <c r="L129" s="181"/>
      <c r="M129" s="183">
        <f t="shared" si="8"/>
        <v>0</v>
      </c>
    </row>
    <row r="130" spans="1:13" x14ac:dyDescent="0.25">
      <c r="A130" s="198"/>
      <c r="G130" s="169"/>
      <c r="H130" s="181">
        <v>125</v>
      </c>
      <c r="I130" s="182" t="str">
        <f t="shared" si="6"/>
        <v/>
      </c>
      <c r="J130" s="182">
        <f t="shared" si="10"/>
        <v>-3</v>
      </c>
      <c r="K130" s="181">
        <f t="shared" si="7"/>
        <v>-30</v>
      </c>
      <c r="L130" s="181"/>
      <c r="M130" s="183">
        <f t="shared" si="8"/>
        <v>0</v>
      </c>
    </row>
    <row r="131" spans="1:13" x14ac:dyDescent="0.25">
      <c r="A131" s="198"/>
      <c r="G131" s="169"/>
      <c r="H131" s="181">
        <v>126</v>
      </c>
      <c r="I131" s="182" t="str">
        <f t="shared" si="6"/>
        <v/>
      </c>
      <c r="J131" s="182">
        <f t="shared" si="10"/>
        <v>-3</v>
      </c>
      <c r="K131" s="181">
        <f t="shared" si="7"/>
        <v>-30</v>
      </c>
      <c r="L131" s="181"/>
      <c r="M131" s="183">
        <f t="shared" si="8"/>
        <v>0</v>
      </c>
    </row>
    <row r="132" spans="1:13" x14ac:dyDescent="0.25">
      <c r="A132" s="198"/>
      <c r="G132" s="169"/>
      <c r="H132" s="181">
        <v>127</v>
      </c>
      <c r="I132" s="182" t="str">
        <f t="shared" si="6"/>
        <v/>
      </c>
      <c r="J132" s="182">
        <f t="shared" si="10"/>
        <v>-3</v>
      </c>
      <c r="K132" s="181">
        <f t="shared" si="7"/>
        <v>-30</v>
      </c>
      <c r="L132" s="181"/>
      <c r="M132" s="183">
        <f t="shared" si="8"/>
        <v>0</v>
      </c>
    </row>
    <row r="133" spans="1:13" x14ac:dyDescent="0.25">
      <c r="A133" s="198"/>
      <c r="G133" s="169"/>
      <c r="H133" s="181">
        <v>128</v>
      </c>
      <c r="I133" s="182" t="str">
        <f t="shared" si="6"/>
        <v/>
      </c>
      <c r="J133" s="182">
        <f t="shared" si="10"/>
        <v>-3</v>
      </c>
      <c r="K133" s="181">
        <f t="shared" si="7"/>
        <v>-30</v>
      </c>
      <c r="L133" s="181"/>
      <c r="M133" s="183">
        <f t="shared" si="8"/>
        <v>0</v>
      </c>
    </row>
    <row r="134" spans="1:13" x14ac:dyDescent="0.25">
      <c r="A134" s="198"/>
      <c r="G134" s="169"/>
      <c r="H134" s="181">
        <v>129</v>
      </c>
      <c r="I134" s="182" t="str">
        <f t="shared" ref="I134:I197" si="11">IF(H134&lt;$H$2+1,($I$2-($I$2-1)*(LOG(H134)/LOG($H$2))),"")</f>
        <v/>
      </c>
      <c r="J134" s="182">
        <f t="shared" si="10"/>
        <v>-4</v>
      </c>
      <c r="K134" s="181">
        <f t="shared" ref="K134:K197" si="12">J134*$J$2</f>
        <v>-40</v>
      </c>
      <c r="L134" s="181"/>
      <c r="M134" s="183">
        <f t="shared" ref="M134:M197" si="13">IF(I134&lt;&gt;"",K134+I134+L134,0)</f>
        <v>0</v>
      </c>
    </row>
    <row r="135" spans="1:13" x14ac:dyDescent="0.25">
      <c r="A135" s="198"/>
      <c r="G135" s="169"/>
      <c r="H135" s="181">
        <v>130</v>
      </c>
      <c r="I135" s="182" t="str">
        <f t="shared" si="11"/>
        <v/>
      </c>
      <c r="J135" s="182">
        <f t="shared" ref="J135:J198" si="14">INT(LOG($H$2,2))-ROUNDUP(LOG(H135,2),0)+IF(OR($H$2=1,$H$2=2,$H$2=4,$H$2=8,$H$2=16,$H$2=32,$H$2=64,$H$2=128,$H$2=256),0,1)</f>
        <v>-4</v>
      </c>
      <c r="K135" s="181">
        <f t="shared" si="12"/>
        <v>-40</v>
      </c>
      <c r="L135" s="181"/>
      <c r="M135" s="183">
        <f t="shared" si="13"/>
        <v>0</v>
      </c>
    </row>
    <row r="136" spans="1:13" x14ac:dyDescent="0.25">
      <c r="A136" s="198"/>
      <c r="G136" s="169"/>
      <c r="H136" s="181">
        <v>131</v>
      </c>
      <c r="I136" s="182" t="str">
        <f t="shared" si="11"/>
        <v/>
      </c>
      <c r="J136" s="182">
        <f t="shared" si="14"/>
        <v>-4</v>
      </c>
      <c r="K136" s="181">
        <f t="shared" si="12"/>
        <v>-40</v>
      </c>
      <c r="L136" s="181"/>
      <c r="M136" s="183">
        <f t="shared" si="13"/>
        <v>0</v>
      </c>
    </row>
    <row r="137" spans="1:13" x14ac:dyDescent="0.25">
      <c r="A137" s="198"/>
      <c r="G137" s="169"/>
      <c r="H137" s="181">
        <v>132</v>
      </c>
      <c r="I137" s="182" t="str">
        <f t="shared" si="11"/>
        <v/>
      </c>
      <c r="J137" s="182">
        <f t="shared" si="14"/>
        <v>-4</v>
      </c>
      <c r="K137" s="181">
        <f t="shared" si="12"/>
        <v>-40</v>
      </c>
      <c r="L137" s="181"/>
      <c r="M137" s="183">
        <f t="shared" si="13"/>
        <v>0</v>
      </c>
    </row>
    <row r="138" spans="1:13" x14ac:dyDescent="0.25">
      <c r="A138" s="198"/>
      <c r="G138" s="169"/>
      <c r="H138" s="181">
        <v>133</v>
      </c>
      <c r="I138" s="182" t="str">
        <f t="shared" si="11"/>
        <v/>
      </c>
      <c r="J138" s="182">
        <f t="shared" si="14"/>
        <v>-4</v>
      </c>
      <c r="K138" s="181">
        <f t="shared" si="12"/>
        <v>-40</v>
      </c>
      <c r="L138" s="181"/>
      <c r="M138" s="183">
        <f t="shared" si="13"/>
        <v>0</v>
      </c>
    </row>
    <row r="139" spans="1:13" x14ac:dyDescent="0.25">
      <c r="A139" s="198"/>
      <c r="G139" s="169"/>
      <c r="H139" s="181">
        <v>134</v>
      </c>
      <c r="I139" s="182" t="str">
        <f t="shared" si="11"/>
        <v/>
      </c>
      <c r="J139" s="182">
        <f t="shared" si="14"/>
        <v>-4</v>
      </c>
      <c r="K139" s="181">
        <f t="shared" si="12"/>
        <v>-40</v>
      </c>
      <c r="L139" s="181"/>
      <c r="M139" s="183">
        <f t="shared" si="13"/>
        <v>0</v>
      </c>
    </row>
    <row r="140" spans="1:13" x14ac:dyDescent="0.25">
      <c r="A140" s="198"/>
      <c r="G140" s="169"/>
      <c r="H140" s="181">
        <v>135</v>
      </c>
      <c r="I140" s="182" t="str">
        <f t="shared" si="11"/>
        <v/>
      </c>
      <c r="J140" s="182">
        <f t="shared" si="14"/>
        <v>-4</v>
      </c>
      <c r="K140" s="181">
        <f t="shared" si="12"/>
        <v>-40</v>
      </c>
      <c r="L140" s="181"/>
      <c r="M140" s="183">
        <f t="shared" si="13"/>
        <v>0</v>
      </c>
    </row>
    <row r="141" spans="1:13" x14ac:dyDescent="0.25">
      <c r="A141" s="198"/>
      <c r="G141" s="169"/>
      <c r="H141" s="181">
        <v>136</v>
      </c>
      <c r="I141" s="182" t="str">
        <f t="shared" si="11"/>
        <v/>
      </c>
      <c r="J141" s="182">
        <f t="shared" si="14"/>
        <v>-4</v>
      </c>
      <c r="K141" s="181">
        <f t="shared" si="12"/>
        <v>-40</v>
      </c>
      <c r="L141" s="181"/>
      <c r="M141" s="183">
        <f t="shared" si="13"/>
        <v>0</v>
      </c>
    </row>
    <row r="142" spans="1:13" x14ac:dyDescent="0.25">
      <c r="A142" s="198"/>
      <c r="G142" s="169"/>
      <c r="H142" s="181">
        <v>137</v>
      </c>
      <c r="I142" s="182" t="str">
        <f t="shared" si="11"/>
        <v/>
      </c>
      <c r="J142" s="182">
        <f t="shared" si="14"/>
        <v>-4</v>
      </c>
      <c r="K142" s="181">
        <f t="shared" si="12"/>
        <v>-40</v>
      </c>
      <c r="L142" s="181"/>
      <c r="M142" s="183">
        <f t="shared" si="13"/>
        <v>0</v>
      </c>
    </row>
    <row r="143" spans="1:13" x14ac:dyDescent="0.25">
      <c r="A143" s="198"/>
      <c r="G143" s="169"/>
      <c r="H143" s="181">
        <v>138</v>
      </c>
      <c r="I143" s="182" t="str">
        <f t="shared" si="11"/>
        <v/>
      </c>
      <c r="J143" s="182">
        <f t="shared" si="14"/>
        <v>-4</v>
      </c>
      <c r="K143" s="181">
        <f t="shared" si="12"/>
        <v>-40</v>
      </c>
      <c r="L143" s="181"/>
      <c r="M143" s="183">
        <f t="shared" si="13"/>
        <v>0</v>
      </c>
    </row>
    <row r="144" spans="1:13" x14ac:dyDescent="0.25">
      <c r="A144" s="198"/>
      <c r="G144" s="169"/>
      <c r="H144" s="181">
        <v>139</v>
      </c>
      <c r="I144" s="182" t="str">
        <f t="shared" si="11"/>
        <v/>
      </c>
      <c r="J144" s="182">
        <f t="shared" si="14"/>
        <v>-4</v>
      </c>
      <c r="K144" s="181">
        <f t="shared" si="12"/>
        <v>-40</v>
      </c>
      <c r="L144" s="181"/>
      <c r="M144" s="183">
        <f t="shared" si="13"/>
        <v>0</v>
      </c>
    </row>
    <row r="145" spans="1:13" x14ac:dyDescent="0.25">
      <c r="A145" s="198"/>
      <c r="G145" s="169"/>
      <c r="H145" s="181">
        <v>140</v>
      </c>
      <c r="I145" s="182" t="str">
        <f t="shared" si="11"/>
        <v/>
      </c>
      <c r="J145" s="182">
        <f t="shared" si="14"/>
        <v>-4</v>
      </c>
      <c r="K145" s="181">
        <f t="shared" si="12"/>
        <v>-40</v>
      </c>
      <c r="L145" s="181"/>
      <c r="M145" s="183">
        <f t="shared" si="13"/>
        <v>0</v>
      </c>
    </row>
    <row r="146" spans="1:13" x14ac:dyDescent="0.25">
      <c r="A146" s="198"/>
      <c r="G146" s="169"/>
      <c r="H146" s="181">
        <v>141</v>
      </c>
      <c r="I146" s="182" t="str">
        <f t="shared" si="11"/>
        <v/>
      </c>
      <c r="J146" s="182">
        <f t="shared" si="14"/>
        <v>-4</v>
      </c>
      <c r="K146" s="181">
        <f t="shared" si="12"/>
        <v>-40</v>
      </c>
      <c r="L146" s="181"/>
      <c r="M146" s="183">
        <f t="shared" si="13"/>
        <v>0</v>
      </c>
    </row>
    <row r="147" spans="1:13" x14ac:dyDescent="0.25">
      <c r="A147" s="198"/>
      <c r="G147" s="169"/>
      <c r="H147" s="181">
        <v>142</v>
      </c>
      <c r="I147" s="182" t="str">
        <f t="shared" si="11"/>
        <v/>
      </c>
      <c r="J147" s="182">
        <f t="shared" si="14"/>
        <v>-4</v>
      </c>
      <c r="K147" s="181">
        <f t="shared" si="12"/>
        <v>-40</v>
      </c>
      <c r="L147" s="181"/>
      <c r="M147" s="183">
        <f t="shared" si="13"/>
        <v>0</v>
      </c>
    </row>
    <row r="148" spans="1:13" x14ac:dyDescent="0.25">
      <c r="A148" s="198"/>
      <c r="G148" s="169"/>
      <c r="H148" s="181">
        <v>143</v>
      </c>
      <c r="I148" s="182" t="str">
        <f t="shared" si="11"/>
        <v/>
      </c>
      <c r="J148" s="182">
        <f t="shared" si="14"/>
        <v>-4</v>
      </c>
      <c r="K148" s="181">
        <f t="shared" si="12"/>
        <v>-40</v>
      </c>
      <c r="L148" s="181"/>
      <c r="M148" s="183">
        <f t="shared" si="13"/>
        <v>0</v>
      </c>
    </row>
    <row r="149" spans="1:13" x14ac:dyDescent="0.25">
      <c r="A149" s="198"/>
      <c r="G149" s="169"/>
      <c r="H149" s="181">
        <v>144</v>
      </c>
      <c r="I149" s="182" t="str">
        <f t="shared" si="11"/>
        <v/>
      </c>
      <c r="J149" s="182">
        <f t="shared" si="14"/>
        <v>-4</v>
      </c>
      <c r="K149" s="181">
        <f t="shared" si="12"/>
        <v>-40</v>
      </c>
      <c r="L149" s="181"/>
      <c r="M149" s="183">
        <f t="shared" si="13"/>
        <v>0</v>
      </c>
    </row>
    <row r="150" spans="1:13" x14ac:dyDescent="0.25">
      <c r="A150" s="198"/>
      <c r="G150" s="169"/>
      <c r="H150" s="181">
        <v>145</v>
      </c>
      <c r="I150" s="182" t="str">
        <f t="shared" si="11"/>
        <v/>
      </c>
      <c r="J150" s="182">
        <f t="shared" si="14"/>
        <v>-4</v>
      </c>
      <c r="K150" s="181">
        <f t="shared" si="12"/>
        <v>-40</v>
      </c>
      <c r="L150" s="181"/>
      <c r="M150" s="183">
        <f t="shared" si="13"/>
        <v>0</v>
      </c>
    </row>
    <row r="151" spans="1:13" x14ac:dyDescent="0.25">
      <c r="A151" s="198"/>
      <c r="G151" s="169"/>
      <c r="H151" s="181">
        <v>146</v>
      </c>
      <c r="I151" s="182" t="str">
        <f t="shared" si="11"/>
        <v/>
      </c>
      <c r="J151" s="182">
        <f t="shared" si="14"/>
        <v>-4</v>
      </c>
      <c r="K151" s="181">
        <f t="shared" si="12"/>
        <v>-40</v>
      </c>
      <c r="L151" s="181"/>
      <c r="M151" s="183">
        <f t="shared" si="13"/>
        <v>0</v>
      </c>
    </row>
    <row r="152" spans="1:13" x14ac:dyDescent="0.25">
      <c r="A152" s="198"/>
      <c r="G152" s="169"/>
      <c r="H152" s="181">
        <v>147</v>
      </c>
      <c r="I152" s="182" t="str">
        <f t="shared" si="11"/>
        <v/>
      </c>
      <c r="J152" s="182">
        <f t="shared" si="14"/>
        <v>-4</v>
      </c>
      <c r="K152" s="181">
        <f t="shared" si="12"/>
        <v>-40</v>
      </c>
      <c r="L152" s="181"/>
      <c r="M152" s="183">
        <f t="shared" si="13"/>
        <v>0</v>
      </c>
    </row>
    <row r="153" spans="1:13" x14ac:dyDescent="0.25">
      <c r="A153" s="198"/>
      <c r="G153" s="169"/>
      <c r="H153" s="181">
        <v>148</v>
      </c>
      <c r="I153" s="182" t="str">
        <f t="shared" si="11"/>
        <v/>
      </c>
      <c r="J153" s="182">
        <f t="shared" si="14"/>
        <v>-4</v>
      </c>
      <c r="K153" s="181">
        <f t="shared" si="12"/>
        <v>-40</v>
      </c>
      <c r="L153" s="181"/>
      <c r="M153" s="183">
        <f t="shared" si="13"/>
        <v>0</v>
      </c>
    </row>
    <row r="154" spans="1:13" x14ac:dyDescent="0.25">
      <c r="A154" s="198"/>
      <c r="G154" s="169"/>
      <c r="H154" s="181">
        <v>149</v>
      </c>
      <c r="I154" s="182" t="str">
        <f t="shared" si="11"/>
        <v/>
      </c>
      <c r="J154" s="182">
        <f t="shared" si="14"/>
        <v>-4</v>
      </c>
      <c r="K154" s="181">
        <f t="shared" si="12"/>
        <v>-40</v>
      </c>
      <c r="L154" s="181"/>
      <c r="M154" s="183">
        <f t="shared" si="13"/>
        <v>0</v>
      </c>
    </row>
    <row r="155" spans="1:13" x14ac:dyDescent="0.25">
      <c r="A155" s="198"/>
      <c r="G155" s="169"/>
      <c r="H155" s="181">
        <v>150</v>
      </c>
      <c r="I155" s="182" t="str">
        <f t="shared" si="11"/>
        <v/>
      </c>
      <c r="J155" s="182">
        <f t="shared" si="14"/>
        <v>-4</v>
      </c>
      <c r="K155" s="181">
        <f t="shared" si="12"/>
        <v>-40</v>
      </c>
      <c r="L155" s="181"/>
      <c r="M155" s="183">
        <f t="shared" si="13"/>
        <v>0</v>
      </c>
    </row>
    <row r="156" spans="1:13" x14ac:dyDescent="0.25">
      <c r="A156" s="198"/>
      <c r="G156" s="169"/>
      <c r="H156" s="181">
        <v>151</v>
      </c>
      <c r="I156" s="182" t="str">
        <f t="shared" si="11"/>
        <v/>
      </c>
      <c r="J156" s="182">
        <f t="shared" si="14"/>
        <v>-4</v>
      </c>
      <c r="K156" s="181">
        <f t="shared" si="12"/>
        <v>-40</v>
      </c>
      <c r="L156" s="181"/>
      <c r="M156" s="183">
        <f t="shared" si="13"/>
        <v>0</v>
      </c>
    </row>
    <row r="157" spans="1:13" x14ac:dyDescent="0.25">
      <c r="A157" s="198"/>
      <c r="G157" s="169"/>
      <c r="H157" s="181">
        <v>152</v>
      </c>
      <c r="I157" s="182" t="str">
        <f t="shared" si="11"/>
        <v/>
      </c>
      <c r="J157" s="182">
        <f t="shared" si="14"/>
        <v>-4</v>
      </c>
      <c r="K157" s="181">
        <f t="shared" si="12"/>
        <v>-40</v>
      </c>
      <c r="L157" s="181"/>
      <c r="M157" s="183">
        <f t="shared" si="13"/>
        <v>0</v>
      </c>
    </row>
    <row r="158" spans="1:13" x14ac:dyDescent="0.25">
      <c r="A158" s="198"/>
      <c r="G158" s="169"/>
      <c r="H158" s="181">
        <v>153</v>
      </c>
      <c r="I158" s="182" t="str">
        <f t="shared" si="11"/>
        <v/>
      </c>
      <c r="J158" s="182">
        <f t="shared" si="14"/>
        <v>-4</v>
      </c>
      <c r="K158" s="181">
        <f t="shared" si="12"/>
        <v>-40</v>
      </c>
      <c r="L158" s="181"/>
      <c r="M158" s="183">
        <f t="shared" si="13"/>
        <v>0</v>
      </c>
    </row>
    <row r="159" spans="1:13" x14ac:dyDescent="0.25">
      <c r="A159" s="198"/>
      <c r="G159" s="169"/>
      <c r="H159" s="181">
        <v>154</v>
      </c>
      <c r="I159" s="182" t="str">
        <f t="shared" si="11"/>
        <v/>
      </c>
      <c r="J159" s="182">
        <f t="shared" si="14"/>
        <v>-4</v>
      </c>
      <c r="K159" s="181">
        <f t="shared" si="12"/>
        <v>-40</v>
      </c>
      <c r="L159" s="181"/>
      <c r="M159" s="183">
        <f t="shared" si="13"/>
        <v>0</v>
      </c>
    </row>
    <row r="160" spans="1:13" x14ac:dyDescent="0.25">
      <c r="A160" s="198"/>
      <c r="G160" s="169"/>
      <c r="H160" s="181">
        <v>155</v>
      </c>
      <c r="I160" s="182" t="str">
        <f t="shared" si="11"/>
        <v/>
      </c>
      <c r="J160" s="182">
        <f t="shared" si="14"/>
        <v>-4</v>
      </c>
      <c r="K160" s="181">
        <f t="shared" si="12"/>
        <v>-40</v>
      </c>
      <c r="L160" s="181"/>
      <c r="M160" s="183">
        <f t="shared" si="13"/>
        <v>0</v>
      </c>
    </row>
    <row r="161" spans="1:13" x14ac:dyDescent="0.25">
      <c r="A161" s="198"/>
      <c r="G161" s="169"/>
      <c r="H161" s="181">
        <v>156</v>
      </c>
      <c r="I161" s="182" t="str">
        <f t="shared" si="11"/>
        <v/>
      </c>
      <c r="J161" s="182">
        <f t="shared" si="14"/>
        <v>-4</v>
      </c>
      <c r="K161" s="181">
        <f t="shared" si="12"/>
        <v>-40</v>
      </c>
      <c r="L161" s="181"/>
      <c r="M161" s="183">
        <f t="shared" si="13"/>
        <v>0</v>
      </c>
    </row>
    <row r="162" spans="1:13" x14ac:dyDescent="0.25">
      <c r="A162" s="198"/>
      <c r="G162" s="169"/>
      <c r="H162" s="181">
        <v>157</v>
      </c>
      <c r="I162" s="182" t="str">
        <f t="shared" si="11"/>
        <v/>
      </c>
      <c r="J162" s="182">
        <f t="shared" si="14"/>
        <v>-4</v>
      </c>
      <c r="K162" s="181">
        <f t="shared" si="12"/>
        <v>-40</v>
      </c>
      <c r="L162" s="181"/>
      <c r="M162" s="183">
        <f t="shared" si="13"/>
        <v>0</v>
      </c>
    </row>
    <row r="163" spans="1:13" x14ac:dyDescent="0.25">
      <c r="A163" s="198"/>
      <c r="G163" s="169"/>
      <c r="H163" s="181">
        <v>158</v>
      </c>
      <c r="I163" s="182" t="str">
        <f t="shared" si="11"/>
        <v/>
      </c>
      <c r="J163" s="182">
        <f t="shared" si="14"/>
        <v>-4</v>
      </c>
      <c r="K163" s="181">
        <f t="shared" si="12"/>
        <v>-40</v>
      </c>
      <c r="L163" s="181"/>
      <c r="M163" s="183">
        <f t="shared" si="13"/>
        <v>0</v>
      </c>
    </row>
    <row r="164" spans="1:13" x14ac:dyDescent="0.25">
      <c r="A164" s="198"/>
      <c r="G164" s="169"/>
      <c r="H164" s="181">
        <v>159</v>
      </c>
      <c r="I164" s="182" t="str">
        <f t="shared" si="11"/>
        <v/>
      </c>
      <c r="J164" s="182">
        <f t="shared" si="14"/>
        <v>-4</v>
      </c>
      <c r="K164" s="181">
        <f t="shared" si="12"/>
        <v>-40</v>
      </c>
      <c r="L164" s="181"/>
      <c r="M164" s="183">
        <f t="shared" si="13"/>
        <v>0</v>
      </c>
    </row>
    <row r="165" spans="1:13" x14ac:dyDescent="0.25">
      <c r="A165" s="198"/>
      <c r="G165" s="169"/>
      <c r="H165" s="181">
        <v>160</v>
      </c>
      <c r="I165" s="182" t="str">
        <f t="shared" si="11"/>
        <v/>
      </c>
      <c r="J165" s="182">
        <f t="shared" si="14"/>
        <v>-4</v>
      </c>
      <c r="K165" s="181">
        <f t="shared" si="12"/>
        <v>-40</v>
      </c>
      <c r="L165" s="181"/>
      <c r="M165" s="183">
        <f t="shared" si="13"/>
        <v>0</v>
      </c>
    </row>
    <row r="166" spans="1:13" x14ac:dyDescent="0.25">
      <c r="A166" s="198"/>
      <c r="G166" s="169"/>
      <c r="H166" s="181">
        <v>161</v>
      </c>
      <c r="I166" s="182" t="str">
        <f t="shared" si="11"/>
        <v/>
      </c>
      <c r="J166" s="182">
        <f t="shared" si="14"/>
        <v>-4</v>
      </c>
      <c r="K166" s="181">
        <f t="shared" si="12"/>
        <v>-40</v>
      </c>
      <c r="L166" s="181"/>
      <c r="M166" s="183">
        <f t="shared" si="13"/>
        <v>0</v>
      </c>
    </row>
    <row r="167" spans="1:13" x14ac:dyDescent="0.25">
      <c r="A167" s="198"/>
      <c r="G167" s="169"/>
      <c r="H167" s="181">
        <v>162</v>
      </c>
      <c r="I167" s="182" t="str">
        <f t="shared" si="11"/>
        <v/>
      </c>
      <c r="J167" s="182">
        <f t="shared" si="14"/>
        <v>-4</v>
      </c>
      <c r="K167" s="181">
        <f t="shared" si="12"/>
        <v>-40</v>
      </c>
      <c r="L167" s="181"/>
      <c r="M167" s="183">
        <f t="shared" si="13"/>
        <v>0</v>
      </c>
    </row>
    <row r="168" spans="1:13" x14ac:dyDescent="0.25">
      <c r="A168" s="198"/>
      <c r="G168" s="169"/>
      <c r="H168" s="181">
        <v>163</v>
      </c>
      <c r="I168" s="182" t="str">
        <f t="shared" si="11"/>
        <v/>
      </c>
      <c r="J168" s="182">
        <f t="shared" si="14"/>
        <v>-4</v>
      </c>
      <c r="K168" s="181">
        <f t="shared" si="12"/>
        <v>-40</v>
      </c>
      <c r="L168" s="181"/>
      <c r="M168" s="183">
        <f t="shared" si="13"/>
        <v>0</v>
      </c>
    </row>
    <row r="169" spans="1:13" x14ac:dyDescent="0.25">
      <c r="A169" s="198"/>
      <c r="C169" s="197" t="s">
        <v>54</v>
      </c>
      <c r="G169" s="169"/>
      <c r="H169" s="181">
        <v>164</v>
      </c>
      <c r="I169" s="182" t="str">
        <f t="shared" si="11"/>
        <v/>
      </c>
      <c r="J169" s="182">
        <f t="shared" si="14"/>
        <v>-4</v>
      </c>
      <c r="K169" s="181">
        <f t="shared" si="12"/>
        <v>-40</v>
      </c>
      <c r="L169" s="181"/>
      <c r="M169" s="183">
        <f t="shared" si="13"/>
        <v>0</v>
      </c>
    </row>
    <row r="170" spans="1:13" x14ac:dyDescent="0.25">
      <c r="A170" s="198"/>
      <c r="G170" s="169"/>
      <c r="H170" s="181">
        <v>165</v>
      </c>
      <c r="I170" s="182" t="str">
        <f t="shared" si="11"/>
        <v/>
      </c>
      <c r="J170" s="182">
        <f t="shared" si="14"/>
        <v>-4</v>
      </c>
      <c r="K170" s="181">
        <f t="shared" si="12"/>
        <v>-40</v>
      </c>
      <c r="L170" s="181"/>
      <c r="M170" s="183">
        <f t="shared" si="13"/>
        <v>0</v>
      </c>
    </row>
    <row r="171" spans="1:13" x14ac:dyDescent="0.25">
      <c r="A171" s="198"/>
      <c r="G171" s="169"/>
      <c r="H171" s="181">
        <v>166</v>
      </c>
      <c r="I171" s="182" t="str">
        <f t="shared" si="11"/>
        <v/>
      </c>
      <c r="J171" s="182">
        <f t="shared" si="14"/>
        <v>-4</v>
      </c>
      <c r="K171" s="181">
        <f t="shared" si="12"/>
        <v>-40</v>
      </c>
      <c r="L171" s="181"/>
      <c r="M171" s="183">
        <f t="shared" si="13"/>
        <v>0</v>
      </c>
    </row>
    <row r="172" spans="1:13" x14ac:dyDescent="0.25">
      <c r="A172" s="198"/>
      <c r="G172" s="169"/>
      <c r="H172" s="181">
        <v>167</v>
      </c>
      <c r="I172" s="182" t="str">
        <f t="shared" si="11"/>
        <v/>
      </c>
      <c r="J172" s="182">
        <f t="shared" si="14"/>
        <v>-4</v>
      </c>
      <c r="K172" s="181">
        <f t="shared" si="12"/>
        <v>-40</v>
      </c>
      <c r="L172" s="181"/>
      <c r="M172" s="183">
        <f t="shared" si="13"/>
        <v>0</v>
      </c>
    </row>
    <row r="173" spans="1:13" x14ac:dyDescent="0.25">
      <c r="A173" s="198"/>
      <c r="G173" s="169"/>
      <c r="H173" s="181">
        <v>168</v>
      </c>
      <c r="I173" s="182" t="str">
        <f t="shared" si="11"/>
        <v/>
      </c>
      <c r="J173" s="182">
        <f t="shared" si="14"/>
        <v>-4</v>
      </c>
      <c r="K173" s="181">
        <f t="shared" si="12"/>
        <v>-40</v>
      </c>
      <c r="L173" s="181"/>
      <c r="M173" s="183">
        <f t="shared" si="13"/>
        <v>0</v>
      </c>
    </row>
    <row r="174" spans="1:13" x14ac:dyDescent="0.25">
      <c r="A174" s="198"/>
      <c r="G174" s="169"/>
      <c r="H174" s="181">
        <v>169</v>
      </c>
      <c r="I174" s="182" t="str">
        <f t="shared" si="11"/>
        <v/>
      </c>
      <c r="J174" s="182">
        <f t="shared" si="14"/>
        <v>-4</v>
      </c>
      <c r="K174" s="181">
        <f t="shared" si="12"/>
        <v>-40</v>
      </c>
      <c r="L174" s="181"/>
      <c r="M174" s="183">
        <f t="shared" si="13"/>
        <v>0</v>
      </c>
    </row>
    <row r="175" spans="1:13" x14ac:dyDescent="0.25">
      <c r="A175" s="198"/>
      <c r="G175" s="169"/>
      <c r="H175" s="181">
        <v>170</v>
      </c>
      <c r="I175" s="182" t="str">
        <f t="shared" si="11"/>
        <v/>
      </c>
      <c r="J175" s="182">
        <f t="shared" si="14"/>
        <v>-4</v>
      </c>
      <c r="K175" s="181">
        <f t="shared" si="12"/>
        <v>-40</v>
      </c>
      <c r="L175" s="181"/>
      <c r="M175" s="183">
        <f t="shared" si="13"/>
        <v>0</v>
      </c>
    </row>
    <row r="176" spans="1:13" x14ac:dyDescent="0.25">
      <c r="A176" s="198"/>
      <c r="G176" s="169"/>
      <c r="H176" s="181">
        <v>171</v>
      </c>
      <c r="I176" s="182" t="str">
        <f t="shared" si="11"/>
        <v/>
      </c>
      <c r="J176" s="182">
        <f t="shared" si="14"/>
        <v>-4</v>
      </c>
      <c r="K176" s="181">
        <f t="shared" si="12"/>
        <v>-40</v>
      </c>
      <c r="L176" s="181"/>
      <c r="M176" s="183">
        <f t="shared" si="13"/>
        <v>0</v>
      </c>
    </row>
    <row r="177" spans="1:13" x14ac:dyDescent="0.25">
      <c r="A177" s="198"/>
      <c r="G177" s="169"/>
      <c r="H177" s="181">
        <v>172</v>
      </c>
      <c r="I177" s="182" t="str">
        <f t="shared" si="11"/>
        <v/>
      </c>
      <c r="J177" s="182">
        <f t="shared" si="14"/>
        <v>-4</v>
      </c>
      <c r="K177" s="181">
        <f t="shared" si="12"/>
        <v>-40</v>
      </c>
      <c r="L177" s="181"/>
      <c r="M177" s="183">
        <f t="shared" si="13"/>
        <v>0</v>
      </c>
    </row>
    <row r="178" spans="1:13" x14ac:dyDescent="0.25">
      <c r="A178" s="198"/>
      <c r="G178" s="169"/>
      <c r="H178" s="181">
        <v>173</v>
      </c>
      <c r="I178" s="182" t="str">
        <f t="shared" si="11"/>
        <v/>
      </c>
      <c r="J178" s="182">
        <f t="shared" si="14"/>
        <v>-4</v>
      </c>
      <c r="K178" s="181">
        <f t="shared" si="12"/>
        <v>-40</v>
      </c>
      <c r="L178" s="181"/>
      <c r="M178" s="183">
        <f t="shared" si="13"/>
        <v>0</v>
      </c>
    </row>
    <row r="179" spans="1:13" x14ac:dyDescent="0.25">
      <c r="A179" s="198"/>
      <c r="G179" s="169"/>
      <c r="H179" s="181">
        <v>174</v>
      </c>
      <c r="I179" s="182" t="str">
        <f t="shared" si="11"/>
        <v/>
      </c>
      <c r="J179" s="182">
        <f t="shared" si="14"/>
        <v>-4</v>
      </c>
      <c r="K179" s="181">
        <f t="shared" si="12"/>
        <v>-40</v>
      </c>
      <c r="L179" s="181"/>
      <c r="M179" s="183">
        <f t="shared" si="13"/>
        <v>0</v>
      </c>
    </row>
    <row r="180" spans="1:13" x14ac:dyDescent="0.25">
      <c r="A180" s="198"/>
      <c r="G180" s="169"/>
      <c r="H180" s="181">
        <v>175</v>
      </c>
      <c r="I180" s="182" t="str">
        <f t="shared" si="11"/>
        <v/>
      </c>
      <c r="J180" s="182">
        <f t="shared" si="14"/>
        <v>-4</v>
      </c>
      <c r="K180" s="181">
        <f t="shared" si="12"/>
        <v>-40</v>
      </c>
      <c r="L180" s="181"/>
      <c r="M180" s="183">
        <f t="shared" si="13"/>
        <v>0</v>
      </c>
    </row>
    <row r="181" spans="1:13" x14ac:dyDescent="0.25">
      <c r="A181" s="198"/>
      <c r="G181" s="169"/>
      <c r="H181" s="181">
        <v>176</v>
      </c>
      <c r="I181" s="182" t="str">
        <f t="shared" si="11"/>
        <v/>
      </c>
      <c r="J181" s="182">
        <f t="shared" si="14"/>
        <v>-4</v>
      </c>
      <c r="K181" s="181">
        <f t="shared" si="12"/>
        <v>-40</v>
      </c>
      <c r="L181" s="181"/>
      <c r="M181" s="183">
        <f t="shared" si="13"/>
        <v>0</v>
      </c>
    </row>
    <row r="182" spans="1:13" x14ac:dyDescent="0.25">
      <c r="A182" s="198"/>
      <c r="G182" s="169"/>
      <c r="H182" s="181">
        <v>177</v>
      </c>
      <c r="I182" s="182" t="str">
        <f t="shared" si="11"/>
        <v/>
      </c>
      <c r="J182" s="182">
        <f t="shared" si="14"/>
        <v>-4</v>
      </c>
      <c r="K182" s="181">
        <f t="shared" si="12"/>
        <v>-40</v>
      </c>
      <c r="L182" s="181"/>
      <c r="M182" s="183">
        <f t="shared" si="13"/>
        <v>0</v>
      </c>
    </row>
    <row r="183" spans="1:13" x14ac:dyDescent="0.25">
      <c r="A183" s="198"/>
      <c r="G183" s="169"/>
      <c r="H183" s="181">
        <v>178</v>
      </c>
      <c r="I183" s="182" t="str">
        <f t="shared" si="11"/>
        <v/>
      </c>
      <c r="J183" s="182">
        <f t="shared" si="14"/>
        <v>-4</v>
      </c>
      <c r="K183" s="181">
        <f t="shared" si="12"/>
        <v>-40</v>
      </c>
      <c r="L183" s="181"/>
      <c r="M183" s="183">
        <f t="shared" si="13"/>
        <v>0</v>
      </c>
    </row>
    <row r="184" spans="1:13" x14ac:dyDescent="0.25">
      <c r="A184" s="198"/>
      <c r="G184" s="169"/>
      <c r="H184" s="181">
        <v>179</v>
      </c>
      <c r="I184" s="182" t="str">
        <f t="shared" si="11"/>
        <v/>
      </c>
      <c r="J184" s="182">
        <f t="shared" si="14"/>
        <v>-4</v>
      </c>
      <c r="K184" s="181">
        <f t="shared" si="12"/>
        <v>-40</v>
      </c>
      <c r="L184" s="181"/>
      <c r="M184" s="183">
        <f t="shared" si="13"/>
        <v>0</v>
      </c>
    </row>
    <row r="185" spans="1:13" x14ac:dyDescent="0.25">
      <c r="A185" s="198"/>
      <c r="G185" s="169"/>
      <c r="H185" s="181">
        <v>180</v>
      </c>
      <c r="I185" s="182" t="str">
        <f t="shared" si="11"/>
        <v/>
      </c>
      <c r="J185" s="182">
        <f t="shared" si="14"/>
        <v>-4</v>
      </c>
      <c r="K185" s="181">
        <f t="shared" si="12"/>
        <v>-40</v>
      </c>
      <c r="L185" s="181"/>
      <c r="M185" s="183">
        <f t="shared" si="13"/>
        <v>0</v>
      </c>
    </row>
    <row r="186" spans="1:13" x14ac:dyDescent="0.25">
      <c r="A186" s="198"/>
      <c r="G186" s="169"/>
      <c r="H186" s="181">
        <v>181</v>
      </c>
      <c r="I186" s="182" t="str">
        <f t="shared" si="11"/>
        <v/>
      </c>
      <c r="J186" s="182">
        <f t="shared" si="14"/>
        <v>-4</v>
      </c>
      <c r="K186" s="181">
        <f t="shared" si="12"/>
        <v>-40</v>
      </c>
      <c r="L186" s="181"/>
      <c r="M186" s="183">
        <f t="shared" si="13"/>
        <v>0</v>
      </c>
    </row>
    <row r="187" spans="1:13" x14ac:dyDescent="0.25">
      <c r="A187" s="198"/>
      <c r="G187" s="169"/>
      <c r="H187" s="181">
        <v>182</v>
      </c>
      <c r="I187" s="182" t="str">
        <f t="shared" si="11"/>
        <v/>
      </c>
      <c r="J187" s="182">
        <f t="shared" si="14"/>
        <v>-4</v>
      </c>
      <c r="K187" s="181">
        <f t="shared" si="12"/>
        <v>-40</v>
      </c>
      <c r="L187" s="181"/>
      <c r="M187" s="183">
        <f t="shared" si="13"/>
        <v>0</v>
      </c>
    </row>
    <row r="188" spans="1:13" x14ac:dyDescent="0.25">
      <c r="A188" s="198"/>
      <c r="G188" s="169"/>
      <c r="H188" s="181">
        <v>183</v>
      </c>
      <c r="I188" s="182" t="str">
        <f t="shared" si="11"/>
        <v/>
      </c>
      <c r="J188" s="182">
        <f t="shared" si="14"/>
        <v>-4</v>
      </c>
      <c r="K188" s="181">
        <f t="shared" si="12"/>
        <v>-40</v>
      </c>
      <c r="L188" s="181"/>
      <c r="M188" s="183">
        <f t="shared" si="13"/>
        <v>0</v>
      </c>
    </row>
    <row r="189" spans="1:13" x14ac:dyDescent="0.25">
      <c r="A189" s="198"/>
      <c r="G189" s="169"/>
      <c r="H189" s="181">
        <v>184</v>
      </c>
      <c r="I189" s="182" t="str">
        <f t="shared" si="11"/>
        <v/>
      </c>
      <c r="J189" s="182">
        <f t="shared" si="14"/>
        <v>-4</v>
      </c>
      <c r="K189" s="181">
        <f t="shared" si="12"/>
        <v>-40</v>
      </c>
      <c r="L189" s="181"/>
      <c r="M189" s="183">
        <f t="shared" si="13"/>
        <v>0</v>
      </c>
    </row>
    <row r="190" spans="1:13" x14ac:dyDescent="0.25">
      <c r="A190" s="198"/>
      <c r="G190" s="169"/>
      <c r="H190" s="181">
        <v>185</v>
      </c>
      <c r="I190" s="182" t="str">
        <f t="shared" si="11"/>
        <v/>
      </c>
      <c r="J190" s="182">
        <f t="shared" si="14"/>
        <v>-4</v>
      </c>
      <c r="K190" s="181">
        <f t="shared" si="12"/>
        <v>-40</v>
      </c>
      <c r="L190" s="181"/>
      <c r="M190" s="183">
        <f t="shared" si="13"/>
        <v>0</v>
      </c>
    </row>
    <row r="191" spans="1:13" x14ac:dyDescent="0.25">
      <c r="A191" s="198"/>
      <c r="G191" s="169"/>
      <c r="H191" s="181">
        <v>186</v>
      </c>
      <c r="I191" s="182" t="str">
        <f t="shared" si="11"/>
        <v/>
      </c>
      <c r="J191" s="182">
        <f t="shared" si="14"/>
        <v>-4</v>
      </c>
      <c r="K191" s="181">
        <f t="shared" si="12"/>
        <v>-40</v>
      </c>
      <c r="L191" s="181"/>
      <c r="M191" s="183">
        <f t="shared" si="13"/>
        <v>0</v>
      </c>
    </row>
    <row r="192" spans="1:13" x14ac:dyDescent="0.25">
      <c r="A192" s="198"/>
      <c r="G192" s="169"/>
      <c r="H192" s="181">
        <v>187</v>
      </c>
      <c r="I192" s="182" t="str">
        <f t="shared" si="11"/>
        <v/>
      </c>
      <c r="J192" s="182">
        <f t="shared" si="14"/>
        <v>-4</v>
      </c>
      <c r="K192" s="181">
        <f t="shared" si="12"/>
        <v>-40</v>
      </c>
      <c r="L192" s="181"/>
      <c r="M192" s="183">
        <f t="shared" si="13"/>
        <v>0</v>
      </c>
    </row>
    <row r="193" spans="1:13" x14ac:dyDescent="0.25">
      <c r="A193" s="198"/>
      <c r="G193" s="169"/>
      <c r="H193" s="181">
        <v>188</v>
      </c>
      <c r="I193" s="182" t="str">
        <f t="shared" si="11"/>
        <v/>
      </c>
      <c r="J193" s="182">
        <f t="shared" si="14"/>
        <v>-4</v>
      </c>
      <c r="K193" s="181">
        <f t="shared" si="12"/>
        <v>-40</v>
      </c>
      <c r="L193" s="181"/>
      <c r="M193" s="183">
        <f t="shared" si="13"/>
        <v>0</v>
      </c>
    </row>
    <row r="194" spans="1:13" x14ac:dyDescent="0.25">
      <c r="A194" s="198"/>
      <c r="G194" s="169"/>
      <c r="H194" s="181">
        <v>189</v>
      </c>
      <c r="I194" s="182" t="str">
        <f t="shared" si="11"/>
        <v/>
      </c>
      <c r="J194" s="182">
        <f t="shared" si="14"/>
        <v>-4</v>
      </c>
      <c r="K194" s="181">
        <f t="shared" si="12"/>
        <v>-40</v>
      </c>
      <c r="L194" s="181"/>
      <c r="M194" s="183">
        <f t="shared" si="13"/>
        <v>0</v>
      </c>
    </row>
    <row r="195" spans="1:13" x14ac:dyDescent="0.25">
      <c r="A195" s="198"/>
      <c r="G195" s="169"/>
      <c r="H195" s="181">
        <v>190</v>
      </c>
      <c r="I195" s="182" t="str">
        <f t="shared" si="11"/>
        <v/>
      </c>
      <c r="J195" s="182">
        <f t="shared" si="14"/>
        <v>-4</v>
      </c>
      <c r="K195" s="181">
        <f t="shared" si="12"/>
        <v>-40</v>
      </c>
      <c r="L195" s="181"/>
      <c r="M195" s="183">
        <f t="shared" si="13"/>
        <v>0</v>
      </c>
    </row>
    <row r="196" spans="1:13" x14ac:dyDescent="0.25">
      <c r="A196" s="198"/>
      <c r="G196" s="169"/>
      <c r="H196" s="181">
        <v>191</v>
      </c>
      <c r="I196" s="182" t="str">
        <f t="shared" si="11"/>
        <v/>
      </c>
      <c r="J196" s="182">
        <f t="shared" si="14"/>
        <v>-4</v>
      </c>
      <c r="K196" s="181">
        <f t="shared" si="12"/>
        <v>-40</v>
      </c>
      <c r="L196" s="181"/>
      <c r="M196" s="183">
        <f t="shared" si="13"/>
        <v>0</v>
      </c>
    </row>
    <row r="197" spans="1:13" x14ac:dyDescent="0.25">
      <c r="A197" s="198"/>
      <c r="G197" s="169"/>
      <c r="H197" s="181">
        <v>192</v>
      </c>
      <c r="I197" s="182" t="str">
        <f t="shared" si="11"/>
        <v/>
      </c>
      <c r="J197" s="182">
        <f t="shared" si="14"/>
        <v>-4</v>
      </c>
      <c r="K197" s="181">
        <f t="shared" si="12"/>
        <v>-40</v>
      </c>
      <c r="L197" s="181"/>
      <c r="M197" s="183">
        <f t="shared" si="13"/>
        <v>0</v>
      </c>
    </row>
    <row r="198" spans="1:13" x14ac:dyDescent="0.25">
      <c r="A198" s="198"/>
      <c r="G198" s="169"/>
      <c r="H198" s="181">
        <v>193</v>
      </c>
      <c r="I198" s="182" t="str">
        <f t="shared" ref="I198:I261" si="15">IF(H198&lt;$H$2+1,($I$2-($I$2-1)*(LOG(H198)/LOG($H$2))),"")</f>
        <v/>
      </c>
      <c r="J198" s="182">
        <f t="shared" si="14"/>
        <v>-4</v>
      </c>
      <c r="K198" s="181">
        <f t="shared" ref="K198:K261" si="16">J198*$J$2</f>
        <v>-40</v>
      </c>
      <c r="L198" s="181"/>
      <c r="M198" s="183">
        <f t="shared" ref="M198:M261" si="17">IF(I198&lt;&gt;"",K198+I198+L198,0)</f>
        <v>0</v>
      </c>
    </row>
    <row r="199" spans="1:13" x14ac:dyDescent="0.25">
      <c r="A199" s="198"/>
      <c r="G199" s="169"/>
      <c r="H199" s="181">
        <v>194</v>
      </c>
      <c r="I199" s="182" t="str">
        <f t="shared" si="15"/>
        <v/>
      </c>
      <c r="J199" s="182">
        <f t="shared" ref="J199:J262" si="18">INT(LOG($H$2,2))-ROUNDUP(LOG(H199,2),0)+IF(OR($H$2=1,$H$2=2,$H$2=4,$H$2=8,$H$2=16,$H$2=32,$H$2=64,$H$2=128,$H$2=256),0,1)</f>
        <v>-4</v>
      </c>
      <c r="K199" s="181">
        <f t="shared" si="16"/>
        <v>-40</v>
      </c>
      <c r="L199" s="181"/>
      <c r="M199" s="183">
        <f t="shared" si="17"/>
        <v>0</v>
      </c>
    </row>
    <row r="200" spans="1:13" x14ac:dyDescent="0.25">
      <c r="A200" s="198"/>
      <c r="G200" s="169"/>
      <c r="H200" s="181">
        <v>195</v>
      </c>
      <c r="I200" s="182" t="str">
        <f t="shared" si="15"/>
        <v/>
      </c>
      <c r="J200" s="182">
        <f t="shared" si="18"/>
        <v>-4</v>
      </c>
      <c r="K200" s="181">
        <f t="shared" si="16"/>
        <v>-40</v>
      </c>
      <c r="L200" s="181"/>
      <c r="M200" s="183">
        <f t="shared" si="17"/>
        <v>0</v>
      </c>
    </row>
    <row r="201" spans="1:13" x14ac:dyDescent="0.25">
      <c r="A201" s="198"/>
      <c r="G201" s="169"/>
      <c r="H201" s="181">
        <v>196</v>
      </c>
      <c r="I201" s="182" t="str">
        <f t="shared" si="15"/>
        <v/>
      </c>
      <c r="J201" s="182">
        <f t="shared" si="18"/>
        <v>-4</v>
      </c>
      <c r="K201" s="181">
        <f t="shared" si="16"/>
        <v>-40</v>
      </c>
      <c r="L201" s="181"/>
      <c r="M201" s="183">
        <f t="shared" si="17"/>
        <v>0</v>
      </c>
    </row>
    <row r="202" spans="1:13" x14ac:dyDescent="0.25">
      <c r="A202" s="198"/>
      <c r="G202" s="169"/>
      <c r="H202" s="181">
        <v>197</v>
      </c>
      <c r="I202" s="182" t="str">
        <f t="shared" si="15"/>
        <v/>
      </c>
      <c r="J202" s="182">
        <f t="shared" si="18"/>
        <v>-4</v>
      </c>
      <c r="K202" s="181">
        <f t="shared" si="16"/>
        <v>-40</v>
      </c>
      <c r="L202" s="181"/>
      <c r="M202" s="183">
        <f t="shared" si="17"/>
        <v>0</v>
      </c>
    </row>
    <row r="203" spans="1:13" x14ac:dyDescent="0.25">
      <c r="A203" s="198"/>
      <c r="G203" s="169"/>
      <c r="H203" s="181">
        <v>198</v>
      </c>
      <c r="I203" s="182" t="str">
        <f t="shared" si="15"/>
        <v/>
      </c>
      <c r="J203" s="182">
        <f t="shared" si="18"/>
        <v>-4</v>
      </c>
      <c r="K203" s="181">
        <f t="shared" si="16"/>
        <v>-40</v>
      </c>
      <c r="L203" s="181"/>
      <c r="M203" s="183">
        <f t="shared" si="17"/>
        <v>0</v>
      </c>
    </row>
    <row r="204" spans="1:13" x14ac:dyDescent="0.25">
      <c r="A204" s="198"/>
      <c r="G204" s="169"/>
      <c r="H204" s="181">
        <v>199</v>
      </c>
      <c r="I204" s="182" t="str">
        <f t="shared" si="15"/>
        <v/>
      </c>
      <c r="J204" s="182">
        <f t="shared" si="18"/>
        <v>-4</v>
      </c>
      <c r="K204" s="181">
        <f t="shared" si="16"/>
        <v>-40</v>
      </c>
      <c r="L204" s="181"/>
      <c r="M204" s="183">
        <f t="shared" si="17"/>
        <v>0</v>
      </c>
    </row>
    <row r="205" spans="1:13" x14ac:dyDescent="0.25">
      <c r="A205" s="198"/>
      <c r="G205" s="169"/>
      <c r="H205" s="181">
        <v>200</v>
      </c>
      <c r="I205" s="182" t="str">
        <f t="shared" si="15"/>
        <v/>
      </c>
      <c r="J205" s="182">
        <f t="shared" si="18"/>
        <v>-4</v>
      </c>
      <c r="K205" s="181">
        <f t="shared" si="16"/>
        <v>-40</v>
      </c>
      <c r="L205" s="181"/>
      <c r="M205" s="183">
        <f t="shared" si="17"/>
        <v>0</v>
      </c>
    </row>
    <row r="206" spans="1:13" x14ac:dyDescent="0.25">
      <c r="A206" s="198"/>
      <c r="G206" s="169"/>
      <c r="H206" s="181">
        <v>201</v>
      </c>
      <c r="I206" s="182" t="str">
        <f t="shared" si="15"/>
        <v/>
      </c>
      <c r="J206" s="182">
        <f t="shared" si="18"/>
        <v>-4</v>
      </c>
      <c r="K206" s="181">
        <f t="shared" si="16"/>
        <v>-40</v>
      </c>
      <c r="L206" s="181"/>
      <c r="M206" s="183">
        <f t="shared" si="17"/>
        <v>0</v>
      </c>
    </row>
    <row r="207" spans="1:13" x14ac:dyDescent="0.25">
      <c r="A207" s="198"/>
      <c r="G207" s="169"/>
      <c r="H207" s="181">
        <v>202</v>
      </c>
      <c r="I207" s="182" t="str">
        <f t="shared" si="15"/>
        <v/>
      </c>
      <c r="J207" s="182">
        <f t="shared" si="18"/>
        <v>-4</v>
      </c>
      <c r="K207" s="181">
        <f t="shared" si="16"/>
        <v>-40</v>
      </c>
      <c r="L207" s="181"/>
      <c r="M207" s="183">
        <f t="shared" si="17"/>
        <v>0</v>
      </c>
    </row>
    <row r="208" spans="1:13" x14ac:dyDescent="0.25">
      <c r="A208" s="198"/>
      <c r="G208" s="169"/>
      <c r="H208" s="181">
        <v>203</v>
      </c>
      <c r="I208" s="182" t="str">
        <f t="shared" si="15"/>
        <v/>
      </c>
      <c r="J208" s="182">
        <f t="shared" si="18"/>
        <v>-4</v>
      </c>
      <c r="K208" s="181">
        <f t="shared" si="16"/>
        <v>-40</v>
      </c>
      <c r="L208" s="181"/>
      <c r="M208" s="183">
        <f t="shared" si="17"/>
        <v>0</v>
      </c>
    </row>
    <row r="209" spans="1:13" x14ac:dyDescent="0.25">
      <c r="A209" s="198"/>
      <c r="G209" s="169"/>
      <c r="H209" s="181">
        <v>204</v>
      </c>
      <c r="I209" s="182" t="str">
        <f t="shared" si="15"/>
        <v/>
      </c>
      <c r="J209" s="182">
        <f t="shared" si="18"/>
        <v>-4</v>
      </c>
      <c r="K209" s="181">
        <f t="shared" si="16"/>
        <v>-40</v>
      </c>
      <c r="L209" s="181"/>
      <c r="M209" s="183">
        <f t="shared" si="17"/>
        <v>0</v>
      </c>
    </row>
    <row r="210" spans="1:13" x14ac:dyDescent="0.25">
      <c r="A210" s="198"/>
      <c r="G210" s="169"/>
      <c r="H210" s="181">
        <v>205</v>
      </c>
      <c r="I210" s="182" t="str">
        <f t="shared" si="15"/>
        <v/>
      </c>
      <c r="J210" s="182">
        <f t="shared" si="18"/>
        <v>-4</v>
      </c>
      <c r="K210" s="181">
        <f t="shared" si="16"/>
        <v>-40</v>
      </c>
      <c r="L210" s="181"/>
      <c r="M210" s="183">
        <f t="shared" si="17"/>
        <v>0</v>
      </c>
    </row>
    <row r="211" spans="1:13" x14ac:dyDescent="0.25">
      <c r="A211" s="198"/>
      <c r="G211" s="169"/>
      <c r="H211" s="181">
        <v>206</v>
      </c>
      <c r="I211" s="182" t="str">
        <f t="shared" si="15"/>
        <v/>
      </c>
      <c r="J211" s="182">
        <f t="shared" si="18"/>
        <v>-4</v>
      </c>
      <c r="K211" s="181">
        <f t="shared" si="16"/>
        <v>-40</v>
      </c>
      <c r="L211" s="181"/>
      <c r="M211" s="183">
        <f t="shared" si="17"/>
        <v>0</v>
      </c>
    </row>
    <row r="212" spans="1:13" x14ac:dyDescent="0.25">
      <c r="A212" s="198"/>
      <c r="G212" s="169"/>
      <c r="H212" s="181">
        <v>207</v>
      </c>
      <c r="I212" s="182" t="str">
        <f t="shared" si="15"/>
        <v/>
      </c>
      <c r="J212" s="182">
        <f t="shared" si="18"/>
        <v>-4</v>
      </c>
      <c r="K212" s="181">
        <f t="shared" si="16"/>
        <v>-40</v>
      </c>
      <c r="L212" s="181"/>
      <c r="M212" s="183">
        <f t="shared" si="17"/>
        <v>0</v>
      </c>
    </row>
    <row r="213" spans="1:13" x14ac:dyDescent="0.25">
      <c r="A213" s="198"/>
      <c r="G213" s="169"/>
      <c r="H213" s="181">
        <v>208</v>
      </c>
      <c r="I213" s="182" t="str">
        <f t="shared" si="15"/>
        <v/>
      </c>
      <c r="J213" s="182">
        <f t="shared" si="18"/>
        <v>-4</v>
      </c>
      <c r="K213" s="181">
        <f t="shared" si="16"/>
        <v>-40</v>
      </c>
      <c r="L213" s="181"/>
      <c r="M213" s="183">
        <f t="shared" si="17"/>
        <v>0</v>
      </c>
    </row>
    <row r="214" spans="1:13" x14ac:dyDescent="0.25">
      <c r="A214" s="198"/>
      <c r="G214" s="169"/>
      <c r="H214" s="181">
        <v>209</v>
      </c>
      <c r="I214" s="182" t="str">
        <f t="shared" si="15"/>
        <v/>
      </c>
      <c r="J214" s="182">
        <f t="shared" si="18"/>
        <v>-4</v>
      </c>
      <c r="K214" s="181">
        <f t="shared" si="16"/>
        <v>-40</v>
      </c>
      <c r="L214" s="181"/>
      <c r="M214" s="183">
        <f t="shared" si="17"/>
        <v>0</v>
      </c>
    </row>
    <row r="215" spans="1:13" x14ac:dyDescent="0.25">
      <c r="A215" s="198"/>
      <c r="G215" s="169"/>
      <c r="H215" s="181">
        <v>210</v>
      </c>
      <c r="I215" s="182" t="str">
        <f t="shared" si="15"/>
        <v/>
      </c>
      <c r="J215" s="182">
        <f t="shared" si="18"/>
        <v>-4</v>
      </c>
      <c r="K215" s="181">
        <f t="shared" si="16"/>
        <v>-40</v>
      </c>
      <c r="L215" s="181"/>
      <c r="M215" s="183">
        <f t="shared" si="17"/>
        <v>0</v>
      </c>
    </row>
    <row r="216" spans="1:13" x14ac:dyDescent="0.25">
      <c r="A216" s="198"/>
      <c r="G216" s="169"/>
      <c r="H216" s="181">
        <v>211</v>
      </c>
      <c r="I216" s="182" t="str">
        <f t="shared" si="15"/>
        <v/>
      </c>
      <c r="J216" s="182">
        <f t="shared" si="18"/>
        <v>-4</v>
      </c>
      <c r="K216" s="181">
        <f t="shared" si="16"/>
        <v>-40</v>
      </c>
      <c r="L216" s="181"/>
      <c r="M216" s="183">
        <f t="shared" si="17"/>
        <v>0</v>
      </c>
    </row>
    <row r="217" spans="1:13" x14ac:dyDescent="0.25">
      <c r="A217" s="198"/>
      <c r="G217" s="169"/>
      <c r="H217" s="181">
        <v>212</v>
      </c>
      <c r="I217" s="182" t="str">
        <f t="shared" si="15"/>
        <v/>
      </c>
      <c r="J217" s="182">
        <f t="shared" si="18"/>
        <v>-4</v>
      </c>
      <c r="K217" s="181">
        <f t="shared" si="16"/>
        <v>-40</v>
      </c>
      <c r="L217" s="181"/>
      <c r="M217" s="183">
        <f t="shared" si="17"/>
        <v>0</v>
      </c>
    </row>
    <row r="218" spans="1:13" x14ac:dyDescent="0.25">
      <c r="A218" s="198"/>
      <c r="G218" s="169"/>
      <c r="H218" s="181">
        <v>213</v>
      </c>
      <c r="I218" s="182" t="str">
        <f t="shared" si="15"/>
        <v/>
      </c>
      <c r="J218" s="182">
        <f t="shared" si="18"/>
        <v>-4</v>
      </c>
      <c r="K218" s="181">
        <f t="shared" si="16"/>
        <v>-40</v>
      </c>
      <c r="L218" s="181"/>
      <c r="M218" s="183">
        <f t="shared" si="17"/>
        <v>0</v>
      </c>
    </row>
    <row r="219" spans="1:13" x14ac:dyDescent="0.25">
      <c r="A219" s="198"/>
      <c r="G219" s="169"/>
      <c r="H219" s="181">
        <v>214</v>
      </c>
      <c r="I219" s="182" t="str">
        <f t="shared" si="15"/>
        <v/>
      </c>
      <c r="J219" s="182">
        <f t="shared" si="18"/>
        <v>-4</v>
      </c>
      <c r="K219" s="181">
        <f t="shared" si="16"/>
        <v>-40</v>
      </c>
      <c r="L219" s="181"/>
      <c r="M219" s="183">
        <f t="shared" si="17"/>
        <v>0</v>
      </c>
    </row>
    <row r="220" spans="1:13" x14ac:dyDescent="0.25">
      <c r="A220" s="198"/>
      <c r="G220" s="169"/>
      <c r="H220" s="181">
        <v>215</v>
      </c>
      <c r="I220" s="182" t="str">
        <f t="shared" si="15"/>
        <v/>
      </c>
      <c r="J220" s="182">
        <f t="shared" si="18"/>
        <v>-4</v>
      </c>
      <c r="K220" s="181">
        <f t="shared" si="16"/>
        <v>-40</v>
      </c>
      <c r="L220" s="181"/>
      <c r="M220" s="183">
        <f t="shared" si="17"/>
        <v>0</v>
      </c>
    </row>
    <row r="221" spans="1:13" x14ac:dyDescent="0.25">
      <c r="A221" s="198"/>
      <c r="G221" s="169"/>
      <c r="H221" s="181">
        <v>216</v>
      </c>
      <c r="I221" s="182" t="str">
        <f t="shared" si="15"/>
        <v/>
      </c>
      <c r="J221" s="182">
        <f t="shared" si="18"/>
        <v>-4</v>
      </c>
      <c r="K221" s="181">
        <f t="shared" si="16"/>
        <v>-40</v>
      </c>
      <c r="L221" s="181"/>
      <c r="M221" s="183">
        <f t="shared" si="17"/>
        <v>0</v>
      </c>
    </row>
    <row r="222" spans="1:13" x14ac:dyDescent="0.25">
      <c r="A222" s="198"/>
      <c r="G222" s="169"/>
      <c r="H222" s="181">
        <v>217</v>
      </c>
      <c r="I222" s="182" t="str">
        <f t="shared" si="15"/>
        <v/>
      </c>
      <c r="J222" s="182">
        <f t="shared" si="18"/>
        <v>-4</v>
      </c>
      <c r="K222" s="181">
        <f t="shared" si="16"/>
        <v>-40</v>
      </c>
      <c r="L222" s="181"/>
      <c r="M222" s="183">
        <f t="shared" si="17"/>
        <v>0</v>
      </c>
    </row>
    <row r="223" spans="1:13" x14ac:dyDescent="0.25">
      <c r="A223" s="198"/>
      <c r="G223" s="169"/>
      <c r="H223" s="181">
        <v>218</v>
      </c>
      <c r="I223" s="182" t="str">
        <f t="shared" si="15"/>
        <v/>
      </c>
      <c r="J223" s="182">
        <f t="shared" si="18"/>
        <v>-4</v>
      </c>
      <c r="K223" s="181">
        <f t="shared" si="16"/>
        <v>-40</v>
      </c>
      <c r="L223" s="181"/>
      <c r="M223" s="183">
        <f t="shared" si="17"/>
        <v>0</v>
      </c>
    </row>
    <row r="224" spans="1:13" x14ac:dyDescent="0.25">
      <c r="A224" s="198"/>
      <c r="G224" s="169"/>
      <c r="H224" s="181">
        <v>219</v>
      </c>
      <c r="I224" s="182" t="str">
        <f t="shared" si="15"/>
        <v/>
      </c>
      <c r="J224" s="182">
        <f t="shared" si="18"/>
        <v>-4</v>
      </c>
      <c r="K224" s="181">
        <f t="shared" si="16"/>
        <v>-40</v>
      </c>
      <c r="L224" s="181"/>
      <c r="M224" s="183">
        <f t="shared" si="17"/>
        <v>0</v>
      </c>
    </row>
    <row r="225" spans="1:13" x14ac:dyDescent="0.25">
      <c r="A225" s="198"/>
      <c r="G225" s="169"/>
      <c r="H225" s="181">
        <v>220</v>
      </c>
      <c r="I225" s="182" t="str">
        <f t="shared" si="15"/>
        <v/>
      </c>
      <c r="J225" s="182">
        <f t="shared" si="18"/>
        <v>-4</v>
      </c>
      <c r="K225" s="181">
        <f t="shared" si="16"/>
        <v>-40</v>
      </c>
      <c r="L225" s="181"/>
      <c r="M225" s="183">
        <f t="shared" si="17"/>
        <v>0</v>
      </c>
    </row>
    <row r="226" spans="1:13" x14ac:dyDescent="0.25">
      <c r="A226" s="198"/>
      <c r="G226" s="169"/>
      <c r="H226" s="181">
        <v>221</v>
      </c>
      <c r="I226" s="182" t="str">
        <f t="shared" si="15"/>
        <v/>
      </c>
      <c r="J226" s="182">
        <f t="shared" si="18"/>
        <v>-4</v>
      </c>
      <c r="K226" s="181">
        <f t="shared" si="16"/>
        <v>-40</v>
      </c>
      <c r="L226" s="181"/>
      <c r="M226" s="183">
        <f t="shared" si="17"/>
        <v>0</v>
      </c>
    </row>
    <row r="227" spans="1:13" x14ac:dyDescent="0.25">
      <c r="A227" s="198"/>
      <c r="G227" s="169"/>
      <c r="H227" s="181">
        <v>222</v>
      </c>
      <c r="I227" s="182" t="str">
        <f t="shared" si="15"/>
        <v/>
      </c>
      <c r="J227" s="182">
        <f t="shared" si="18"/>
        <v>-4</v>
      </c>
      <c r="K227" s="181">
        <f t="shared" si="16"/>
        <v>-40</v>
      </c>
      <c r="L227" s="181"/>
      <c r="M227" s="183">
        <f t="shared" si="17"/>
        <v>0</v>
      </c>
    </row>
    <row r="228" spans="1:13" x14ac:dyDescent="0.25">
      <c r="A228" s="198"/>
      <c r="G228" s="169"/>
      <c r="H228" s="181">
        <v>223</v>
      </c>
      <c r="I228" s="182" t="str">
        <f t="shared" si="15"/>
        <v/>
      </c>
      <c r="J228" s="182">
        <f t="shared" si="18"/>
        <v>-4</v>
      </c>
      <c r="K228" s="181">
        <f t="shared" si="16"/>
        <v>-40</v>
      </c>
      <c r="L228" s="181"/>
      <c r="M228" s="183">
        <f t="shared" si="17"/>
        <v>0</v>
      </c>
    </row>
    <row r="229" spans="1:13" x14ac:dyDescent="0.25">
      <c r="A229" s="198"/>
      <c r="G229" s="169"/>
      <c r="H229" s="181">
        <v>224</v>
      </c>
      <c r="I229" s="182" t="str">
        <f t="shared" si="15"/>
        <v/>
      </c>
      <c r="J229" s="182">
        <f t="shared" si="18"/>
        <v>-4</v>
      </c>
      <c r="K229" s="181">
        <f t="shared" si="16"/>
        <v>-40</v>
      </c>
      <c r="L229" s="181"/>
      <c r="M229" s="183">
        <f t="shared" si="17"/>
        <v>0</v>
      </c>
    </row>
    <row r="230" spans="1:13" x14ac:dyDescent="0.25">
      <c r="A230" s="198"/>
      <c r="G230" s="169"/>
      <c r="H230" s="181">
        <v>225</v>
      </c>
      <c r="I230" s="182" t="str">
        <f t="shared" si="15"/>
        <v/>
      </c>
      <c r="J230" s="182">
        <f t="shared" si="18"/>
        <v>-4</v>
      </c>
      <c r="K230" s="181">
        <f t="shared" si="16"/>
        <v>-40</v>
      </c>
      <c r="L230" s="181"/>
      <c r="M230" s="183">
        <f t="shared" si="17"/>
        <v>0</v>
      </c>
    </row>
    <row r="231" spans="1:13" x14ac:dyDescent="0.25">
      <c r="A231" s="198"/>
      <c r="G231" s="169"/>
      <c r="H231" s="181">
        <v>226</v>
      </c>
      <c r="I231" s="182" t="str">
        <f t="shared" si="15"/>
        <v/>
      </c>
      <c r="J231" s="182">
        <f t="shared" si="18"/>
        <v>-4</v>
      </c>
      <c r="K231" s="181">
        <f t="shared" si="16"/>
        <v>-40</v>
      </c>
      <c r="L231" s="181"/>
      <c r="M231" s="183">
        <f t="shared" si="17"/>
        <v>0</v>
      </c>
    </row>
    <row r="232" spans="1:13" x14ac:dyDescent="0.25">
      <c r="A232" s="198"/>
      <c r="G232" s="169"/>
      <c r="H232" s="181">
        <v>227</v>
      </c>
      <c r="I232" s="182" t="str">
        <f t="shared" si="15"/>
        <v/>
      </c>
      <c r="J232" s="182">
        <f t="shared" si="18"/>
        <v>-4</v>
      </c>
      <c r="K232" s="181">
        <f t="shared" si="16"/>
        <v>-40</v>
      </c>
      <c r="L232" s="181"/>
      <c r="M232" s="183">
        <f t="shared" si="17"/>
        <v>0</v>
      </c>
    </row>
    <row r="233" spans="1:13" x14ac:dyDescent="0.25">
      <c r="A233" s="198"/>
      <c r="G233" s="169"/>
      <c r="H233" s="181">
        <v>228</v>
      </c>
      <c r="I233" s="182" t="str">
        <f t="shared" si="15"/>
        <v/>
      </c>
      <c r="J233" s="182">
        <f t="shared" si="18"/>
        <v>-4</v>
      </c>
      <c r="K233" s="181">
        <f t="shared" si="16"/>
        <v>-40</v>
      </c>
      <c r="L233" s="181"/>
      <c r="M233" s="183">
        <f t="shared" si="17"/>
        <v>0</v>
      </c>
    </row>
    <row r="234" spans="1:13" x14ac:dyDescent="0.25">
      <c r="A234" s="198"/>
      <c r="G234" s="169"/>
      <c r="H234" s="181">
        <v>229</v>
      </c>
      <c r="I234" s="182" t="str">
        <f t="shared" si="15"/>
        <v/>
      </c>
      <c r="J234" s="182">
        <f t="shared" si="18"/>
        <v>-4</v>
      </c>
      <c r="K234" s="181">
        <f t="shared" si="16"/>
        <v>-40</v>
      </c>
      <c r="L234" s="181"/>
      <c r="M234" s="183">
        <f t="shared" si="17"/>
        <v>0</v>
      </c>
    </row>
    <row r="235" spans="1:13" x14ac:dyDescent="0.25">
      <c r="A235" s="198"/>
      <c r="G235" s="169"/>
      <c r="H235" s="181">
        <v>230</v>
      </c>
      <c r="I235" s="182" t="str">
        <f t="shared" si="15"/>
        <v/>
      </c>
      <c r="J235" s="182">
        <f t="shared" si="18"/>
        <v>-4</v>
      </c>
      <c r="K235" s="181">
        <f t="shared" si="16"/>
        <v>-40</v>
      </c>
      <c r="L235" s="181"/>
      <c r="M235" s="183">
        <f t="shared" si="17"/>
        <v>0</v>
      </c>
    </row>
    <row r="236" spans="1:13" x14ac:dyDescent="0.25">
      <c r="A236" s="198"/>
      <c r="G236" s="169"/>
      <c r="H236" s="181">
        <v>231</v>
      </c>
      <c r="I236" s="182" t="str">
        <f t="shared" si="15"/>
        <v/>
      </c>
      <c r="J236" s="182">
        <f t="shared" si="18"/>
        <v>-4</v>
      </c>
      <c r="K236" s="181">
        <f t="shared" si="16"/>
        <v>-40</v>
      </c>
      <c r="L236" s="181"/>
      <c r="M236" s="183">
        <f t="shared" si="17"/>
        <v>0</v>
      </c>
    </row>
    <row r="237" spans="1:13" x14ac:dyDescent="0.25">
      <c r="A237" s="198"/>
      <c r="G237" s="169"/>
      <c r="H237" s="181">
        <v>232</v>
      </c>
      <c r="I237" s="182" t="str">
        <f t="shared" si="15"/>
        <v/>
      </c>
      <c r="J237" s="182">
        <f t="shared" si="18"/>
        <v>-4</v>
      </c>
      <c r="K237" s="181">
        <f t="shared" si="16"/>
        <v>-40</v>
      </c>
      <c r="L237" s="181"/>
      <c r="M237" s="183">
        <f t="shared" si="17"/>
        <v>0</v>
      </c>
    </row>
    <row r="238" spans="1:13" x14ac:dyDescent="0.25">
      <c r="A238" s="198"/>
      <c r="G238" s="169"/>
      <c r="H238" s="181">
        <v>233</v>
      </c>
      <c r="I238" s="182" t="str">
        <f t="shared" si="15"/>
        <v/>
      </c>
      <c r="J238" s="182">
        <f t="shared" si="18"/>
        <v>-4</v>
      </c>
      <c r="K238" s="181">
        <f t="shared" si="16"/>
        <v>-40</v>
      </c>
      <c r="L238" s="181"/>
      <c r="M238" s="183">
        <f t="shared" si="17"/>
        <v>0</v>
      </c>
    </row>
    <row r="239" spans="1:13" x14ac:dyDescent="0.25">
      <c r="A239" s="198"/>
      <c r="G239" s="169"/>
      <c r="H239" s="181">
        <v>234</v>
      </c>
      <c r="I239" s="182" t="str">
        <f t="shared" si="15"/>
        <v/>
      </c>
      <c r="J239" s="182">
        <f t="shared" si="18"/>
        <v>-4</v>
      </c>
      <c r="K239" s="181">
        <f t="shared" si="16"/>
        <v>-40</v>
      </c>
      <c r="L239" s="181"/>
      <c r="M239" s="183">
        <f t="shared" si="17"/>
        <v>0</v>
      </c>
    </row>
    <row r="240" spans="1:13" x14ac:dyDescent="0.25">
      <c r="A240" s="198"/>
      <c r="G240" s="169"/>
      <c r="H240" s="181">
        <v>235</v>
      </c>
      <c r="I240" s="182" t="str">
        <f t="shared" si="15"/>
        <v/>
      </c>
      <c r="J240" s="182">
        <f t="shared" si="18"/>
        <v>-4</v>
      </c>
      <c r="K240" s="181">
        <f t="shared" si="16"/>
        <v>-40</v>
      </c>
      <c r="L240" s="181"/>
      <c r="M240" s="183">
        <f t="shared" si="17"/>
        <v>0</v>
      </c>
    </row>
    <row r="241" spans="1:13" x14ac:dyDescent="0.25">
      <c r="A241" s="198"/>
      <c r="G241" s="169"/>
      <c r="H241" s="181">
        <v>236</v>
      </c>
      <c r="I241" s="182" t="str">
        <f t="shared" si="15"/>
        <v/>
      </c>
      <c r="J241" s="182">
        <f t="shared" si="18"/>
        <v>-4</v>
      </c>
      <c r="K241" s="181">
        <f t="shared" si="16"/>
        <v>-40</v>
      </c>
      <c r="L241" s="181"/>
      <c r="M241" s="183">
        <f t="shared" si="17"/>
        <v>0</v>
      </c>
    </row>
    <row r="242" spans="1:13" x14ac:dyDescent="0.25">
      <c r="A242" s="198"/>
      <c r="G242" s="169"/>
      <c r="H242" s="181">
        <v>237</v>
      </c>
      <c r="I242" s="182" t="str">
        <f t="shared" si="15"/>
        <v/>
      </c>
      <c r="J242" s="182">
        <f t="shared" si="18"/>
        <v>-4</v>
      </c>
      <c r="K242" s="181">
        <f t="shared" si="16"/>
        <v>-40</v>
      </c>
      <c r="L242" s="181"/>
      <c r="M242" s="183">
        <f t="shared" si="17"/>
        <v>0</v>
      </c>
    </row>
    <row r="243" spans="1:13" x14ac:dyDescent="0.25">
      <c r="A243" s="198"/>
      <c r="G243" s="169"/>
      <c r="H243" s="181">
        <v>238</v>
      </c>
      <c r="I243" s="182" t="str">
        <f t="shared" si="15"/>
        <v/>
      </c>
      <c r="J243" s="182">
        <f t="shared" si="18"/>
        <v>-4</v>
      </c>
      <c r="K243" s="181">
        <f t="shared" si="16"/>
        <v>-40</v>
      </c>
      <c r="L243" s="181"/>
      <c r="M243" s="183">
        <f t="shared" si="17"/>
        <v>0</v>
      </c>
    </row>
    <row r="244" spans="1:13" x14ac:dyDescent="0.25">
      <c r="A244" s="198"/>
      <c r="G244" s="169"/>
      <c r="H244" s="181">
        <v>239</v>
      </c>
      <c r="I244" s="182" t="str">
        <f t="shared" si="15"/>
        <v/>
      </c>
      <c r="J244" s="182">
        <f t="shared" si="18"/>
        <v>-4</v>
      </c>
      <c r="K244" s="181">
        <f t="shared" si="16"/>
        <v>-40</v>
      </c>
      <c r="L244" s="181"/>
      <c r="M244" s="183">
        <f t="shared" si="17"/>
        <v>0</v>
      </c>
    </row>
    <row r="245" spans="1:13" x14ac:dyDescent="0.25">
      <c r="A245" s="198"/>
      <c r="G245" s="169"/>
      <c r="H245" s="181">
        <v>240</v>
      </c>
      <c r="I245" s="182" t="str">
        <f t="shared" si="15"/>
        <v/>
      </c>
      <c r="J245" s="182">
        <f t="shared" si="18"/>
        <v>-4</v>
      </c>
      <c r="K245" s="181">
        <f t="shared" si="16"/>
        <v>-40</v>
      </c>
      <c r="L245" s="181"/>
      <c r="M245" s="183">
        <f t="shared" si="17"/>
        <v>0</v>
      </c>
    </row>
    <row r="246" spans="1:13" x14ac:dyDescent="0.25">
      <c r="A246" s="198"/>
      <c r="G246" s="169"/>
      <c r="H246" s="181">
        <v>241</v>
      </c>
      <c r="I246" s="182" t="str">
        <f t="shared" si="15"/>
        <v/>
      </c>
      <c r="J246" s="182">
        <f t="shared" si="18"/>
        <v>-4</v>
      </c>
      <c r="K246" s="181">
        <f t="shared" si="16"/>
        <v>-40</v>
      </c>
      <c r="L246" s="181"/>
      <c r="M246" s="183">
        <f t="shared" si="17"/>
        <v>0</v>
      </c>
    </row>
    <row r="247" spans="1:13" x14ac:dyDescent="0.25">
      <c r="A247" s="198"/>
      <c r="G247" s="169"/>
      <c r="H247" s="181">
        <v>242</v>
      </c>
      <c r="I247" s="182" t="str">
        <f t="shared" si="15"/>
        <v/>
      </c>
      <c r="J247" s="182">
        <f t="shared" si="18"/>
        <v>-4</v>
      </c>
      <c r="K247" s="181">
        <f t="shared" si="16"/>
        <v>-40</v>
      </c>
      <c r="L247" s="181"/>
      <c r="M247" s="183">
        <f t="shared" si="17"/>
        <v>0</v>
      </c>
    </row>
    <row r="248" spans="1:13" x14ac:dyDescent="0.25">
      <c r="A248" s="198"/>
      <c r="G248" s="169"/>
      <c r="H248" s="181">
        <v>243</v>
      </c>
      <c r="I248" s="182" t="str">
        <f t="shared" si="15"/>
        <v/>
      </c>
      <c r="J248" s="182">
        <f t="shared" si="18"/>
        <v>-4</v>
      </c>
      <c r="K248" s="181">
        <f t="shared" si="16"/>
        <v>-40</v>
      </c>
      <c r="L248" s="181"/>
      <c r="M248" s="183">
        <f t="shared" si="17"/>
        <v>0</v>
      </c>
    </row>
    <row r="249" spans="1:13" x14ac:dyDescent="0.25">
      <c r="A249" s="198"/>
      <c r="G249" s="169"/>
      <c r="H249" s="181">
        <v>244</v>
      </c>
      <c r="I249" s="182" t="str">
        <f t="shared" si="15"/>
        <v/>
      </c>
      <c r="J249" s="182">
        <f t="shared" si="18"/>
        <v>-4</v>
      </c>
      <c r="K249" s="181">
        <f t="shared" si="16"/>
        <v>-40</v>
      </c>
      <c r="L249" s="181"/>
      <c r="M249" s="183">
        <f t="shared" si="17"/>
        <v>0</v>
      </c>
    </row>
    <row r="250" spans="1:13" x14ac:dyDescent="0.25">
      <c r="A250" s="198"/>
      <c r="G250" s="169"/>
      <c r="H250" s="181">
        <v>245</v>
      </c>
      <c r="I250" s="182" t="str">
        <f t="shared" si="15"/>
        <v/>
      </c>
      <c r="J250" s="182">
        <f t="shared" si="18"/>
        <v>-4</v>
      </c>
      <c r="K250" s="181">
        <f t="shared" si="16"/>
        <v>-40</v>
      </c>
      <c r="L250" s="181"/>
      <c r="M250" s="183">
        <f t="shared" si="17"/>
        <v>0</v>
      </c>
    </row>
    <row r="251" spans="1:13" x14ac:dyDescent="0.25">
      <c r="A251" s="198"/>
      <c r="G251" s="169"/>
      <c r="H251" s="181">
        <v>246</v>
      </c>
      <c r="I251" s="182" t="str">
        <f t="shared" si="15"/>
        <v/>
      </c>
      <c r="J251" s="182">
        <f t="shared" si="18"/>
        <v>-4</v>
      </c>
      <c r="K251" s="181">
        <f t="shared" si="16"/>
        <v>-40</v>
      </c>
      <c r="L251" s="181"/>
      <c r="M251" s="183">
        <f t="shared" si="17"/>
        <v>0</v>
      </c>
    </row>
    <row r="252" spans="1:13" x14ac:dyDescent="0.25">
      <c r="A252" s="198"/>
      <c r="G252" s="169"/>
      <c r="H252" s="181">
        <v>247</v>
      </c>
      <c r="I252" s="182" t="str">
        <f t="shared" si="15"/>
        <v/>
      </c>
      <c r="J252" s="182">
        <f t="shared" si="18"/>
        <v>-4</v>
      </c>
      <c r="K252" s="181">
        <f t="shared" si="16"/>
        <v>-40</v>
      </c>
      <c r="L252" s="181"/>
      <c r="M252" s="183">
        <f t="shared" si="17"/>
        <v>0</v>
      </c>
    </row>
    <row r="253" spans="1:13" x14ac:dyDescent="0.25">
      <c r="A253" s="198"/>
      <c r="G253" s="169"/>
      <c r="H253" s="181">
        <v>248</v>
      </c>
      <c r="I253" s="182" t="str">
        <f t="shared" si="15"/>
        <v/>
      </c>
      <c r="J253" s="182">
        <f t="shared" si="18"/>
        <v>-4</v>
      </c>
      <c r="K253" s="181">
        <f t="shared" si="16"/>
        <v>-40</v>
      </c>
      <c r="L253" s="181"/>
      <c r="M253" s="183">
        <f t="shared" si="17"/>
        <v>0</v>
      </c>
    </row>
    <row r="254" spans="1:13" x14ac:dyDescent="0.25">
      <c r="A254" s="198"/>
      <c r="G254" s="169"/>
      <c r="H254" s="181">
        <v>249</v>
      </c>
      <c r="I254" s="182" t="str">
        <f t="shared" si="15"/>
        <v/>
      </c>
      <c r="J254" s="182">
        <f t="shared" si="18"/>
        <v>-4</v>
      </c>
      <c r="K254" s="181">
        <f t="shared" si="16"/>
        <v>-40</v>
      </c>
      <c r="L254" s="181"/>
      <c r="M254" s="183">
        <f t="shared" si="17"/>
        <v>0</v>
      </c>
    </row>
    <row r="255" spans="1:13" x14ac:dyDescent="0.25">
      <c r="A255" s="198"/>
      <c r="G255" s="169"/>
      <c r="H255" s="181">
        <v>250</v>
      </c>
      <c r="I255" s="182" t="str">
        <f t="shared" si="15"/>
        <v/>
      </c>
      <c r="J255" s="182">
        <f t="shared" si="18"/>
        <v>-4</v>
      </c>
      <c r="K255" s="181">
        <f t="shared" si="16"/>
        <v>-40</v>
      </c>
      <c r="L255" s="181"/>
      <c r="M255" s="183">
        <f t="shared" si="17"/>
        <v>0</v>
      </c>
    </row>
    <row r="256" spans="1:13" x14ac:dyDescent="0.25">
      <c r="A256" s="198"/>
      <c r="G256" s="169"/>
      <c r="H256" s="181">
        <v>251</v>
      </c>
      <c r="I256" s="182" t="str">
        <f t="shared" si="15"/>
        <v/>
      </c>
      <c r="J256" s="182">
        <f t="shared" si="18"/>
        <v>-4</v>
      </c>
      <c r="K256" s="181">
        <f t="shared" si="16"/>
        <v>-40</v>
      </c>
      <c r="L256" s="181"/>
      <c r="M256" s="183">
        <f t="shared" si="17"/>
        <v>0</v>
      </c>
    </row>
    <row r="257" spans="1:13" x14ac:dyDescent="0.25">
      <c r="A257" s="198"/>
      <c r="G257" s="169"/>
      <c r="H257" s="181">
        <v>252</v>
      </c>
      <c r="I257" s="182" t="str">
        <f t="shared" si="15"/>
        <v/>
      </c>
      <c r="J257" s="182">
        <f t="shared" si="18"/>
        <v>-4</v>
      </c>
      <c r="K257" s="181">
        <f t="shared" si="16"/>
        <v>-40</v>
      </c>
      <c r="L257" s="181"/>
      <c r="M257" s="183">
        <f t="shared" si="17"/>
        <v>0</v>
      </c>
    </row>
    <row r="258" spans="1:13" x14ac:dyDescent="0.25">
      <c r="A258" s="198"/>
      <c r="G258" s="169"/>
      <c r="H258" s="181">
        <v>253</v>
      </c>
      <c r="I258" s="182" t="str">
        <f t="shared" si="15"/>
        <v/>
      </c>
      <c r="J258" s="182">
        <f t="shared" si="18"/>
        <v>-4</v>
      </c>
      <c r="K258" s="181">
        <f t="shared" si="16"/>
        <v>-40</v>
      </c>
      <c r="L258" s="181"/>
      <c r="M258" s="183">
        <f t="shared" si="17"/>
        <v>0</v>
      </c>
    </row>
    <row r="259" spans="1:13" x14ac:dyDescent="0.25">
      <c r="A259" s="198"/>
      <c r="G259" s="169"/>
      <c r="H259" s="181">
        <v>254</v>
      </c>
      <c r="I259" s="182" t="str">
        <f t="shared" si="15"/>
        <v/>
      </c>
      <c r="J259" s="182">
        <f t="shared" si="18"/>
        <v>-4</v>
      </c>
      <c r="K259" s="181">
        <f t="shared" si="16"/>
        <v>-40</v>
      </c>
      <c r="L259" s="181"/>
      <c r="M259" s="183">
        <f t="shared" si="17"/>
        <v>0</v>
      </c>
    </row>
    <row r="260" spans="1:13" x14ac:dyDescent="0.25">
      <c r="A260" s="198"/>
      <c r="G260" s="169"/>
      <c r="H260" s="181">
        <v>255</v>
      </c>
      <c r="I260" s="182" t="str">
        <f t="shared" si="15"/>
        <v/>
      </c>
      <c r="J260" s="182">
        <f t="shared" si="18"/>
        <v>-4</v>
      </c>
      <c r="K260" s="181">
        <f t="shared" si="16"/>
        <v>-40</v>
      </c>
      <c r="L260" s="181"/>
      <c r="M260" s="183">
        <f t="shared" si="17"/>
        <v>0</v>
      </c>
    </row>
    <row r="261" spans="1:13" x14ac:dyDescent="0.25">
      <c r="A261" s="198"/>
      <c r="G261" s="169"/>
      <c r="H261" s="181">
        <v>256</v>
      </c>
      <c r="I261" s="182" t="str">
        <f t="shared" si="15"/>
        <v/>
      </c>
      <c r="J261" s="182">
        <f t="shared" si="18"/>
        <v>-4</v>
      </c>
      <c r="K261" s="181">
        <f t="shared" si="16"/>
        <v>-40</v>
      </c>
      <c r="L261" s="181"/>
      <c r="M261" s="183">
        <f t="shared" si="17"/>
        <v>0</v>
      </c>
    </row>
    <row r="262" spans="1:13" x14ac:dyDescent="0.25">
      <c r="A262" s="198"/>
      <c r="G262" s="169"/>
      <c r="H262" s="181">
        <v>257</v>
      </c>
      <c r="I262" s="182" t="str">
        <f t="shared" ref="I262:I305" si="19">IF(H262&lt;$H$2+1,($I$2-($I$2-1)*(LOG(H262)/LOG($H$2))),"")</f>
        <v/>
      </c>
      <c r="J262" s="182">
        <f t="shared" si="18"/>
        <v>-5</v>
      </c>
      <c r="K262" s="181">
        <f t="shared" ref="K262:K305" si="20">J262*$J$2</f>
        <v>-50</v>
      </c>
      <c r="L262" s="181"/>
      <c r="M262" s="183">
        <f t="shared" ref="M262:M305" si="21">IF(I262&lt;&gt;"",K262+I262+L262,0)</f>
        <v>0</v>
      </c>
    </row>
    <row r="263" spans="1:13" x14ac:dyDescent="0.25">
      <c r="A263" s="198"/>
      <c r="G263" s="169"/>
      <c r="H263" s="181">
        <v>258</v>
      </c>
      <c r="I263" s="182" t="str">
        <f t="shared" si="19"/>
        <v/>
      </c>
      <c r="J263" s="182">
        <f t="shared" ref="J263:J305" si="22">INT(LOG($H$2,2))-ROUNDUP(LOG(H263,2),0)+IF(OR($H$2=1,$H$2=2,$H$2=4,$H$2=8,$H$2=16,$H$2=32,$H$2=64,$H$2=128,$H$2=256),0,1)</f>
        <v>-5</v>
      </c>
      <c r="K263" s="181">
        <f t="shared" si="20"/>
        <v>-50</v>
      </c>
      <c r="L263" s="181"/>
      <c r="M263" s="183">
        <f t="shared" si="21"/>
        <v>0</v>
      </c>
    </row>
    <row r="264" spans="1:13" x14ac:dyDescent="0.25">
      <c r="A264" s="198"/>
      <c r="G264" s="169"/>
      <c r="H264" s="181">
        <v>259</v>
      </c>
      <c r="I264" s="182" t="str">
        <f t="shared" si="19"/>
        <v/>
      </c>
      <c r="J264" s="182">
        <f t="shared" si="22"/>
        <v>-5</v>
      </c>
      <c r="K264" s="181">
        <f t="shared" si="20"/>
        <v>-50</v>
      </c>
      <c r="L264" s="181"/>
      <c r="M264" s="183">
        <f t="shared" si="21"/>
        <v>0</v>
      </c>
    </row>
    <row r="265" spans="1:13" x14ac:dyDescent="0.25">
      <c r="A265" s="198"/>
      <c r="G265" s="169"/>
      <c r="H265" s="181">
        <v>260</v>
      </c>
      <c r="I265" s="182" t="str">
        <f t="shared" si="19"/>
        <v/>
      </c>
      <c r="J265" s="182">
        <f t="shared" si="22"/>
        <v>-5</v>
      </c>
      <c r="K265" s="181">
        <f t="shared" si="20"/>
        <v>-50</v>
      </c>
      <c r="L265" s="181"/>
      <c r="M265" s="183">
        <f t="shared" si="21"/>
        <v>0</v>
      </c>
    </row>
    <row r="266" spans="1:13" x14ac:dyDescent="0.25">
      <c r="A266" s="198"/>
      <c r="G266" s="169"/>
      <c r="H266" s="181">
        <v>261</v>
      </c>
      <c r="I266" s="182" t="str">
        <f t="shared" si="19"/>
        <v/>
      </c>
      <c r="J266" s="182">
        <f t="shared" si="22"/>
        <v>-5</v>
      </c>
      <c r="K266" s="181">
        <f t="shared" si="20"/>
        <v>-50</v>
      </c>
      <c r="L266" s="181"/>
      <c r="M266" s="183">
        <f t="shared" si="21"/>
        <v>0</v>
      </c>
    </row>
    <row r="267" spans="1:13" x14ac:dyDescent="0.25">
      <c r="A267" s="198"/>
      <c r="G267" s="169"/>
      <c r="H267" s="181">
        <v>262</v>
      </c>
      <c r="I267" s="182" t="str">
        <f t="shared" si="19"/>
        <v/>
      </c>
      <c r="J267" s="182">
        <f t="shared" si="22"/>
        <v>-5</v>
      </c>
      <c r="K267" s="181">
        <f t="shared" si="20"/>
        <v>-50</v>
      </c>
      <c r="L267" s="181"/>
      <c r="M267" s="183">
        <f t="shared" si="21"/>
        <v>0</v>
      </c>
    </row>
    <row r="268" spans="1:13" x14ac:dyDescent="0.25">
      <c r="A268" s="198"/>
      <c r="G268" s="169"/>
      <c r="H268" s="181">
        <v>263</v>
      </c>
      <c r="I268" s="182" t="str">
        <f t="shared" si="19"/>
        <v/>
      </c>
      <c r="J268" s="182">
        <f t="shared" si="22"/>
        <v>-5</v>
      </c>
      <c r="K268" s="181">
        <f t="shared" si="20"/>
        <v>-50</v>
      </c>
      <c r="L268" s="181"/>
      <c r="M268" s="183">
        <f t="shared" si="21"/>
        <v>0</v>
      </c>
    </row>
    <row r="269" spans="1:13" x14ac:dyDescent="0.25">
      <c r="A269" s="198"/>
      <c r="G269" s="169"/>
      <c r="H269" s="181">
        <v>264</v>
      </c>
      <c r="I269" s="182" t="str">
        <f t="shared" si="19"/>
        <v/>
      </c>
      <c r="J269" s="182">
        <f t="shared" si="22"/>
        <v>-5</v>
      </c>
      <c r="K269" s="181">
        <f t="shared" si="20"/>
        <v>-50</v>
      </c>
      <c r="L269" s="181"/>
      <c r="M269" s="183">
        <f t="shared" si="21"/>
        <v>0</v>
      </c>
    </row>
    <row r="270" spans="1:13" x14ac:dyDescent="0.25">
      <c r="A270" s="198"/>
      <c r="G270" s="169"/>
      <c r="H270" s="181">
        <v>265</v>
      </c>
      <c r="I270" s="182" t="str">
        <f t="shared" si="19"/>
        <v/>
      </c>
      <c r="J270" s="182">
        <f t="shared" si="22"/>
        <v>-5</v>
      </c>
      <c r="K270" s="181">
        <f t="shared" si="20"/>
        <v>-50</v>
      </c>
      <c r="L270" s="181"/>
      <c r="M270" s="183">
        <f t="shared" si="21"/>
        <v>0</v>
      </c>
    </row>
    <row r="271" spans="1:13" x14ac:dyDescent="0.25">
      <c r="A271" s="198"/>
      <c r="G271" s="169"/>
      <c r="H271" s="181">
        <v>266</v>
      </c>
      <c r="I271" s="182" t="str">
        <f t="shared" si="19"/>
        <v/>
      </c>
      <c r="J271" s="182">
        <f t="shared" si="22"/>
        <v>-5</v>
      </c>
      <c r="K271" s="181">
        <f t="shared" si="20"/>
        <v>-50</v>
      </c>
      <c r="L271" s="181"/>
      <c r="M271" s="183">
        <f t="shared" si="21"/>
        <v>0</v>
      </c>
    </row>
    <row r="272" spans="1:13" x14ac:dyDescent="0.25">
      <c r="A272" s="198"/>
      <c r="G272" s="169"/>
      <c r="H272" s="181">
        <v>267</v>
      </c>
      <c r="I272" s="182" t="str">
        <f t="shared" si="19"/>
        <v/>
      </c>
      <c r="J272" s="182">
        <f t="shared" si="22"/>
        <v>-5</v>
      </c>
      <c r="K272" s="181">
        <f t="shared" si="20"/>
        <v>-50</v>
      </c>
      <c r="L272" s="181"/>
      <c r="M272" s="183">
        <f t="shared" si="21"/>
        <v>0</v>
      </c>
    </row>
    <row r="273" spans="1:13" x14ac:dyDescent="0.25">
      <c r="A273" s="198"/>
      <c r="G273" s="169"/>
      <c r="H273" s="181">
        <v>268</v>
      </c>
      <c r="I273" s="182" t="str">
        <f t="shared" si="19"/>
        <v/>
      </c>
      <c r="J273" s="182">
        <f t="shared" si="22"/>
        <v>-5</v>
      </c>
      <c r="K273" s="181">
        <f t="shared" si="20"/>
        <v>-50</v>
      </c>
      <c r="L273" s="181"/>
      <c r="M273" s="183">
        <f t="shared" si="21"/>
        <v>0</v>
      </c>
    </row>
    <row r="274" spans="1:13" x14ac:dyDescent="0.25">
      <c r="A274" s="198"/>
      <c r="G274" s="169"/>
      <c r="H274" s="181">
        <v>269</v>
      </c>
      <c r="I274" s="182" t="str">
        <f t="shared" si="19"/>
        <v/>
      </c>
      <c r="J274" s="182">
        <f t="shared" si="22"/>
        <v>-5</v>
      </c>
      <c r="K274" s="181">
        <f t="shared" si="20"/>
        <v>-50</v>
      </c>
      <c r="L274" s="181"/>
      <c r="M274" s="183">
        <f t="shared" si="21"/>
        <v>0</v>
      </c>
    </row>
    <row r="275" spans="1:13" x14ac:dyDescent="0.25">
      <c r="A275" s="198"/>
      <c r="G275" s="169"/>
      <c r="H275" s="181">
        <v>270</v>
      </c>
      <c r="I275" s="182" t="str">
        <f t="shared" si="19"/>
        <v/>
      </c>
      <c r="J275" s="182">
        <f t="shared" si="22"/>
        <v>-5</v>
      </c>
      <c r="K275" s="181">
        <f t="shared" si="20"/>
        <v>-50</v>
      </c>
      <c r="L275" s="181"/>
      <c r="M275" s="183">
        <f t="shared" si="21"/>
        <v>0</v>
      </c>
    </row>
    <row r="276" spans="1:13" x14ac:dyDescent="0.25">
      <c r="A276" s="198"/>
      <c r="G276" s="169"/>
      <c r="H276" s="181">
        <v>271</v>
      </c>
      <c r="I276" s="182" t="str">
        <f t="shared" si="19"/>
        <v/>
      </c>
      <c r="J276" s="182">
        <f t="shared" si="22"/>
        <v>-5</v>
      </c>
      <c r="K276" s="181">
        <f t="shared" si="20"/>
        <v>-50</v>
      </c>
      <c r="L276" s="181"/>
      <c r="M276" s="183">
        <f t="shared" si="21"/>
        <v>0</v>
      </c>
    </row>
    <row r="277" spans="1:13" x14ac:dyDescent="0.25">
      <c r="A277" s="198"/>
      <c r="G277" s="169"/>
      <c r="H277" s="181">
        <v>272</v>
      </c>
      <c r="I277" s="182" t="str">
        <f t="shared" si="19"/>
        <v/>
      </c>
      <c r="J277" s="182">
        <f t="shared" si="22"/>
        <v>-5</v>
      </c>
      <c r="K277" s="181">
        <f t="shared" si="20"/>
        <v>-50</v>
      </c>
      <c r="L277" s="181"/>
      <c r="M277" s="183">
        <f t="shared" si="21"/>
        <v>0</v>
      </c>
    </row>
    <row r="278" spans="1:13" x14ac:dyDescent="0.25">
      <c r="A278" s="198"/>
      <c r="G278" s="169"/>
      <c r="H278" s="181">
        <v>273</v>
      </c>
      <c r="I278" s="182" t="str">
        <f t="shared" si="19"/>
        <v/>
      </c>
      <c r="J278" s="182">
        <f t="shared" si="22"/>
        <v>-5</v>
      </c>
      <c r="K278" s="181">
        <f t="shared" si="20"/>
        <v>-50</v>
      </c>
      <c r="L278" s="181"/>
      <c r="M278" s="183">
        <f t="shared" si="21"/>
        <v>0</v>
      </c>
    </row>
    <row r="279" spans="1:13" x14ac:dyDescent="0.25">
      <c r="A279" s="198"/>
      <c r="G279" s="169"/>
      <c r="H279" s="181">
        <v>274</v>
      </c>
      <c r="I279" s="182" t="str">
        <f t="shared" si="19"/>
        <v/>
      </c>
      <c r="J279" s="182">
        <f t="shared" si="22"/>
        <v>-5</v>
      </c>
      <c r="K279" s="181">
        <f t="shared" si="20"/>
        <v>-50</v>
      </c>
      <c r="L279" s="181"/>
      <c r="M279" s="183">
        <f t="shared" si="21"/>
        <v>0</v>
      </c>
    </row>
    <row r="280" spans="1:13" x14ac:dyDescent="0.25">
      <c r="A280" s="198"/>
      <c r="G280" s="169"/>
      <c r="H280" s="181">
        <v>275</v>
      </c>
      <c r="I280" s="182" t="str">
        <f t="shared" si="19"/>
        <v/>
      </c>
      <c r="J280" s="182">
        <f t="shared" si="22"/>
        <v>-5</v>
      </c>
      <c r="K280" s="181">
        <f t="shared" si="20"/>
        <v>-50</v>
      </c>
      <c r="L280" s="181"/>
      <c r="M280" s="183">
        <f t="shared" si="21"/>
        <v>0</v>
      </c>
    </row>
    <row r="281" spans="1:13" x14ac:dyDescent="0.25">
      <c r="A281" s="198"/>
      <c r="G281" s="169"/>
      <c r="H281" s="181">
        <v>276</v>
      </c>
      <c r="I281" s="182" t="str">
        <f t="shared" si="19"/>
        <v/>
      </c>
      <c r="J281" s="182">
        <f t="shared" si="22"/>
        <v>-5</v>
      </c>
      <c r="K281" s="181">
        <f t="shared" si="20"/>
        <v>-50</v>
      </c>
      <c r="L281" s="181"/>
      <c r="M281" s="183">
        <f t="shared" si="21"/>
        <v>0</v>
      </c>
    </row>
    <row r="282" spans="1:13" x14ac:dyDescent="0.25">
      <c r="A282" s="198"/>
      <c r="G282" s="169"/>
      <c r="H282" s="181">
        <v>277</v>
      </c>
      <c r="I282" s="182" t="str">
        <f t="shared" si="19"/>
        <v/>
      </c>
      <c r="J282" s="182">
        <f t="shared" si="22"/>
        <v>-5</v>
      </c>
      <c r="K282" s="181">
        <f t="shared" si="20"/>
        <v>-50</v>
      </c>
      <c r="L282" s="181"/>
      <c r="M282" s="183">
        <f t="shared" si="21"/>
        <v>0</v>
      </c>
    </row>
    <row r="283" spans="1:13" x14ac:dyDescent="0.25">
      <c r="A283" s="198"/>
      <c r="G283" s="169"/>
      <c r="H283" s="181">
        <v>278</v>
      </c>
      <c r="I283" s="182" t="str">
        <f t="shared" si="19"/>
        <v/>
      </c>
      <c r="J283" s="182">
        <f t="shared" si="22"/>
        <v>-5</v>
      </c>
      <c r="K283" s="181">
        <f t="shared" si="20"/>
        <v>-50</v>
      </c>
      <c r="L283" s="181"/>
      <c r="M283" s="183">
        <f t="shared" si="21"/>
        <v>0</v>
      </c>
    </row>
    <row r="284" spans="1:13" x14ac:dyDescent="0.25">
      <c r="A284" s="198"/>
      <c r="G284" s="169"/>
      <c r="H284" s="181">
        <v>279</v>
      </c>
      <c r="I284" s="182" t="str">
        <f t="shared" si="19"/>
        <v/>
      </c>
      <c r="J284" s="182">
        <f t="shared" si="22"/>
        <v>-5</v>
      </c>
      <c r="K284" s="181">
        <f t="shared" si="20"/>
        <v>-50</v>
      </c>
      <c r="L284" s="181"/>
      <c r="M284" s="183">
        <f t="shared" si="21"/>
        <v>0</v>
      </c>
    </row>
    <row r="285" spans="1:13" x14ac:dyDescent="0.25">
      <c r="A285" s="198"/>
      <c r="G285" s="169"/>
      <c r="H285" s="181">
        <v>280</v>
      </c>
      <c r="I285" s="182" t="str">
        <f t="shared" si="19"/>
        <v/>
      </c>
      <c r="J285" s="182">
        <f t="shared" si="22"/>
        <v>-5</v>
      </c>
      <c r="K285" s="181">
        <f t="shared" si="20"/>
        <v>-50</v>
      </c>
      <c r="L285" s="181"/>
      <c r="M285" s="183">
        <f t="shared" si="21"/>
        <v>0</v>
      </c>
    </row>
    <row r="286" spans="1:13" x14ac:dyDescent="0.25">
      <c r="A286" s="198"/>
      <c r="G286" s="169"/>
      <c r="H286" s="181">
        <v>281</v>
      </c>
      <c r="I286" s="182" t="str">
        <f t="shared" si="19"/>
        <v/>
      </c>
      <c r="J286" s="182">
        <f t="shared" si="22"/>
        <v>-5</v>
      </c>
      <c r="K286" s="181">
        <f t="shared" si="20"/>
        <v>-50</v>
      </c>
      <c r="L286" s="181"/>
      <c r="M286" s="183">
        <f t="shared" si="21"/>
        <v>0</v>
      </c>
    </row>
    <row r="287" spans="1:13" x14ac:dyDescent="0.25">
      <c r="A287" s="198"/>
      <c r="G287" s="169"/>
      <c r="H287" s="181">
        <v>282</v>
      </c>
      <c r="I287" s="182" t="str">
        <f t="shared" si="19"/>
        <v/>
      </c>
      <c r="J287" s="182">
        <f t="shared" si="22"/>
        <v>-5</v>
      </c>
      <c r="K287" s="181">
        <f t="shared" si="20"/>
        <v>-50</v>
      </c>
      <c r="L287" s="181"/>
      <c r="M287" s="183">
        <f t="shared" si="21"/>
        <v>0</v>
      </c>
    </row>
    <row r="288" spans="1:13" x14ac:dyDescent="0.25">
      <c r="A288" s="198"/>
      <c r="G288" s="169"/>
      <c r="H288" s="181">
        <v>283</v>
      </c>
      <c r="I288" s="182" t="str">
        <f t="shared" si="19"/>
        <v/>
      </c>
      <c r="J288" s="182">
        <f t="shared" si="22"/>
        <v>-5</v>
      </c>
      <c r="K288" s="181">
        <f t="shared" si="20"/>
        <v>-50</v>
      </c>
      <c r="L288" s="181"/>
      <c r="M288" s="183">
        <f t="shared" si="21"/>
        <v>0</v>
      </c>
    </row>
    <row r="289" spans="1:13" x14ac:dyDescent="0.25">
      <c r="A289" s="198"/>
      <c r="G289" s="169"/>
      <c r="H289" s="181">
        <v>284</v>
      </c>
      <c r="I289" s="182" t="str">
        <f t="shared" si="19"/>
        <v/>
      </c>
      <c r="J289" s="182">
        <f t="shared" si="22"/>
        <v>-5</v>
      </c>
      <c r="K289" s="181">
        <f t="shared" si="20"/>
        <v>-50</v>
      </c>
      <c r="L289" s="181"/>
      <c r="M289" s="183">
        <f t="shared" si="21"/>
        <v>0</v>
      </c>
    </row>
    <row r="290" spans="1:13" x14ac:dyDescent="0.25">
      <c r="A290" s="198"/>
      <c r="G290" s="169"/>
      <c r="H290" s="181">
        <v>285</v>
      </c>
      <c r="I290" s="182" t="str">
        <f t="shared" si="19"/>
        <v/>
      </c>
      <c r="J290" s="182">
        <f t="shared" si="22"/>
        <v>-5</v>
      </c>
      <c r="K290" s="181">
        <f t="shared" si="20"/>
        <v>-50</v>
      </c>
      <c r="L290" s="181"/>
      <c r="M290" s="183">
        <f t="shared" si="21"/>
        <v>0</v>
      </c>
    </row>
    <row r="291" spans="1:13" x14ac:dyDescent="0.25">
      <c r="A291" s="198"/>
      <c r="G291" s="169"/>
      <c r="H291" s="181">
        <v>286</v>
      </c>
      <c r="I291" s="182" t="str">
        <f t="shared" si="19"/>
        <v/>
      </c>
      <c r="J291" s="182">
        <f t="shared" si="22"/>
        <v>-5</v>
      </c>
      <c r="K291" s="181">
        <f t="shared" si="20"/>
        <v>-50</v>
      </c>
      <c r="L291" s="181"/>
      <c r="M291" s="183">
        <f t="shared" si="21"/>
        <v>0</v>
      </c>
    </row>
    <row r="292" spans="1:13" x14ac:dyDescent="0.25">
      <c r="A292" s="198"/>
      <c r="G292" s="169"/>
      <c r="H292" s="181">
        <v>287</v>
      </c>
      <c r="I292" s="182" t="str">
        <f t="shared" si="19"/>
        <v/>
      </c>
      <c r="J292" s="182">
        <f t="shared" si="22"/>
        <v>-5</v>
      </c>
      <c r="K292" s="181">
        <f t="shared" si="20"/>
        <v>-50</v>
      </c>
      <c r="L292" s="181"/>
      <c r="M292" s="183">
        <f t="shared" si="21"/>
        <v>0</v>
      </c>
    </row>
    <row r="293" spans="1:13" x14ac:dyDescent="0.25">
      <c r="A293" s="198"/>
      <c r="G293" s="169"/>
      <c r="H293" s="181">
        <v>288</v>
      </c>
      <c r="I293" s="182" t="str">
        <f t="shared" si="19"/>
        <v/>
      </c>
      <c r="J293" s="182">
        <f t="shared" si="22"/>
        <v>-5</v>
      </c>
      <c r="K293" s="181">
        <f t="shared" si="20"/>
        <v>-50</v>
      </c>
      <c r="L293" s="181"/>
      <c r="M293" s="183">
        <f t="shared" si="21"/>
        <v>0</v>
      </c>
    </row>
    <row r="294" spans="1:13" x14ac:dyDescent="0.25">
      <c r="A294" s="198"/>
      <c r="G294" s="169"/>
      <c r="H294" s="181">
        <v>289</v>
      </c>
      <c r="I294" s="182" t="str">
        <f t="shared" si="19"/>
        <v/>
      </c>
      <c r="J294" s="182">
        <f t="shared" si="22"/>
        <v>-5</v>
      </c>
      <c r="K294" s="181">
        <f t="shared" si="20"/>
        <v>-50</v>
      </c>
      <c r="L294" s="181"/>
      <c r="M294" s="183">
        <f t="shared" si="21"/>
        <v>0</v>
      </c>
    </row>
    <row r="295" spans="1:13" x14ac:dyDescent="0.25">
      <c r="A295" s="198"/>
      <c r="G295" s="169"/>
      <c r="H295" s="181">
        <v>290</v>
      </c>
      <c r="I295" s="182" t="str">
        <f t="shared" si="19"/>
        <v/>
      </c>
      <c r="J295" s="182">
        <f t="shared" si="22"/>
        <v>-5</v>
      </c>
      <c r="K295" s="181">
        <f t="shared" si="20"/>
        <v>-50</v>
      </c>
      <c r="L295" s="181"/>
      <c r="M295" s="183">
        <f t="shared" si="21"/>
        <v>0</v>
      </c>
    </row>
    <row r="296" spans="1:13" x14ac:dyDescent="0.25">
      <c r="A296" s="198"/>
      <c r="G296" s="169"/>
      <c r="H296" s="181">
        <v>291</v>
      </c>
      <c r="I296" s="182" t="str">
        <f t="shared" si="19"/>
        <v/>
      </c>
      <c r="J296" s="182">
        <f t="shared" si="22"/>
        <v>-5</v>
      </c>
      <c r="K296" s="181">
        <f t="shared" si="20"/>
        <v>-50</v>
      </c>
      <c r="L296" s="181"/>
      <c r="M296" s="183">
        <f t="shared" si="21"/>
        <v>0</v>
      </c>
    </row>
    <row r="297" spans="1:13" x14ac:dyDescent="0.25">
      <c r="A297" s="198"/>
      <c r="G297" s="169"/>
      <c r="H297" s="181">
        <v>292</v>
      </c>
      <c r="I297" s="182" t="str">
        <f t="shared" si="19"/>
        <v/>
      </c>
      <c r="J297" s="182">
        <f t="shared" si="22"/>
        <v>-5</v>
      </c>
      <c r="K297" s="181">
        <f t="shared" si="20"/>
        <v>-50</v>
      </c>
      <c r="L297" s="181"/>
      <c r="M297" s="183">
        <f t="shared" si="21"/>
        <v>0</v>
      </c>
    </row>
    <row r="298" spans="1:13" x14ac:dyDescent="0.25">
      <c r="A298" s="198"/>
      <c r="G298" s="169"/>
      <c r="H298" s="181">
        <v>293</v>
      </c>
      <c r="I298" s="182" t="str">
        <f t="shared" si="19"/>
        <v/>
      </c>
      <c r="J298" s="182">
        <f t="shared" si="22"/>
        <v>-5</v>
      </c>
      <c r="K298" s="181">
        <f t="shared" si="20"/>
        <v>-50</v>
      </c>
      <c r="L298" s="181"/>
      <c r="M298" s="183">
        <f t="shared" si="21"/>
        <v>0</v>
      </c>
    </row>
    <row r="299" spans="1:13" x14ac:dyDescent="0.25">
      <c r="A299" s="198"/>
      <c r="G299" s="169"/>
      <c r="H299" s="181">
        <v>294</v>
      </c>
      <c r="I299" s="182" t="str">
        <f t="shared" si="19"/>
        <v/>
      </c>
      <c r="J299" s="182">
        <f t="shared" si="22"/>
        <v>-5</v>
      </c>
      <c r="K299" s="181">
        <f t="shared" si="20"/>
        <v>-50</v>
      </c>
      <c r="L299" s="181"/>
      <c r="M299" s="183">
        <f t="shared" si="21"/>
        <v>0</v>
      </c>
    </row>
    <row r="300" spans="1:13" x14ac:dyDescent="0.25">
      <c r="A300" s="198"/>
      <c r="G300" s="169"/>
      <c r="H300" s="181">
        <v>295</v>
      </c>
      <c r="I300" s="182" t="str">
        <f t="shared" si="19"/>
        <v/>
      </c>
      <c r="J300" s="182">
        <f t="shared" si="22"/>
        <v>-5</v>
      </c>
      <c r="K300" s="181">
        <f t="shared" si="20"/>
        <v>-50</v>
      </c>
      <c r="L300" s="181"/>
      <c r="M300" s="183">
        <f t="shared" si="21"/>
        <v>0</v>
      </c>
    </row>
    <row r="301" spans="1:13" x14ac:dyDescent="0.25">
      <c r="A301" s="198"/>
      <c r="G301" s="169"/>
      <c r="H301" s="181">
        <v>296</v>
      </c>
      <c r="I301" s="182" t="str">
        <f t="shared" si="19"/>
        <v/>
      </c>
      <c r="J301" s="182">
        <f t="shared" si="22"/>
        <v>-5</v>
      </c>
      <c r="K301" s="181">
        <f t="shared" si="20"/>
        <v>-50</v>
      </c>
      <c r="L301" s="181"/>
      <c r="M301" s="183">
        <f t="shared" si="21"/>
        <v>0</v>
      </c>
    </row>
    <row r="302" spans="1:13" x14ac:dyDescent="0.25">
      <c r="A302" s="198"/>
      <c r="G302" s="169"/>
      <c r="H302" s="181">
        <v>297</v>
      </c>
      <c r="I302" s="182" t="str">
        <f t="shared" si="19"/>
        <v/>
      </c>
      <c r="J302" s="182">
        <f t="shared" si="22"/>
        <v>-5</v>
      </c>
      <c r="K302" s="181">
        <f t="shared" si="20"/>
        <v>-50</v>
      </c>
      <c r="L302" s="181"/>
      <c r="M302" s="183">
        <f t="shared" si="21"/>
        <v>0</v>
      </c>
    </row>
    <row r="303" spans="1:13" x14ac:dyDescent="0.25">
      <c r="A303" s="198"/>
      <c r="G303" s="169"/>
      <c r="H303" s="181">
        <v>298</v>
      </c>
      <c r="I303" s="182" t="str">
        <f t="shared" si="19"/>
        <v/>
      </c>
      <c r="J303" s="182">
        <f t="shared" si="22"/>
        <v>-5</v>
      </c>
      <c r="K303" s="181">
        <f t="shared" si="20"/>
        <v>-50</v>
      </c>
      <c r="L303" s="181"/>
      <c r="M303" s="183">
        <f t="shared" si="21"/>
        <v>0</v>
      </c>
    </row>
    <row r="304" spans="1:13" x14ac:dyDescent="0.25">
      <c r="A304" s="198"/>
      <c r="G304" s="169"/>
      <c r="H304" s="181">
        <v>299</v>
      </c>
      <c r="I304" s="182" t="str">
        <f t="shared" si="19"/>
        <v/>
      </c>
      <c r="J304" s="182">
        <f t="shared" si="22"/>
        <v>-5</v>
      </c>
      <c r="K304" s="181">
        <f t="shared" si="20"/>
        <v>-50</v>
      </c>
      <c r="L304" s="181"/>
      <c r="M304" s="183">
        <f t="shared" si="21"/>
        <v>0</v>
      </c>
    </row>
    <row r="305" spans="1:16" x14ac:dyDescent="0.25">
      <c r="A305" s="198"/>
      <c r="G305" s="169"/>
      <c r="H305" s="181">
        <v>300</v>
      </c>
      <c r="I305" s="182" t="str">
        <f t="shared" si="19"/>
        <v/>
      </c>
      <c r="J305" s="182">
        <f t="shared" si="22"/>
        <v>-5</v>
      </c>
      <c r="K305" s="181">
        <f t="shared" si="20"/>
        <v>-50</v>
      </c>
      <c r="L305" s="181"/>
      <c r="M305" s="183">
        <f t="shared" si="21"/>
        <v>0</v>
      </c>
    </row>
    <row r="306" spans="1:16" x14ac:dyDescent="0.25">
      <c r="A306" s="199"/>
    </row>
    <row r="314" spans="1:16" x14ac:dyDescent="0.25">
      <c r="L314" s="202"/>
      <c r="P314" s="192"/>
    </row>
    <row r="315" spans="1:16" x14ac:dyDescent="0.25">
      <c r="L315" s="202"/>
      <c r="P315" s="192"/>
    </row>
    <row r="316" spans="1:16" x14ac:dyDescent="0.25">
      <c r="L316" s="202"/>
      <c r="P316" s="192"/>
    </row>
    <row r="317" spans="1:16" x14ac:dyDescent="0.25">
      <c r="L317" s="202"/>
      <c r="P317" s="192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D83A3785-5931-4111-AA9F-E9DEA66FF8A4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2400-C74D-4D40-97C5-B173186576C4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7" customWidth="1"/>
    <col min="2" max="2" width="8.25" style="197" customWidth="1"/>
    <col min="3" max="3" width="34.75" style="197" customWidth="1"/>
    <col min="4" max="4" width="11.25" style="197" customWidth="1"/>
    <col min="5" max="6" width="8.875" style="197"/>
    <col min="7" max="7" width="0.875" style="197" customWidth="1"/>
    <col min="8" max="8" width="8.875" style="200"/>
    <col min="9" max="9" width="11" style="200" customWidth="1"/>
    <col min="10" max="10" width="15.25" style="200" customWidth="1"/>
    <col min="11" max="11" width="8.75" style="200" customWidth="1"/>
    <col min="12" max="12" width="11" style="200" customWidth="1"/>
    <col min="13" max="13" width="12.25" style="201" customWidth="1"/>
    <col min="14" max="15" width="13.875" style="169" customWidth="1"/>
    <col min="16" max="18" width="8.875" style="169"/>
    <col min="19" max="20" width="8.875" style="174"/>
    <col min="21" max="21" width="12.125" style="174" customWidth="1"/>
    <col min="22" max="22" width="27.375" style="174" customWidth="1"/>
    <col min="23" max="38" width="8.875" style="174"/>
    <col min="39" max="16384" width="8.875" style="197"/>
  </cols>
  <sheetData>
    <row r="1" spans="1:36" x14ac:dyDescent="0.25">
      <c r="A1" s="169"/>
      <c r="B1" s="169"/>
      <c r="C1" s="169"/>
      <c r="D1" s="169"/>
      <c r="E1" s="169"/>
      <c r="F1" s="169"/>
      <c r="G1" s="169"/>
      <c r="H1" s="170" t="s">
        <v>29</v>
      </c>
      <c r="I1" s="171" t="s">
        <v>30</v>
      </c>
      <c r="J1" s="171" t="s">
        <v>31</v>
      </c>
      <c r="K1" s="172" t="s">
        <v>116</v>
      </c>
      <c r="L1" s="173"/>
      <c r="M1" s="173"/>
    </row>
    <row r="2" spans="1:36" x14ac:dyDescent="0.25">
      <c r="A2" s="169"/>
      <c r="B2" s="19" t="s">
        <v>33</v>
      </c>
      <c r="C2" s="129" t="s">
        <v>119</v>
      </c>
      <c r="D2" s="69"/>
      <c r="E2" s="20"/>
      <c r="F2" s="20"/>
      <c r="G2" s="20"/>
      <c r="H2" s="175">
        <v>0</v>
      </c>
      <c r="I2" s="176">
        <v>50</v>
      </c>
      <c r="J2" s="176">
        <v>10</v>
      </c>
      <c r="K2" s="203">
        <f>3*H2^(1/3)</f>
        <v>0</v>
      </c>
      <c r="L2" s="173"/>
      <c r="M2" s="173"/>
    </row>
    <row r="3" spans="1:36" x14ac:dyDescent="0.25">
      <c r="A3" s="169"/>
      <c r="B3" s="178" t="s">
        <v>35</v>
      </c>
      <c r="C3" s="70" t="s">
        <v>133</v>
      </c>
      <c r="D3" s="70"/>
      <c r="E3" s="25"/>
      <c r="F3" s="25"/>
      <c r="G3" s="25"/>
      <c r="H3" s="173"/>
      <c r="I3" s="173"/>
      <c r="J3" s="204"/>
      <c r="K3" s="173"/>
      <c r="L3" s="173"/>
      <c r="M3" s="17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3"/>
      <c r="I4" s="173"/>
      <c r="J4" s="204"/>
      <c r="K4" s="173"/>
      <c r="L4" s="173"/>
      <c r="M4" s="17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79" t="s">
        <v>43</v>
      </c>
      <c r="I5" s="180" t="s">
        <v>44</v>
      </c>
      <c r="J5" s="205" t="s">
        <v>45</v>
      </c>
      <c r="K5" s="180" t="s">
        <v>46</v>
      </c>
      <c r="L5" s="180" t="s">
        <v>47</v>
      </c>
      <c r="M5" s="179" t="s">
        <v>48</v>
      </c>
    </row>
    <row r="6" spans="1:36" ht="14.45" customHeight="1" x14ac:dyDescent="0.25">
      <c r="A6" s="97">
        <f>M6</f>
        <v>0</v>
      </c>
      <c r="B6" s="33" t="str">
        <f>IF(H6&gt;$H$2,"",(ROW()-5))</f>
        <v/>
      </c>
      <c r="C6" s="34"/>
      <c r="D6" s="34"/>
      <c r="E6" s="34"/>
      <c r="F6" s="34" t="s">
        <v>50</v>
      </c>
      <c r="G6" s="27"/>
      <c r="H6" s="181">
        <v>1</v>
      </c>
      <c r="I6" s="182" t="str">
        <f t="shared" ref="I6:I69" si="0">IF(H6&lt;$H$2+1,($I$2-($I$2-1)*(LOG(H6)/LOG($H$2))),"")</f>
        <v/>
      </c>
      <c r="J6" s="181" t="e">
        <f>INT(LOG($H$2,2))-ROUNDUP(LOG(H6,2),0)+IF(OR($H$2=1,$H$2=2,$H$2=4,$H$2=8,$H$2=16,$H$2=32,$H$2=64,$H$2=128,$H$2=256),0,1)</f>
        <v>#NUM!</v>
      </c>
      <c r="K6" s="181" t="e">
        <f t="shared" ref="K6:K69" si="1">J6*$J$2</f>
        <v>#NUM!</v>
      </c>
      <c r="L6" s="183">
        <f>3*K2</f>
        <v>0</v>
      </c>
      <c r="M6" s="183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50</v>
      </c>
      <c r="G7" s="27"/>
      <c r="H7" s="184">
        <v>2</v>
      </c>
      <c r="I7" s="185" t="str">
        <f t="shared" si="0"/>
        <v/>
      </c>
      <c r="J7" s="184" t="e">
        <f t="shared" ref="J7:J70" si="5">INT(LOG($H$2,2))-ROUNDUP(LOG(H7,2),0)+IF(OR($H$2=1,$H$2=2,$H$2=4,$H$2=8,$H$2=16,$H$2=32,$H$2=64,$H$2=128,$H$2=256),0,1)</f>
        <v>#NUM!</v>
      </c>
      <c r="K7" s="184" t="e">
        <f t="shared" si="1"/>
        <v>#NUM!</v>
      </c>
      <c r="L7" s="186">
        <f>2*K2</f>
        <v>0</v>
      </c>
      <c r="M7" s="186">
        <f t="shared" si="2"/>
        <v>0</v>
      </c>
    </row>
    <row r="8" spans="1:36" ht="14.45" customHeight="1" x14ac:dyDescent="0.25">
      <c r="A8" s="97">
        <f t="shared" si="3"/>
        <v>0</v>
      </c>
      <c r="B8" s="33" t="str">
        <f t="shared" si="4"/>
        <v/>
      </c>
      <c r="C8" s="34"/>
      <c r="D8" s="34"/>
      <c r="E8" s="34"/>
      <c r="F8" s="34" t="s">
        <v>50</v>
      </c>
      <c r="G8" s="27"/>
      <c r="H8" s="181">
        <v>3</v>
      </c>
      <c r="I8" s="182" t="str">
        <f t="shared" si="0"/>
        <v/>
      </c>
      <c r="J8" s="181" t="e">
        <f t="shared" si="5"/>
        <v>#NUM!</v>
      </c>
      <c r="K8" s="181" t="e">
        <f t="shared" si="1"/>
        <v>#NUM!</v>
      </c>
      <c r="L8" s="183">
        <f>K2</f>
        <v>0</v>
      </c>
      <c r="M8" s="183">
        <f t="shared" si="2"/>
        <v>0</v>
      </c>
    </row>
    <row r="9" spans="1:36" s="174" customFormat="1" ht="14.45" customHeight="1" x14ac:dyDescent="0.25">
      <c r="A9" s="101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84">
        <v>3</v>
      </c>
      <c r="I9" s="185" t="str">
        <f t="shared" si="0"/>
        <v/>
      </c>
      <c r="J9" s="184" t="e">
        <f t="shared" si="5"/>
        <v>#NUM!</v>
      </c>
      <c r="K9" s="184" t="e">
        <f t="shared" si="1"/>
        <v>#NUM!</v>
      </c>
      <c r="L9" s="186">
        <f>K2</f>
        <v>0</v>
      </c>
      <c r="M9" s="186">
        <f t="shared" si="2"/>
        <v>0</v>
      </c>
      <c r="N9" s="169"/>
      <c r="O9" s="169"/>
      <c r="P9" s="169"/>
      <c r="Q9" s="169"/>
      <c r="R9" s="169"/>
      <c r="V9" s="187"/>
      <c r="Z9" s="188"/>
      <c r="AA9" s="188"/>
      <c r="AG9" s="189"/>
      <c r="AH9" s="174" t="s">
        <v>54</v>
      </c>
      <c r="AI9" s="174">
        <v>23</v>
      </c>
    </row>
    <row r="10" spans="1:36" ht="14.45" customHeight="1" x14ac:dyDescent="0.25">
      <c r="A10" s="97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81">
        <v>5</v>
      </c>
      <c r="I10" s="182" t="str">
        <f t="shared" si="0"/>
        <v/>
      </c>
      <c r="J10" s="181" t="e">
        <f t="shared" si="5"/>
        <v>#NUM!</v>
      </c>
      <c r="K10" s="181" t="e">
        <f t="shared" si="1"/>
        <v>#NUM!</v>
      </c>
      <c r="L10" s="181"/>
      <c r="M10" s="183">
        <f t="shared" si="2"/>
        <v>0</v>
      </c>
      <c r="V10" s="187"/>
      <c r="Z10" s="188"/>
      <c r="AA10" s="188"/>
      <c r="AG10" s="189"/>
      <c r="AH10" s="174" t="s">
        <v>55</v>
      </c>
      <c r="AI10" s="174">
        <v>45</v>
      </c>
    </row>
    <row r="11" spans="1:36" ht="14.45" customHeight="1" x14ac:dyDescent="0.25">
      <c r="A11" s="101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84">
        <v>6</v>
      </c>
      <c r="I11" s="185" t="str">
        <f t="shared" si="0"/>
        <v/>
      </c>
      <c r="J11" s="184" t="e">
        <f t="shared" si="5"/>
        <v>#NUM!</v>
      </c>
      <c r="K11" s="184" t="e">
        <f t="shared" si="1"/>
        <v>#NUM!</v>
      </c>
      <c r="L11" s="184"/>
      <c r="M11" s="186">
        <f t="shared" si="2"/>
        <v>0</v>
      </c>
      <c r="V11" s="190"/>
      <c r="Z11" s="188"/>
      <c r="AA11" s="188"/>
      <c r="AG11" s="189"/>
      <c r="AH11" s="174" t="s">
        <v>56</v>
      </c>
      <c r="AI11" s="174">
        <v>50</v>
      </c>
    </row>
    <row r="12" spans="1:36" ht="14.45" customHeight="1" x14ac:dyDescent="0.25">
      <c r="A12" s="97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81">
        <v>7</v>
      </c>
      <c r="I12" s="182" t="str">
        <f t="shared" si="0"/>
        <v/>
      </c>
      <c r="J12" s="181" t="e">
        <f t="shared" si="5"/>
        <v>#NUM!</v>
      </c>
      <c r="K12" s="181" t="e">
        <f t="shared" si="1"/>
        <v>#NUM!</v>
      </c>
      <c r="L12" s="181"/>
      <c r="M12" s="183">
        <f t="shared" si="2"/>
        <v>0</v>
      </c>
      <c r="Z12" s="188"/>
      <c r="AA12" s="188"/>
      <c r="AG12" s="189"/>
      <c r="AH12" s="174" t="s">
        <v>57</v>
      </c>
      <c r="AI12" s="174">
        <f>AI11-1</f>
        <v>49</v>
      </c>
    </row>
    <row r="13" spans="1:36" ht="14.45" customHeight="1" x14ac:dyDescent="0.25">
      <c r="A13" s="101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84">
        <v>8</v>
      </c>
      <c r="I13" s="185" t="str">
        <f t="shared" si="0"/>
        <v/>
      </c>
      <c r="J13" s="184" t="e">
        <f t="shared" si="5"/>
        <v>#NUM!</v>
      </c>
      <c r="K13" s="184" t="e">
        <f t="shared" si="1"/>
        <v>#NUM!</v>
      </c>
      <c r="L13" s="184"/>
      <c r="M13" s="186">
        <f t="shared" si="2"/>
        <v>0</v>
      </c>
      <c r="X13" s="187"/>
      <c r="AG13" s="189"/>
      <c r="AH13" s="174" t="s">
        <v>58</v>
      </c>
      <c r="AI13" s="174">
        <f>LOG(AI9)</f>
        <v>1.3617278360175928</v>
      </c>
    </row>
    <row r="14" spans="1:36" x14ac:dyDescent="0.25">
      <c r="A14" s="97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81">
        <v>9</v>
      </c>
      <c r="I14" s="182" t="str">
        <f t="shared" si="0"/>
        <v/>
      </c>
      <c r="J14" s="181" t="e">
        <f t="shared" si="5"/>
        <v>#NUM!</v>
      </c>
      <c r="K14" s="181" t="e">
        <f t="shared" si="1"/>
        <v>#NUM!</v>
      </c>
      <c r="L14" s="181"/>
      <c r="M14" s="183">
        <f t="shared" si="2"/>
        <v>0</v>
      </c>
      <c r="X14" s="191"/>
      <c r="Z14" s="188"/>
      <c r="AA14" s="188"/>
      <c r="AG14" s="189"/>
      <c r="AH14" s="174" t="s">
        <v>59</v>
      </c>
      <c r="AI14" s="174">
        <f>LOG(AI10)</f>
        <v>1.6532125137753437</v>
      </c>
    </row>
    <row r="15" spans="1:36" x14ac:dyDescent="0.25">
      <c r="A15" s="101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84">
        <v>10</v>
      </c>
      <c r="I15" s="185" t="str">
        <f t="shared" si="0"/>
        <v/>
      </c>
      <c r="J15" s="184" t="e">
        <f t="shared" si="5"/>
        <v>#NUM!</v>
      </c>
      <c r="K15" s="184" t="e">
        <f t="shared" si="1"/>
        <v>#NUM!</v>
      </c>
      <c r="L15" s="184"/>
      <c r="M15" s="186">
        <f t="shared" si="2"/>
        <v>0</v>
      </c>
      <c r="X15" s="187"/>
      <c r="Z15" s="188"/>
      <c r="AA15" s="188"/>
    </row>
    <row r="16" spans="1:36" x14ac:dyDescent="0.25">
      <c r="A16" s="97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81">
        <v>11</v>
      </c>
      <c r="I16" s="182" t="str">
        <f t="shared" si="0"/>
        <v/>
      </c>
      <c r="J16" s="181" t="e">
        <f t="shared" si="5"/>
        <v>#NUM!</v>
      </c>
      <c r="K16" s="181" t="e">
        <f t="shared" si="1"/>
        <v>#NUM!</v>
      </c>
      <c r="L16" s="181"/>
      <c r="M16" s="183">
        <f t="shared" si="2"/>
        <v>0</v>
      </c>
      <c r="R16" s="192"/>
      <c r="Z16" s="188"/>
      <c r="AA16" s="188"/>
      <c r="AH16" s="193" t="s">
        <v>60</v>
      </c>
      <c r="AI16" s="174">
        <f>AI11-AI12*AI13/AI14</f>
        <v>9.6393909380186855</v>
      </c>
      <c r="AJ16" s="174" t="s">
        <v>61</v>
      </c>
    </row>
    <row r="17" spans="1:19" x14ac:dyDescent="0.25">
      <c r="A17" s="101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84">
        <v>12</v>
      </c>
      <c r="I17" s="185" t="str">
        <f t="shared" si="0"/>
        <v/>
      </c>
      <c r="J17" s="184" t="e">
        <f t="shared" si="5"/>
        <v>#NUM!</v>
      </c>
      <c r="K17" s="184" t="e">
        <f t="shared" si="1"/>
        <v>#NUM!</v>
      </c>
      <c r="L17" s="184"/>
      <c r="M17" s="186">
        <f t="shared" si="2"/>
        <v>0</v>
      </c>
    </row>
    <row r="18" spans="1:19" x14ac:dyDescent="0.25">
      <c r="A18" s="97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81">
        <v>13</v>
      </c>
      <c r="I18" s="182" t="str">
        <f t="shared" si="0"/>
        <v/>
      </c>
      <c r="J18" s="181" t="e">
        <f t="shared" si="5"/>
        <v>#NUM!</v>
      </c>
      <c r="K18" s="181" t="e">
        <f t="shared" si="1"/>
        <v>#NUM!</v>
      </c>
      <c r="L18" s="181"/>
      <c r="M18" s="183">
        <f t="shared" si="2"/>
        <v>0</v>
      </c>
    </row>
    <row r="19" spans="1:19" x14ac:dyDescent="0.25">
      <c r="A19" s="101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84">
        <v>14</v>
      </c>
      <c r="I19" s="185" t="str">
        <f t="shared" si="0"/>
        <v/>
      </c>
      <c r="J19" s="184" t="e">
        <f t="shared" si="5"/>
        <v>#NUM!</v>
      </c>
      <c r="K19" s="184" t="e">
        <f t="shared" si="1"/>
        <v>#NUM!</v>
      </c>
      <c r="L19" s="184"/>
      <c r="M19" s="186">
        <f t="shared" si="2"/>
        <v>0</v>
      </c>
    </row>
    <row r="20" spans="1:19" x14ac:dyDescent="0.25">
      <c r="A20" s="97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81">
        <v>15</v>
      </c>
      <c r="I20" s="182" t="str">
        <f t="shared" si="0"/>
        <v/>
      </c>
      <c r="J20" s="181" t="e">
        <f t="shared" si="5"/>
        <v>#NUM!</v>
      </c>
      <c r="K20" s="181" t="e">
        <f t="shared" si="1"/>
        <v>#NUM!</v>
      </c>
      <c r="L20" s="181"/>
      <c r="M20" s="183">
        <f t="shared" si="2"/>
        <v>0</v>
      </c>
      <c r="R20" s="194"/>
      <c r="S20" s="195"/>
    </row>
    <row r="21" spans="1:19" x14ac:dyDescent="0.25">
      <c r="A21" s="101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84">
        <v>16</v>
      </c>
      <c r="I21" s="185" t="str">
        <f t="shared" si="0"/>
        <v/>
      </c>
      <c r="J21" s="184" t="e">
        <f t="shared" si="5"/>
        <v>#NUM!</v>
      </c>
      <c r="K21" s="184" t="e">
        <f t="shared" si="1"/>
        <v>#NUM!</v>
      </c>
      <c r="L21" s="184"/>
      <c r="M21" s="186">
        <f t="shared" si="2"/>
        <v>0</v>
      </c>
    </row>
    <row r="22" spans="1:19" x14ac:dyDescent="0.25">
      <c r="A22" s="97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81">
        <v>17</v>
      </c>
      <c r="I22" s="182" t="str">
        <f t="shared" si="0"/>
        <v/>
      </c>
      <c r="J22" s="181" t="e">
        <f t="shared" si="5"/>
        <v>#NUM!</v>
      </c>
      <c r="K22" s="181" t="e">
        <f t="shared" si="1"/>
        <v>#NUM!</v>
      </c>
      <c r="L22" s="181"/>
      <c r="M22" s="183">
        <f t="shared" si="2"/>
        <v>0</v>
      </c>
    </row>
    <row r="23" spans="1:19" x14ac:dyDescent="0.25">
      <c r="A23" s="101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84">
        <v>18</v>
      </c>
      <c r="I23" s="185" t="str">
        <f t="shared" si="0"/>
        <v/>
      </c>
      <c r="J23" s="184" t="e">
        <f t="shared" si="5"/>
        <v>#NUM!</v>
      </c>
      <c r="K23" s="184" t="e">
        <f t="shared" si="1"/>
        <v>#NUM!</v>
      </c>
      <c r="L23" s="184"/>
      <c r="M23" s="186">
        <f t="shared" si="2"/>
        <v>0</v>
      </c>
    </row>
    <row r="24" spans="1:19" x14ac:dyDescent="0.25">
      <c r="A24" s="97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81">
        <v>19</v>
      </c>
      <c r="I24" s="182" t="str">
        <f t="shared" si="0"/>
        <v/>
      </c>
      <c r="J24" s="181" t="e">
        <f t="shared" si="5"/>
        <v>#NUM!</v>
      </c>
      <c r="K24" s="181" t="e">
        <f t="shared" si="1"/>
        <v>#NUM!</v>
      </c>
      <c r="L24" s="181"/>
      <c r="M24" s="183">
        <f t="shared" si="2"/>
        <v>0</v>
      </c>
      <c r="R24" s="194"/>
      <c r="S24" s="195"/>
    </row>
    <row r="25" spans="1:19" x14ac:dyDescent="0.25">
      <c r="A25" s="101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84">
        <v>20</v>
      </c>
      <c r="I25" s="185" t="str">
        <f t="shared" si="0"/>
        <v/>
      </c>
      <c r="J25" s="184" t="e">
        <f t="shared" si="5"/>
        <v>#NUM!</v>
      </c>
      <c r="K25" s="184" t="e">
        <f t="shared" si="1"/>
        <v>#NUM!</v>
      </c>
      <c r="L25" s="184"/>
      <c r="M25" s="186">
        <f t="shared" si="2"/>
        <v>0</v>
      </c>
    </row>
    <row r="26" spans="1:19" x14ac:dyDescent="0.25">
      <c r="A26" s="97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81">
        <v>21</v>
      </c>
      <c r="I26" s="182" t="str">
        <f t="shared" si="0"/>
        <v/>
      </c>
      <c r="J26" s="181" t="e">
        <f t="shared" si="5"/>
        <v>#NUM!</v>
      </c>
      <c r="K26" s="181" t="e">
        <f t="shared" si="1"/>
        <v>#NUM!</v>
      </c>
      <c r="L26" s="181"/>
      <c r="M26" s="183">
        <f t="shared" si="2"/>
        <v>0</v>
      </c>
    </row>
    <row r="27" spans="1:19" x14ac:dyDescent="0.25">
      <c r="A27" s="101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84">
        <v>22</v>
      </c>
      <c r="I27" s="185" t="str">
        <f t="shared" si="0"/>
        <v/>
      </c>
      <c r="J27" s="184" t="e">
        <f t="shared" si="5"/>
        <v>#NUM!</v>
      </c>
      <c r="K27" s="184" t="e">
        <f t="shared" si="1"/>
        <v>#NUM!</v>
      </c>
      <c r="L27" s="184"/>
      <c r="M27" s="186">
        <f t="shared" si="2"/>
        <v>0</v>
      </c>
    </row>
    <row r="28" spans="1:19" x14ac:dyDescent="0.25">
      <c r="A28" s="97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81">
        <v>23</v>
      </c>
      <c r="I28" s="182" t="str">
        <f t="shared" si="0"/>
        <v/>
      </c>
      <c r="J28" s="181" t="e">
        <f t="shared" si="5"/>
        <v>#NUM!</v>
      </c>
      <c r="K28" s="181" t="e">
        <f t="shared" si="1"/>
        <v>#NUM!</v>
      </c>
      <c r="L28" s="181"/>
      <c r="M28" s="183">
        <f t="shared" si="2"/>
        <v>0</v>
      </c>
      <c r="R28" s="194"/>
      <c r="S28" s="195"/>
    </row>
    <row r="29" spans="1:19" x14ac:dyDescent="0.25">
      <c r="A29" s="101">
        <f t="shared" si="3"/>
        <v>0</v>
      </c>
      <c r="B29" s="39" t="str">
        <f t="shared" si="4"/>
        <v/>
      </c>
      <c r="C29" s="40"/>
      <c r="D29" s="40"/>
      <c r="E29" s="40"/>
      <c r="F29" s="40"/>
      <c r="G29" s="169"/>
      <c r="H29" s="184">
        <v>24</v>
      </c>
      <c r="I29" s="185" t="str">
        <f t="shared" si="0"/>
        <v/>
      </c>
      <c r="J29" s="184" t="e">
        <f t="shared" si="5"/>
        <v>#NUM!</v>
      </c>
      <c r="K29" s="184" t="e">
        <f t="shared" si="1"/>
        <v>#NUM!</v>
      </c>
      <c r="L29" s="184"/>
      <c r="M29" s="186">
        <f t="shared" si="2"/>
        <v>0</v>
      </c>
    </row>
    <row r="30" spans="1:19" x14ac:dyDescent="0.25">
      <c r="A30" s="97">
        <f t="shared" si="3"/>
        <v>0</v>
      </c>
      <c r="B30" s="33" t="str">
        <f t="shared" si="4"/>
        <v/>
      </c>
      <c r="C30" s="34"/>
      <c r="D30" s="34"/>
      <c r="E30" s="34"/>
      <c r="F30" s="34"/>
      <c r="G30" s="169"/>
      <c r="H30" s="181">
        <v>25</v>
      </c>
      <c r="I30" s="182" t="str">
        <f t="shared" si="0"/>
        <v/>
      </c>
      <c r="J30" s="181" t="e">
        <f t="shared" si="5"/>
        <v>#NUM!</v>
      </c>
      <c r="K30" s="181" t="e">
        <f t="shared" si="1"/>
        <v>#NUM!</v>
      </c>
      <c r="L30" s="181"/>
      <c r="M30" s="183">
        <f t="shared" si="2"/>
        <v>0</v>
      </c>
    </row>
    <row r="31" spans="1:19" x14ac:dyDescent="0.25">
      <c r="A31" s="101">
        <f t="shared" si="3"/>
        <v>0</v>
      </c>
      <c r="B31" s="39" t="str">
        <f t="shared" si="4"/>
        <v/>
      </c>
      <c r="C31" s="40"/>
      <c r="D31" s="40"/>
      <c r="E31" s="40"/>
      <c r="F31" s="40"/>
      <c r="G31" s="169"/>
      <c r="H31" s="184">
        <v>26</v>
      </c>
      <c r="I31" s="185" t="str">
        <f t="shared" si="0"/>
        <v/>
      </c>
      <c r="J31" s="184" t="e">
        <f t="shared" si="5"/>
        <v>#NUM!</v>
      </c>
      <c r="K31" s="184" t="e">
        <f t="shared" si="1"/>
        <v>#NUM!</v>
      </c>
      <c r="L31" s="184"/>
      <c r="M31" s="186">
        <f t="shared" si="2"/>
        <v>0</v>
      </c>
    </row>
    <row r="32" spans="1:19" x14ac:dyDescent="0.25">
      <c r="A32" s="97">
        <f t="shared" si="3"/>
        <v>0</v>
      </c>
      <c r="B32" s="33" t="str">
        <f t="shared" si="4"/>
        <v/>
      </c>
      <c r="C32" s="34"/>
      <c r="D32" s="34"/>
      <c r="E32" s="34"/>
      <c r="F32" s="34"/>
      <c r="G32" s="169"/>
      <c r="H32" s="181">
        <v>27</v>
      </c>
      <c r="I32" s="182" t="str">
        <f t="shared" si="0"/>
        <v/>
      </c>
      <c r="J32" s="181" t="e">
        <f t="shared" si="5"/>
        <v>#NUM!</v>
      </c>
      <c r="K32" s="181" t="e">
        <f t="shared" si="1"/>
        <v>#NUM!</v>
      </c>
      <c r="L32" s="181"/>
      <c r="M32" s="183">
        <f t="shared" si="2"/>
        <v>0</v>
      </c>
      <c r="R32" s="194"/>
      <c r="S32" s="195"/>
    </row>
    <row r="33" spans="1:21" x14ac:dyDescent="0.25">
      <c r="A33" s="101">
        <f t="shared" si="3"/>
        <v>0</v>
      </c>
      <c r="B33" s="39" t="str">
        <f t="shared" si="4"/>
        <v/>
      </c>
      <c r="C33" s="40"/>
      <c r="D33" s="40"/>
      <c r="E33" s="40"/>
      <c r="F33" s="40"/>
      <c r="G33" s="169"/>
      <c r="H33" s="184">
        <v>28</v>
      </c>
      <c r="I33" s="185" t="str">
        <f t="shared" si="0"/>
        <v/>
      </c>
      <c r="J33" s="184" t="e">
        <f t="shared" si="5"/>
        <v>#NUM!</v>
      </c>
      <c r="K33" s="184" t="e">
        <f t="shared" si="1"/>
        <v>#NUM!</v>
      </c>
      <c r="L33" s="184"/>
      <c r="M33" s="186">
        <f t="shared" si="2"/>
        <v>0</v>
      </c>
    </row>
    <row r="34" spans="1:21" x14ac:dyDescent="0.25">
      <c r="A34" s="97">
        <f t="shared" si="3"/>
        <v>0</v>
      </c>
      <c r="B34" s="33" t="str">
        <f t="shared" si="4"/>
        <v/>
      </c>
      <c r="C34" s="34"/>
      <c r="D34" s="34"/>
      <c r="E34" s="34"/>
      <c r="F34" s="34"/>
      <c r="G34" s="169"/>
      <c r="H34" s="181">
        <v>29</v>
      </c>
      <c r="I34" s="182" t="str">
        <f t="shared" si="0"/>
        <v/>
      </c>
      <c r="J34" s="181" t="e">
        <f t="shared" si="5"/>
        <v>#NUM!</v>
      </c>
      <c r="K34" s="181" t="e">
        <f t="shared" si="1"/>
        <v>#NUM!</v>
      </c>
      <c r="L34" s="181"/>
      <c r="M34" s="183">
        <f t="shared" si="2"/>
        <v>0</v>
      </c>
    </row>
    <row r="35" spans="1:21" x14ac:dyDescent="0.25">
      <c r="A35" s="101">
        <f t="shared" si="3"/>
        <v>0</v>
      </c>
      <c r="B35" s="39" t="str">
        <f t="shared" si="4"/>
        <v/>
      </c>
      <c r="C35" s="40"/>
      <c r="D35" s="40"/>
      <c r="E35" s="40"/>
      <c r="F35" s="40"/>
      <c r="G35" s="169"/>
      <c r="H35" s="184">
        <v>30</v>
      </c>
      <c r="I35" s="185" t="str">
        <f t="shared" si="0"/>
        <v/>
      </c>
      <c r="J35" s="184" t="e">
        <f t="shared" si="5"/>
        <v>#NUM!</v>
      </c>
      <c r="K35" s="184" t="e">
        <f t="shared" si="1"/>
        <v>#NUM!</v>
      </c>
      <c r="L35" s="184"/>
      <c r="M35" s="186">
        <f t="shared" si="2"/>
        <v>0</v>
      </c>
    </row>
    <row r="36" spans="1:21" x14ac:dyDescent="0.25">
      <c r="A36" s="97">
        <f t="shared" si="3"/>
        <v>0</v>
      </c>
      <c r="B36" s="33" t="str">
        <f t="shared" si="4"/>
        <v/>
      </c>
      <c r="C36" s="34"/>
      <c r="D36" s="34"/>
      <c r="E36" s="34"/>
      <c r="F36" s="34"/>
      <c r="G36" s="169"/>
      <c r="H36" s="181">
        <v>31</v>
      </c>
      <c r="I36" s="182" t="str">
        <f t="shared" si="0"/>
        <v/>
      </c>
      <c r="J36" s="181" t="e">
        <f t="shared" si="5"/>
        <v>#NUM!</v>
      </c>
      <c r="K36" s="181" t="e">
        <f t="shared" si="1"/>
        <v>#NUM!</v>
      </c>
      <c r="L36" s="181"/>
      <c r="M36" s="183">
        <f t="shared" si="2"/>
        <v>0</v>
      </c>
      <c r="R36" s="194"/>
      <c r="S36" s="195"/>
    </row>
    <row r="37" spans="1:21" x14ac:dyDescent="0.25">
      <c r="A37" s="101">
        <f t="shared" si="3"/>
        <v>0</v>
      </c>
      <c r="B37" s="39" t="str">
        <f t="shared" si="4"/>
        <v/>
      </c>
      <c r="C37" s="40"/>
      <c r="D37" s="40"/>
      <c r="E37" s="40"/>
      <c r="F37" s="40"/>
      <c r="G37" s="169"/>
      <c r="H37" s="184">
        <v>32</v>
      </c>
      <c r="I37" s="185" t="str">
        <f t="shared" si="0"/>
        <v/>
      </c>
      <c r="J37" s="184" t="e">
        <f t="shared" si="5"/>
        <v>#NUM!</v>
      </c>
      <c r="K37" s="184" t="e">
        <f t="shared" si="1"/>
        <v>#NUM!</v>
      </c>
      <c r="L37" s="184"/>
      <c r="M37" s="186">
        <f t="shared" si="2"/>
        <v>0</v>
      </c>
    </row>
    <row r="38" spans="1:21" x14ac:dyDescent="0.25">
      <c r="A38" s="97"/>
      <c r="B38" s="33" t="str">
        <f t="shared" si="4"/>
        <v/>
      </c>
      <c r="C38" s="34"/>
      <c r="D38" s="34"/>
      <c r="E38" s="34"/>
      <c r="F38" s="34"/>
      <c r="G38" s="169"/>
      <c r="H38" s="181">
        <v>33</v>
      </c>
      <c r="I38" s="182" t="str">
        <f t="shared" si="0"/>
        <v/>
      </c>
      <c r="J38" s="181" t="e">
        <f t="shared" si="5"/>
        <v>#NUM!</v>
      </c>
      <c r="K38" s="181" t="e">
        <f t="shared" si="1"/>
        <v>#NUM!</v>
      </c>
      <c r="L38" s="181"/>
      <c r="M38" s="183">
        <f t="shared" si="2"/>
        <v>0</v>
      </c>
    </row>
    <row r="39" spans="1:21" x14ac:dyDescent="0.25">
      <c r="A39" s="101"/>
      <c r="B39" s="39" t="str">
        <f t="shared" si="4"/>
        <v/>
      </c>
      <c r="C39" s="40"/>
      <c r="D39" s="40"/>
      <c r="E39" s="40"/>
      <c r="F39" s="40"/>
      <c r="G39" s="169"/>
      <c r="H39" s="184">
        <v>34</v>
      </c>
      <c r="I39" s="185" t="str">
        <f t="shared" si="0"/>
        <v/>
      </c>
      <c r="J39" s="184" t="e">
        <f t="shared" si="5"/>
        <v>#NUM!</v>
      </c>
      <c r="K39" s="184" t="e">
        <f t="shared" si="1"/>
        <v>#NUM!</v>
      </c>
      <c r="L39" s="184"/>
      <c r="M39" s="186">
        <f t="shared" si="2"/>
        <v>0</v>
      </c>
    </row>
    <row r="40" spans="1:21" x14ac:dyDescent="0.25">
      <c r="A40" s="97"/>
      <c r="B40" s="33" t="str">
        <f t="shared" si="4"/>
        <v/>
      </c>
      <c r="C40" s="34"/>
      <c r="D40" s="34"/>
      <c r="E40" s="34"/>
      <c r="F40" s="34"/>
      <c r="G40" s="169"/>
      <c r="H40" s="181">
        <v>35</v>
      </c>
      <c r="I40" s="182" t="str">
        <f t="shared" si="0"/>
        <v/>
      </c>
      <c r="J40" s="181" t="e">
        <f t="shared" si="5"/>
        <v>#NUM!</v>
      </c>
      <c r="K40" s="181" t="e">
        <f t="shared" si="1"/>
        <v>#NUM!</v>
      </c>
      <c r="L40" s="181"/>
      <c r="M40" s="183">
        <f t="shared" si="2"/>
        <v>0</v>
      </c>
    </row>
    <row r="41" spans="1:21" x14ac:dyDescent="0.25">
      <c r="A41" s="101"/>
      <c r="B41" s="39" t="str">
        <f t="shared" si="4"/>
        <v/>
      </c>
      <c r="C41" s="40"/>
      <c r="D41" s="40"/>
      <c r="E41" s="40"/>
      <c r="F41" s="40"/>
      <c r="G41" s="169"/>
      <c r="H41" s="184">
        <v>36</v>
      </c>
      <c r="I41" s="185" t="str">
        <f t="shared" si="0"/>
        <v/>
      </c>
      <c r="J41" s="184" t="e">
        <f t="shared" si="5"/>
        <v>#NUM!</v>
      </c>
      <c r="K41" s="184" t="e">
        <f t="shared" si="1"/>
        <v>#NUM!</v>
      </c>
      <c r="L41" s="184"/>
      <c r="M41" s="186">
        <f t="shared" si="2"/>
        <v>0</v>
      </c>
      <c r="S41" s="196"/>
    </row>
    <row r="42" spans="1:21" x14ac:dyDescent="0.25">
      <c r="A42" s="97"/>
      <c r="B42" s="33" t="str">
        <f t="shared" si="4"/>
        <v/>
      </c>
      <c r="C42" s="34"/>
      <c r="D42" s="34"/>
      <c r="E42" s="34"/>
      <c r="F42" s="34"/>
      <c r="G42" s="169"/>
      <c r="H42" s="181">
        <v>37</v>
      </c>
      <c r="I42" s="182" t="str">
        <f t="shared" si="0"/>
        <v/>
      </c>
      <c r="J42" s="181" t="e">
        <f t="shared" si="5"/>
        <v>#NUM!</v>
      </c>
      <c r="K42" s="181" t="e">
        <f t="shared" si="1"/>
        <v>#NUM!</v>
      </c>
      <c r="L42" s="181"/>
      <c r="M42" s="183">
        <f t="shared" si="2"/>
        <v>0</v>
      </c>
    </row>
    <row r="43" spans="1:21" x14ac:dyDescent="0.25">
      <c r="A43" s="101"/>
      <c r="B43" s="39" t="str">
        <f t="shared" si="4"/>
        <v/>
      </c>
      <c r="C43" s="40"/>
      <c r="D43" s="40"/>
      <c r="E43" s="40"/>
      <c r="F43" s="40"/>
      <c r="G43" s="169"/>
      <c r="H43" s="184">
        <v>38</v>
      </c>
      <c r="I43" s="185" t="str">
        <f t="shared" si="0"/>
        <v/>
      </c>
      <c r="J43" s="184" t="e">
        <f t="shared" si="5"/>
        <v>#NUM!</v>
      </c>
      <c r="K43" s="184" t="e">
        <f t="shared" si="1"/>
        <v>#NUM!</v>
      </c>
      <c r="L43" s="184"/>
      <c r="M43" s="186">
        <f t="shared" si="2"/>
        <v>0</v>
      </c>
    </row>
    <row r="44" spans="1:21" x14ac:dyDescent="0.25">
      <c r="A44" s="97"/>
      <c r="B44" s="33" t="str">
        <f t="shared" si="4"/>
        <v/>
      </c>
      <c r="C44" s="34"/>
      <c r="D44" s="34"/>
      <c r="E44" s="34"/>
      <c r="F44" s="34"/>
      <c r="G44" s="169"/>
      <c r="H44" s="181">
        <v>39</v>
      </c>
      <c r="I44" s="182" t="str">
        <f t="shared" si="0"/>
        <v/>
      </c>
      <c r="J44" s="181" t="e">
        <f t="shared" si="5"/>
        <v>#NUM!</v>
      </c>
      <c r="K44" s="181" t="e">
        <f t="shared" si="1"/>
        <v>#NUM!</v>
      </c>
      <c r="L44" s="181"/>
      <c r="M44" s="183">
        <f t="shared" si="2"/>
        <v>0</v>
      </c>
    </row>
    <row r="45" spans="1:21" x14ac:dyDescent="0.25">
      <c r="A45" s="101"/>
      <c r="B45" s="39" t="str">
        <f t="shared" si="4"/>
        <v/>
      </c>
      <c r="C45" s="40"/>
      <c r="D45" s="40"/>
      <c r="E45" s="40"/>
      <c r="F45" s="40"/>
      <c r="G45" s="169"/>
      <c r="H45" s="184">
        <v>40</v>
      </c>
      <c r="I45" s="185" t="str">
        <f t="shared" si="0"/>
        <v/>
      </c>
      <c r="J45" s="184" t="e">
        <f t="shared" si="5"/>
        <v>#NUM!</v>
      </c>
      <c r="K45" s="184" t="e">
        <f t="shared" si="1"/>
        <v>#NUM!</v>
      </c>
      <c r="L45" s="184"/>
      <c r="M45" s="186">
        <f t="shared" si="2"/>
        <v>0</v>
      </c>
    </row>
    <row r="46" spans="1:21" x14ac:dyDescent="0.25">
      <c r="A46" s="97"/>
      <c r="B46" s="33" t="str">
        <f t="shared" si="4"/>
        <v/>
      </c>
      <c r="C46" s="34"/>
      <c r="D46" s="34"/>
      <c r="E46" s="34"/>
      <c r="F46" s="34"/>
      <c r="G46" s="169"/>
      <c r="H46" s="181">
        <v>41</v>
      </c>
      <c r="I46" s="182" t="str">
        <f t="shared" si="0"/>
        <v/>
      </c>
      <c r="J46" s="181" t="e">
        <f t="shared" si="5"/>
        <v>#NUM!</v>
      </c>
      <c r="K46" s="181" t="e">
        <f t="shared" si="1"/>
        <v>#NUM!</v>
      </c>
      <c r="L46" s="181"/>
      <c r="M46" s="183">
        <f t="shared" si="2"/>
        <v>0</v>
      </c>
      <c r="R46" s="169" t="e">
        <f>LOG($H$2,2)</f>
        <v>#NUM!</v>
      </c>
      <c r="T46" s="174">
        <f>LOG(H38,2)</f>
        <v>5.0443941193584534</v>
      </c>
      <c r="U46" s="174" t="e">
        <f>R46-T46</f>
        <v>#NUM!</v>
      </c>
    </row>
    <row r="47" spans="1:21" x14ac:dyDescent="0.25">
      <c r="A47" s="101"/>
      <c r="B47" s="39" t="str">
        <f t="shared" si="4"/>
        <v/>
      </c>
      <c r="C47" s="40"/>
      <c r="D47" s="40"/>
      <c r="E47" s="40"/>
      <c r="F47" s="40"/>
      <c r="G47" s="169"/>
      <c r="H47" s="184">
        <v>42</v>
      </c>
      <c r="I47" s="185" t="str">
        <f t="shared" si="0"/>
        <v/>
      </c>
      <c r="J47" s="184" t="e">
        <f t="shared" si="5"/>
        <v>#NUM!</v>
      </c>
      <c r="K47" s="184" t="e">
        <f t="shared" si="1"/>
        <v>#NUM!</v>
      </c>
      <c r="L47" s="184"/>
      <c r="M47" s="186">
        <f t="shared" si="2"/>
        <v>0</v>
      </c>
    </row>
    <row r="48" spans="1:21" x14ac:dyDescent="0.25">
      <c r="A48" s="97"/>
      <c r="B48" s="33" t="str">
        <f t="shared" si="4"/>
        <v/>
      </c>
      <c r="C48" s="34"/>
      <c r="D48" s="34"/>
      <c r="E48" s="34"/>
      <c r="F48" s="34"/>
      <c r="G48" s="169"/>
      <c r="H48" s="181">
        <v>43</v>
      </c>
      <c r="I48" s="182" t="str">
        <f t="shared" si="0"/>
        <v/>
      </c>
      <c r="J48" s="181" t="e">
        <f t="shared" si="5"/>
        <v>#NUM!</v>
      </c>
      <c r="K48" s="181" t="e">
        <f t="shared" si="1"/>
        <v>#NUM!</v>
      </c>
      <c r="L48" s="181"/>
      <c r="M48" s="183">
        <f t="shared" si="2"/>
        <v>0</v>
      </c>
    </row>
    <row r="49" spans="1:13" x14ac:dyDescent="0.25">
      <c r="A49" s="101"/>
      <c r="B49" s="39" t="str">
        <f t="shared" si="4"/>
        <v/>
      </c>
      <c r="C49" s="40"/>
      <c r="D49" s="40"/>
      <c r="E49" s="40"/>
      <c r="F49" s="40"/>
      <c r="G49" s="169"/>
      <c r="H49" s="184">
        <v>44</v>
      </c>
      <c r="I49" s="185" t="str">
        <f t="shared" si="0"/>
        <v/>
      </c>
      <c r="J49" s="184" t="e">
        <f t="shared" si="5"/>
        <v>#NUM!</v>
      </c>
      <c r="K49" s="184" t="e">
        <f t="shared" si="1"/>
        <v>#NUM!</v>
      </c>
      <c r="L49" s="184"/>
      <c r="M49" s="186">
        <f t="shared" si="2"/>
        <v>0</v>
      </c>
    </row>
    <row r="50" spans="1:13" x14ac:dyDescent="0.25">
      <c r="A50" s="97"/>
      <c r="B50" s="33" t="str">
        <f t="shared" si="4"/>
        <v/>
      </c>
      <c r="C50" s="34"/>
      <c r="D50" s="34"/>
      <c r="E50" s="34"/>
      <c r="F50" s="34"/>
      <c r="G50" s="169"/>
      <c r="H50" s="181">
        <v>45</v>
      </c>
      <c r="I50" s="182" t="str">
        <f t="shared" si="0"/>
        <v/>
      </c>
      <c r="J50" s="181" t="e">
        <f t="shared" si="5"/>
        <v>#NUM!</v>
      </c>
      <c r="K50" s="181" t="e">
        <f t="shared" si="1"/>
        <v>#NUM!</v>
      </c>
      <c r="L50" s="181"/>
      <c r="M50" s="183">
        <f t="shared" si="2"/>
        <v>0</v>
      </c>
    </row>
    <row r="51" spans="1:13" x14ac:dyDescent="0.25">
      <c r="A51" s="101"/>
      <c r="B51" s="39" t="str">
        <f t="shared" si="4"/>
        <v/>
      </c>
      <c r="C51" s="40"/>
      <c r="D51" s="40"/>
      <c r="E51" s="40"/>
      <c r="F51" s="40"/>
      <c r="G51" s="169"/>
      <c r="H51" s="184">
        <v>46</v>
      </c>
      <c r="I51" s="185" t="str">
        <f t="shared" si="0"/>
        <v/>
      </c>
      <c r="J51" s="184" t="e">
        <f t="shared" si="5"/>
        <v>#NUM!</v>
      </c>
      <c r="K51" s="184" t="e">
        <f t="shared" si="1"/>
        <v>#NUM!</v>
      </c>
      <c r="L51" s="184"/>
      <c r="M51" s="186">
        <f t="shared" si="2"/>
        <v>0</v>
      </c>
    </row>
    <row r="52" spans="1:13" x14ac:dyDescent="0.25">
      <c r="A52" s="97"/>
      <c r="B52" s="33" t="str">
        <f t="shared" si="4"/>
        <v/>
      </c>
      <c r="C52" s="34"/>
      <c r="D52" s="34"/>
      <c r="E52" s="34"/>
      <c r="F52" s="34"/>
      <c r="G52" s="169"/>
      <c r="H52" s="181">
        <v>47</v>
      </c>
      <c r="I52" s="182" t="str">
        <f t="shared" si="0"/>
        <v/>
      </c>
      <c r="J52" s="181" t="e">
        <f t="shared" si="5"/>
        <v>#NUM!</v>
      </c>
      <c r="K52" s="181" t="e">
        <f t="shared" si="1"/>
        <v>#NUM!</v>
      </c>
      <c r="L52" s="181"/>
      <c r="M52" s="183">
        <f t="shared" si="2"/>
        <v>0</v>
      </c>
    </row>
    <row r="53" spans="1:13" x14ac:dyDescent="0.25">
      <c r="A53" s="101"/>
      <c r="B53" s="39" t="str">
        <f t="shared" si="4"/>
        <v/>
      </c>
      <c r="C53" s="40"/>
      <c r="D53" s="40"/>
      <c r="E53" s="40"/>
      <c r="F53" s="40"/>
      <c r="G53" s="169"/>
      <c r="H53" s="184">
        <v>48</v>
      </c>
      <c r="I53" s="185" t="str">
        <f t="shared" si="0"/>
        <v/>
      </c>
      <c r="J53" s="184" t="e">
        <f t="shared" si="5"/>
        <v>#NUM!</v>
      </c>
      <c r="K53" s="184" t="e">
        <f t="shared" si="1"/>
        <v>#NUM!</v>
      </c>
      <c r="L53" s="184"/>
      <c r="M53" s="186">
        <f t="shared" si="2"/>
        <v>0</v>
      </c>
    </row>
    <row r="54" spans="1:13" x14ac:dyDescent="0.25">
      <c r="A54" s="97"/>
      <c r="B54" s="33" t="str">
        <f t="shared" si="4"/>
        <v/>
      </c>
      <c r="C54" s="34"/>
      <c r="D54" s="34"/>
      <c r="E54" s="34"/>
      <c r="F54" s="34"/>
      <c r="G54" s="169"/>
      <c r="H54" s="181">
        <v>49</v>
      </c>
      <c r="I54" s="182" t="str">
        <f t="shared" si="0"/>
        <v/>
      </c>
      <c r="J54" s="181" t="e">
        <f t="shared" si="5"/>
        <v>#NUM!</v>
      </c>
      <c r="K54" s="181" t="e">
        <f t="shared" si="1"/>
        <v>#NUM!</v>
      </c>
      <c r="L54" s="181"/>
      <c r="M54" s="183">
        <f t="shared" si="2"/>
        <v>0</v>
      </c>
    </row>
    <row r="55" spans="1:13" x14ac:dyDescent="0.25">
      <c r="A55" s="101"/>
      <c r="B55" s="39" t="str">
        <f t="shared" si="4"/>
        <v/>
      </c>
      <c r="C55" s="40"/>
      <c r="D55" s="40"/>
      <c r="E55" s="40"/>
      <c r="F55" s="40"/>
      <c r="G55" s="169"/>
      <c r="H55" s="184">
        <v>50</v>
      </c>
      <c r="I55" s="185" t="str">
        <f t="shared" si="0"/>
        <v/>
      </c>
      <c r="J55" s="184" t="e">
        <f t="shared" si="5"/>
        <v>#NUM!</v>
      </c>
      <c r="K55" s="184" t="e">
        <f t="shared" si="1"/>
        <v>#NUM!</v>
      </c>
      <c r="L55" s="184"/>
      <c r="M55" s="186">
        <f t="shared" si="2"/>
        <v>0</v>
      </c>
    </row>
    <row r="56" spans="1:13" x14ac:dyDescent="0.25">
      <c r="A56" s="97"/>
      <c r="B56" s="33" t="str">
        <f t="shared" si="4"/>
        <v/>
      </c>
      <c r="C56" s="34"/>
      <c r="D56" s="34"/>
      <c r="E56" s="34"/>
      <c r="F56" s="34"/>
      <c r="G56" s="169"/>
      <c r="H56" s="181">
        <v>51</v>
      </c>
      <c r="I56" s="182" t="str">
        <f t="shared" si="0"/>
        <v/>
      </c>
      <c r="J56" s="181" t="e">
        <f t="shared" si="5"/>
        <v>#NUM!</v>
      </c>
      <c r="K56" s="181" t="e">
        <f t="shared" si="1"/>
        <v>#NUM!</v>
      </c>
      <c r="L56" s="181"/>
      <c r="M56" s="183">
        <f t="shared" si="2"/>
        <v>0</v>
      </c>
    </row>
    <row r="57" spans="1:13" x14ac:dyDescent="0.25">
      <c r="A57" s="101"/>
      <c r="B57" s="39" t="str">
        <f t="shared" si="4"/>
        <v/>
      </c>
      <c r="C57" s="40"/>
      <c r="D57" s="40"/>
      <c r="E57" s="40"/>
      <c r="F57" s="40"/>
      <c r="G57" s="169"/>
      <c r="H57" s="184">
        <v>52</v>
      </c>
      <c r="I57" s="185" t="str">
        <f t="shared" si="0"/>
        <v/>
      </c>
      <c r="J57" s="184" t="e">
        <f t="shared" si="5"/>
        <v>#NUM!</v>
      </c>
      <c r="K57" s="184" t="e">
        <f t="shared" si="1"/>
        <v>#NUM!</v>
      </c>
      <c r="L57" s="184"/>
      <c r="M57" s="186">
        <f t="shared" si="2"/>
        <v>0</v>
      </c>
    </row>
    <row r="58" spans="1:13" x14ac:dyDescent="0.25">
      <c r="A58" s="97"/>
      <c r="B58" s="33" t="str">
        <f t="shared" si="4"/>
        <v/>
      </c>
      <c r="C58" s="34"/>
      <c r="D58" s="34"/>
      <c r="E58" s="34"/>
      <c r="F58" s="34"/>
      <c r="G58" s="169"/>
      <c r="H58" s="181">
        <v>53</v>
      </c>
      <c r="I58" s="182" t="str">
        <f t="shared" si="0"/>
        <v/>
      </c>
      <c r="J58" s="181" t="e">
        <f t="shared" si="5"/>
        <v>#NUM!</v>
      </c>
      <c r="K58" s="181" t="e">
        <f t="shared" si="1"/>
        <v>#NUM!</v>
      </c>
      <c r="L58" s="181"/>
      <c r="M58" s="183">
        <f t="shared" si="2"/>
        <v>0</v>
      </c>
    </row>
    <row r="59" spans="1:13" x14ac:dyDescent="0.25">
      <c r="A59" s="101"/>
      <c r="B59" s="39" t="str">
        <f t="shared" si="4"/>
        <v/>
      </c>
      <c r="C59" s="40"/>
      <c r="D59" s="40"/>
      <c r="E59" s="40"/>
      <c r="F59" s="40"/>
      <c r="G59" s="169"/>
      <c r="H59" s="184">
        <v>54</v>
      </c>
      <c r="I59" s="185" t="str">
        <f t="shared" si="0"/>
        <v/>
      </c>
      <c r="J59" s="184" t="e">
        <f t="shared" si="5"/>
        <v>#NUM!</v>
      </c>
      <c r="K59" s="184" t="e">
        <f t="shared" si="1"/>
        <v>#NUM!</v>
      </c>
      <c r="L59" s="184"/>
      <c r="M59" s="186">
        <f t="shared" si="2"/>
        <v>0</v>
      </c>
    </row>
    <row r="60" spans="1:13" x14ac:dyDescent="0.25">
      <c r="A60" s="97"/>
      <c r="B60" s="33" t="str">
        <f t="shared" si="4"/>
        <v/>
      </c>
      <c r="C60" s="34"/>
      <c r="D60" s="34"/>
      <c r="E60" s="34"/>
      <c r="F60" s="34"/>
      <c r="G60" s="169"/>
      <c r="H60" s="181">
        <v>55</v>
      </c>
      <c r="I60" s="182" t="str">
        <f t="shared" si="0"/>
        <v/>
      </c>
      <c r="J60" s="181" t="e">
        <f t="shared" si="5"/>
        <v>#NUM!</v>
      </c>
      <c r="K60" s="181" t="e">
        <f t="shared" si="1"/>
        <v>#NUM!</v>
      </c>
      <c r="L60" s="181"/>
      <c r="M60" s="183">
        <f t="shared" si="2"/>
        <v>0</v>
      </c>
    </row>
    <row r="61" spans="1:13" x14ac:dyDescent="0.25">
      <c r="A61" s="101"/>
      <c r="B61" s="39" t="str">
        <f t="shared" si="4"/>
        <v/>
      </c>
      <c r="C61" s="40"/>
      <c r="D61" s="40"/>
      <c r="E61" s="40"/>
      <c r="F61" s="40"/>
      <c r="G61" s="169"/>
      <c r="H61" s="184">
        <v>56</v>
      </c>
      <c r="I61" s="185" t="str">
        <f t="shared" si="0"/>
        <v/>
      </c>
      <c r="J61" s="184" t="e">
        <f t="shared" si="5"/>
        <v>#NUM!</v>
      </c>
      <c r="K61" s="184" t="e">
        <f t="shared" si="1"/>
        <v>#NUM!</v>
      </c>
      <c r="L61" s="184"/>
      <c r="M61" s="186">
        <f t="shared" si="2"/>
        <v>0</v>
      </c>
    </row>
    <row r="62" spans="1:13" x14ac:dyDescent="0.25">
      <c r="A62" s="97"/>
      <c r="B62" s="33" t="str">
        <f t="shared" si="4"/>
        <v/>
      </c>
      <c r="C62" s="34"/>
      <c r="D62" s="34"/>
      <c r="E62" s="34"/>
      <c r="F62" s="34"/>
      <c r="G62" s="169"/>
      <c r="H62" s="181">
        <v>57</v>
      </c>
      <c r="I62" s="182" t="str">
        <f t="shared" si="0"/>
        <v/>
      </c>
      <c r="J62" s="181" t="e">
        <f t="shared" si="5"/>
        <v>#NUM!</v>
      </c>
      <c r="K62" s="181" t="e">
        <f t="shared" si="1"/>
        <v>#NUM!</v>
      </c>
      <c r="L62" s="181"/>
      <c r="M62" s="183">
        <f t="shared" si="2"/>
        <v>0</v>
      </c>
    </row>
    <row r="63" spans="1:13" x14ac:dyDescent="0.25">
      <c r="A63" s="101"/>
      <c r="B63" s="39" t="str">
        <f t="shared" si="4"/>
        <v/>
      </c>
      <c r="C63" s="40"/>
      <c r="D63" s="40"/>
      <c r="E63" s="40"/>
      <c r="F63" s="40"/>
      <c r="G63" s="169"/>
      <c r="H63" s="184">
        <v>58</v>
      </c>
      <c r="I63" s="185" t="str">
        <f t="shared" si="0"/>
        <v/>
      </c>
      <c r="J63" s="184" t="e">
        <f t="shared" si="5"/>
        <v>#NUM!</v>
      </c>
      <c r="K63" s="184" t="e">
        <f t="shared" si="1"/>
        <v>#NUM!</v>
      </c>
      <c r="L63" s="184"/>
      <c r="M63" s="186">
        <f t="shared" si="2"/>
        <v>0</v>
      </c>
    </row>
    <row r="64" spans="1:13" x14ac:dyDescent="0.25">
      <c r="A64" s="97"/>
      <c r="B64" s="33" t="str">
        <f t="shared" si="4"/>
        <v/>
      </c>
      <c r="C64" s="34"/>
      <c r="D64" s="34"/>
      <c r="E64" s="34"/>
      <c r="F64" s="34"/>
      <c r="G64" s="169"/>
      <c r="H64" s="181">
        <v>59</v>
      </c>
      <c r="I64" s="182" t="str">
        <f t="shared" si="0"/>
        <v/>
      </c>
      <c r="J64" s="181" t="e">
        <f t="shared" si="5"/>
        <v>#NUM!</v>
      </c>
      <c r="K64" s="181" t="e">
        <f t="shared" si="1"/>
        <v>#NUM!</v>
      </c>
      <c r="L64" s="181"/>
      <c r="M64" s="183">
        <f t="shared" si="2"/>
        <v>0</v>
      </c>
    </row>
    <row r="65" spans="1:13" x14ac:dyDescent="0.25">
      <c r="A65" s="101"/>
      <c r="B65" s="39" t="str">
        <f t="shared" si="4"/>
        <v/>
      </c>
      <c r="C65" s="40"/>
      <c r="D65" s="40"/>
      <c r="E65" s="40"/>
      <c r="F65" s="40"/>
      <c r="G65" s="169"/>
      <c r="H65" s="184">
        <v>60</v>
      </c>
      <c r="I65" s="185" t="str">
        <f t="shared" si="0"/>
        <v/>
      </c>
      <c r="J65" s="184" t="e">
        <f t="shared" si="5"/>
        <v>#NUM!</v>
      </c>
      <c r="K65" s="184" t="e">
        <f t="shared" si="1"/>
        <v>#NUM!</v>
      </c>
      <c r="L65" s="184"/>
      <c r="M65" s="186">
        <f t="shared" si="2"/>
        <v>0</v>
      </c>
    </row>
    <row r="66" spans="1:13" x14ac:dyDescent="0.25">
      <c r="A66" s="206"/>
      <c r="B66" s="33"/>
      <c r="G66" s="169"/>
      <c r="H66" s="181">
        <v>61</v>
      </c>
      <c r="I66" s="182" t="str">
        <f t="shared" si="0"/>
        <v/>
      </c>
      <c r="J66" s="181" t="e">
        <f t="shared" si="5"/>
        <v>#NUM!</v>
      </c>
      <c r="K66" s="181" t="e">
        <f t="shared" si="1"/>
        <v>#NUM!</v>
      </c>
      <c r="L66" s="181"/>
      <c r="M66" s="183">
        <f t="shared" si="2"/>
        <v>0</v>
      </c>
    </row>
    <row r="67" spans="1:13" x14ac:dyDescent="0.25">
      <c r="A67" s="206"/>
      <c r="B67" s="39"/>
      <c r="G67" s="169"/>
      <c r="H67" s="181">
        <v>62</v>
      </c>
      <c r="I67" s="182" t="str">
        <f t="shared" si="0"/>
        <v/>
      </c>
      <c r="J67" s="181" t="e">
        <f t="shared" si="5"/>
        <v>#NUM!</v>
      </c>
      <c r="K67" s="181" t="e">
        <f t="shared" si="1"/>
        <v>#NUM!</v>
      </c>
      <c r="L67" s="181"/>
      <c r="M67" s="183">
        <f t="shared" si="2"/>
        <v>0</v>
      </c>
    </row>
    <row r="68" spans="1:13" x14ac:dyDescent="0.25">
      <c r="A68" s="206"/>
      <c r="B68" s="33"/>
      <c r="G68" s="169"/>
      <c r="H68" s="181">
        <v>63</v>
      </c>
      <c r="I68" s="182" t="str">
        <f t="shared" si="0"/>
        <v/>
      </c>
      <c r="J68" s="181" t="e">
        <f t="shared" si="5"/>
        <v>#NUM!</v>
      </c>
      <c r="K68" s="181" t="e">
        <f t="shared" si="1"/>
        <v>#NUM!</v>
      </c>
      <c r="L68" s="181"/>
      <c r="M68" s="183">
        <f t="shared" si="2"/>
        <v>0</v>
      </c>
    </row>
    <row r="69" spans="1:13" x14ac:dyDescent="0.25">
      <c r="A69" s="206"/>
      <c r="B69" s="39"/>
      <c r="G69" s="169"/>
      <c r="H69" s="181">
        <v>64</v>
      </c>
      <c r="I69" s="182" t="str">
        <f t="shared" si="0"/>
        <v/>
      </c>
      <c r="J69" s="181" t="e">
        <f t="shared" si="5"/>
        <v>#NUM!</v>
      </c>
      <c r="K69" s="181" t="e">
        <f t="shared" si="1"/>
        <v>#NUM!</v>
      </c>
      <c r="L69" s="181"/>
      <c r="M69" s="183">
        <f t="shared" si="2"/>
        <v>0</v>
      </c>
    </row>
    <row r="70" spans="1:13" x14ac:dyDescent="0.25">
      <c r="A70" s="206"/>
      <c r="G70" s="169"/>
      <c r="H70" s="181">
        <v>65</v>
      </c>
      <c r="I70" s="182" t="str">
        <f t="shared" ref="I70:I133" si="6">IF(H70&lt;$H$2+1,($I$2-($I$2-1)*(LOG(H70)/LOG($H$2))),"")</f>
        <v/>
      </c>
      <c r="J70" s="181" t="e">
        <f t="shared" si="5"/>
        <v>#NUM!</v>
      </c>
      <c r="K70" s="181" t="e">
        <f t="shared" ref="K70:K133" si="7">J70*$J$2</f>
        <v>#NUM!</v>
      </c>
      <c r="L70" s="181"/>
      <c r="M70" s="183">
        <f t="shared" ref="M70:M133" si="8">IF(I70&lt;&gt;"",K70+I70+L70,0)</f>
        <v>0</v>
      </c>
    </row>
    <row r="71" spans="1:13" x14ac:dyDescent="0.25">
      <c r="A71" s="206"/>
      <c r="G71" s="169"/>
      <c r="H71" s="181">
        <v>66</v>
      </c>
      <c r="I71" s="182" t="str">
        <f t="shared" si="6"/>
        <v/>
      </c>
      <c r="J71" s="181" t="e">
        <f t="shared" ref="J71:J134" si="9">INT(LOG($H$2,2))-ROUNDUP(LOG(H71,2),0)+IF(OR($H$2=1,$H$2=2,$H$2=4,$H$2=8,$H$2=16,$H$2=32,$H$2=64,$H$2=128,$H$2=256),0,1)</f>
        <v>#NUM!</v>
      </c>
      <c r="K71" s="181" t="e">
        <f t="shared" si="7"/>
        <v>#NUM!</v>
      </c>
      <c r="L71" s="181"/>
      <c r="M71" s="183">
        <f t="shared" si="8"/>
        <v>0</v>
      </c>
    </row>
    <row r="72" spans="1:13" x14ac:dyDescent="0.25">
      <c r="A72" s="206"/>
      <c r="G72" s="169"/>
      <c r="H72" s="181">
        <v>67</v>
      </c>
      <c r="I72" s="182" t="str">
        <f t="shared" si="6"/>
        <v/>
      </c>
      <c r="J72" s="181" t="e">
        <f t="shared" si="9"/>
        <v>#NUM!</v>
      </c>
      <c r="K72" s="181" t="e">
        <f t="shared" si="7"/>
        <v>#NUM!</v>
      </c>
      <c r="L72" s="181"/>
      <c r="M72" s="183">
        <f t="shared" si="8"/>
        <v>0</v>
      </c>
    </row>
    <row r="73" spans="1:13" x14ac:dyDescent="0.25">
      <c r="A73" s="206"/>
      <c r="G73" s="169"/>
      <c r="H73" s="181">
        <v>68</v>
      </c>
      <c r="I73" s="182" t="str">
        <f t="shared" si="6"/>
        <v/>
      </c>
      <c r="J73" s="181" t="e">
        <f t="shared" si="9"/>
        <v>#NUM!</v>
      </c>
      <c r="K73" s="181" t="e">
        <f t="shared" si="7"/>
        <v>#NUM!</v>
      </c>
      <c r="L73" s="181"/>
      <c r="M73" s="183">
        <f t="shared" si="8"/>
        <v>0</v>
      </c>
    </row>
    <row r="74" spans="1:13" x14ac:dyDescent="0.25">
      <c r="A74" s="206"/>
      <c r="G74" s="169"/>
      <c r="H74" s="181">
        <v>69</v>
      </c>
      <c r="I74" s="182" t="str">
        <f t="shared" si="6"/>
        <v/>
      </c>
      <c r="J74" s="181" t="e">
        <f t="shared" si="9"/>
        <v>#NUM!</v>
      </c>
      <c r="K74" s="181" t="e">
        <f t="shared" si="7"/>
        <v>#NUM!</v>
      </c>
      <c r="L74" s="181"/>
      <c r="M74" s="183">
        <f t="shared" si="8"/>
        <v>0</v>
      </c>
    </row>
    <row r="75" spans="1:13" x14ac:dyDescent="0.25">
      <c r="A75" s="206"/>
      <c r="G75" s="169"/>
      <c r="H75" s="181">
        <v>70</v>
      </c>
      <c r="I75" s="182" t="str">
        <f t="shared" si="6"/>
        <v/>
      </c>
      <c r="J75" s="181" t="e">
        <f t="shared" si="9"/>
        <v>#NUM!</v>
      </c>
      <c r="K75" s="181" t="e">
        <f t="shared" si="7"/>
        <v>#NUM!</v>
      </c>
      <c r="L75" s="181"/>
      <c r="M75" s="183">
        <f t="shared" si="8"/>
        <v>0</v>
      </c>
    </row>
    <row r="76" spans="1:13" x14ac:dyDescent="0.25">
      <c r="A76" s="206"/>
      <c r="G76" s="169"/>
      <c r="H76" s="181">
        <v>71</v>
      </c>
      <c r="I76" s="182" t="str">
        <f t="shared" si="6"/>
        <v/>
      </c>
      <c r="J76" s="181" t="e">
        <f t="shared" si="9"/>
        <v>#NUM!</v>
      </c>
      <c r="K76" s="181" t="e">
        <f t="shared" si="7"/>
        <v>#NUM!</v>
      </c>
      <c r="L76" s="181"/>
      <c r="M76" s="183">
        <f t="shared" si="8"/>
        <v>0</v>
      </c>
    </row>
    <row r="77" spans="1:13" x14ac:dyDescent="0.25">
      <c r="A77" s="206"/>
      <c r="G77" s="169"/>
      <c r="H77" s="181">
        <v>72</v>
      </c>
      <c r="I77" s="182" t="str">
        <f t="shared" si="6"/>
        <v/>
      </c>
      <c r="J77" s="181" t="e">
        <f t="shared" si="9"/>
        <v>#NUM!</v>
      </c>
      <c r="K77" s="181" t="e">
        <f t="shared" si="7"/>
        <v>#NUM!</v>
      </c>
      <c r="L77" s="181"/>
      <c r="M77" s="183">
        <f t="shared" si="8"/>
        <v>0</v>
      </c>
    </row>
    <row r="78" spans="1:13" x14ac:dyDescent="0.25">
      <c r="A78" s="206"/>
      <c r="G78" s="169"/>
      <c r="H78" s="181">
        <v>73</v>
      </c>
      <c r="I78" s="182" t="str">
        <f t="shared" si="6"/>
        <v/>
      </c>
      <c r="J78" s="181" t="e">
        <f t="shared" si="9"/>
        <v>#NUM!</v>
      </c>
      <c r="K78" s="181" t="e">
        <f t="shared" si="7"/>
        <v>#NUM!</v>
      </c>
      <c r="L78" s="181"/>
      <c r="M78" s="183">
        <f t="shared" si="8"/>
        <v>0</v>
      </c>
    </row>
    <row r="79" spans="1:13" x14ac:dyDescent="0.25">
      <c r="A79" s="206"/>
      <c r="G79" s="169"/>
      <c r="H79" s="181">
        <v>74</v>
      </c>
      <c r="I79" s="182" t="str">
        <f t="shared" si="6"/>
        <v/>
      </c>
      <c r="J79" s="181" t="e">
        <f t="shared" si="9"/>
        <v>#NUM!</v>
      </c>
      <c r="K79" s="181" t="e">
        <f t="shared" si="7"/>
        <v>#NUM!</v>
      </c>
      <c r="L79" s="181"/>
      <c r="M79" s="183">
        <f t="shared" si="8"/>
        <v>0</v>
      </c>
    </row>
    <row r="80" spans="1:13" x14ac:dyDescent="0.25">
      <c r="A80" s="206"/>
      <c r="G80" s="169"/>
      <c r="H80" s="181">
        <v>75</v>
      </c>
      <c r="I80" s="182" t="str">
        <f t="shared" si="6"/>
        <v/>
      </c>
      <c r="J80" s="181" t="e">
        <f t="shared" si="9"/>
        <v>#NUM!</v>
      </c>
      <c r="K80" s="181" t="e">
        <f t="shared" si="7"/>
        <v>#NUM!</v>
      </c>
      <c r="L80" s="181"/>
      <c r="M80" s="183">
        <f t="shared" si="8"/>
        <v>0</v>
      </c>
    </row>
    <row r="81" spans="1:13" x14ac:dyDescent="0.25">
      <c r="A81" s="206"/>
      <c r="G81" s="169"/>
      <c r="H81" s="181">
        <v>76</v>
      </c>
      <c r="I81" s="182" t="str">
        <f t="shared" si="6"/>
        <v/>
      </c>
      <c r="J81" s="181" t="e">
        <f t="shared" si="9"/>
        <v>#NUM!</v>
      </c>
      <c r="K81" s="181" t="e">
        <f t="shared" si="7"/>
        <v>#NUM!</v>
      </c>
      <c r="L81" s="181"/>
      <c r="M81" s="183">
        <f t="shared" si="8"/>
        <v>0</v>
      </c>
    </row>
    <row r="82" spans="1:13" x14ac:dyDescent="0.25">
      <c r="A82" s="206"/>
      <c r="G82" s="169"/>
      <c r="H82" s="181">
        <v>77</v>
      </c>
      <c r="I82" s="182" t="str">
        <f t="shared" si="6"/>
        <v/>
      </c>
      <c r="J82" s="181" t="e">
        <f t="shared" si="9"/>
        <v>#NUM!</v>
      </c>
      <c r="K82" s="181" t="e">
        <f t="shared" si="7"/>
        <v>#NUM!</v>
      </c>
      <c r="L82" s="181"/>
      <c r="M82" s="183">
        <f t="shared" si="8"/>
        <v>0</v>
      </c>
    </row>
    <row r="83" spans="1:13" x14ac:dyDescent="0.25">
      <c r="A83" s="206"/>
      <c r="G83" s="169"/>
      <c r="H83" s="181">
        <v>78</v>
      </c>
      <c r="I83" s="182" t="str">
        <f t="shared" si="6"/>
        <v/>
      </c>
      <c r="J83" s="181" t="e">
        <f t="shared" si="9"/>
        <v>#NUM!</v>
      </c>
      <c r="K83" s="181" t="e">
        <f t="shared" si="7"/>
        <v>#NUM!</v>
      </c>
      <c r="L83" s="181"/>
      <c r="M83" s="183">
        <f t="shared" si="8"/>
        <v>0</v>
      </c>
    </row>
    <row r="84" spans="1:13" x14ac:dyDescent="0.25">
      <c r="A84" s="206"/>
      <c r="G84" s="169"/>
      <c r="H84" s="181">
        <v>79</v>
      </c>
      <c r="I84" s="182" t="str">
        <f t="shared" si="6"/>
        <v/>
      </c>
      <c r="J84" s="181" t="e">
        <f t="shared" si="9"/>
        <v>#NUM!</v>
      </c>
      <c r="K84" s="181" t="e">
        <f t="shared" si="7"/>
        <v>#NUM!</v>
      </c>
      <c r="L84" s="181"/>
      <c r="M84" s="183">
        <f t="shared" si="8"/>
        <v>0</v>
      </c>
    </row>
    <row r="85" spans="1:13" x14ac:dyDescent="0.25">
      <c r="A85" s="206"/>
      <c r="G85" s="169"/>
      <c r="H85" s="181">
        <v>80</v>
      </c>
      <c r="I85" s="182" t="str">
        <f t="shared" si="6"/>
        <v/>
      </c>
      <c r="J85" s="181" t="e">
        <f t="shared" si="9"/>
        <v>#NUM!</v>
      </c>
      <c r="K85" s="181" t="e">
        <f t="shared" si="7"/>
        <v>#NUM!</v>
      </c>
      <c r="L85" s="181"/>
      <c r="M85" s="183">
        <f t="shared" si="8"/>
        <v>0</v>
      </c>
    </row>
    <row r="86" spans="1:13" x14ac:dyDescent="0.25">
      <c r="A86" s="206"/>
      <c r="G86" s="169"/>
      <c r="H86" s="181">
        <v>81</v>
      </c>
      <c r="I86" s="182" t="str">
        <f t="shared" si="6"/>
        <v/>
      </c>
      <c r="J86" s="181" t="e">
        <f t="shared" si="9"/>
        <v>#NUM!</v>
      </c>
      <c r="K86" s="181" t="e">
        <f t="shared" si="7"/>
        <v>#NUM!</v>
      </c>
      <c r="L86" s="181"/>
      <c r="M86" s="183">
        <f t="shared" si="8"/>
        <v>0</v>
      </c>
    </row>
    <row r="87" spans="1:13" x14ac:dyDescent="0.25">
      <c r="A87" s="206"/>
      <c r="G87" s="169"/>
      <c r="H87" s="181">
        <v>82</v>
      </c>
      <c r="I87" s="182" t="str">
        <f t="shared" si="6"/>
        <v/>
      </c>
      <c r="J87" s="181" t="e">
        <f t="shared" si="9"/>
        <v>#NUM!</v>
      </c>
      <c r="K87" s="181" t="e">
        <f t="shared" si="7"/>
        <v>#NUM!</v>
      </c>
      <c r="L87" s="181"/>
      <c r="M87" s="183">
        <f t="shared" si="8"/>
        <v>0</v>
      </c>
    </row>
    <row r="88" spans="1:13" x14ac:dyDescent="0.25">
      <c r="A88" s="206"/>
      <c r="G88" s="169"/>
      <c r="H88" s="181">
        <v>83</v>
      </c>
      <c r="I88" s="182" t="str">
        <f t="shared" si="6"/>
        <v/>
      </c>
      <c r="J88" s="181" t="e">
        <f t="shared" si="9"/>
        <v>#NUM!</v>
      </c>
      <c r="K88" s="181" t="e">
        <f t="shared" si="7"/>
        <v>#NUM!</v>
      </c>
      <c r="L88" s="181"/>
      <c r="M88" s="183">
        <f t="shared" si="8"/>
        <v>0</v>
      </c>
    </row>
    <row r="89" spans="1:13" x14ac:dyDescent="0.25">
      <c r="A89" s="206"/>
      <c r="G89" s="169"/>
      <c r="H89" s="181">
        <v>84</v>
      </c>
      <c r="I89" s="182" t="str">
        <f t="shared" si="6"/>
        <v/>
      </c>
      <c r="J89" s="181" t="e">
        <f t="shared" si="9"/>
        <v>#NUM!</v>
      </c>
      <c r="K89" s="181" t="e">
        <f t="shared" si="7"/>
        <v>#NUM!</v>
      </c>
      <c r="L89" s="181"/>
      <c r="M89" s="183">
        <f t="shared" si="8"/>
        <v>0</v>
      </c>
    </row>
    <row r="90" spans="1:13" x14ac:dyDescent="0.25">
      <c r="A90" s="206"/>
      <c r="G90" s="169"/>
      <c r="H90" s="181">
        <v>85</v>
      </c>
      <c r="I90" s="182" t="str">
        <f t="shared" si="6"/>
        <v/>
      </c>
      <c r="J90" s="181" t="e">
        <f t="shared" si="9"/>
        <v>#NUM!</v>
      </c>
      <c r="K90" s="181" t="e">
        <f t="shared" si="7"/>
        <v>#NUM!</v>
      </c>
      <c r="L90" s="181"/>
      <c r="M90" s="183">
        <f t="shared" si="8"/>
        <v>0</v>
      </c>
    </row>
    <row r="91" spans="1:13" x14ac:dyDescent="0.25">
      <c r="A91" s="206"/>
      <c r="G91" s="169"/>
      <c r="H91" s="181">
        <v>86</v>
      </c>
      <c r="I91" s="182" t="str">
        <f t="shared" si="6"/>
        <v/>
      </c>
      <c r="J91" s="181" t="e">
        <f t="shared" si="9"/>
        <v>#NUM!</v>
      </c>
      <c r="K91" s="181" t="e">
        <f t="shared" si="7"/>
        <v>#NUM!</v>
      </c>
      <c r="L91" s="181"/>
      <c r="M91" s="183">
        <f t="shared" si="8"/>
        <v>0</v>
      </c>
    </row>
    <row r="92" spans="1:13" x14ac:dyDescent="0.25">
      <c r="A92" s="206"/>
      <c r="G92" s="169"/>
      <c r="H92" s="181">
        <v>87</v>
      </c>
      <c r="I92" s="182" t="str">
        <f t="shared" si="6"/>
        <v/>
      </c>
      <c r="J92" s="181" t="e">
        <f t="shared" si="9"/>
        <v>#NUM!</v>
      </c>
      <c r="K92" s="181" t="e">
        <f t="shared" si="7"/>
        <v>#NUM!</v>
      </c>
      <c r="L92" s="181"/>
      <c r="M92" s="183">
        <f t="shared" si="8"/>
        <v>0</v>
      </c>
    </row>
    <row r="93" spans="1:13" x14ac:dyDescent="0.25">
      <c r="A93" s="206"/>
      <c r="G93" s="169"/>
      <c r="H93" s="181">
        <v>88</v>
      </c>
      <c r="I93" s="182" t="str">
        <f t="shared" si="6"/>
        <v/>
      </c>
      <c r="J93" s="181" t="e">
        <f t="shared" si="9"/>
        <v>#NUM!</v>
      </c>
      <c r="K93" s="181" t="e">
        <f t="shared" si="7"/>
        <v>#NUM!</v>
      </c>
      <c r="L93" s="181"/>
      <c r="M93" s="183">
        <f t="shared" si="8"/>
        <v>0</v>
      </c>
    </row>
    <row r="94" spans="1:13" x14ac:dyDescent="0.25">
      <c r="A94" s="206"/>
      <c r="G94" s="169"/>
      <c r="H94" s="181">
        <v>89</v>
      </c>
      <c r="I94" s="182" t="str">
        <f t="shared" si="6"/>
        <v/>
      </c>
      <c r="J94" s="181" t="e">
        <f t="shared" si="9"/>
        <v>#NUM!</v>
      </c>
      <c r="K94" s="181" t="e">
        <f t="shared" si="7"/>
        <v>#NUM!</v>
      </c>
      <c r="L94" s="181"/>
      <c r="M94" s="183">
        <f t="shared" si="8"/>
        <v>0</v>
      </c>
    </row>
    <row r="95" spans="1:13" x14ac:dyDescent="0.25">
      <c r="A95" s="206"/>
      <c r="G95" s="169"/>
      <c r="H95" s="181">
        <v>90</v>
      </c>
      <c r="I95" s="182" t="str">
        <f t="shared" si="6"/>
        <v/>
      </c>
      <c r="J95" s="181" t="e">
        <f t="shared" si="9"/>
        <v>#NUM!</v>
      </c>
      <c r="K95" s="181" t="e">
        <f t="shared" si="7"/>
        <v>#NUM!</v>
      </c>
      <c r="L95" s="181"/>
      <c r="M95" s="183">
        <f t="shared" si="8"/>
        <v>0</v>
      </c>
    </row>
    <row r="96" spans="1:13" x14ac:dyDescent="0.25">
      <c r="A96" s="206"/>
      <c r="G96" s="169"/>
      <c r="H96" s="181">
        <v>91</v>
      </c>
      <c r="I96" s="182" t="str">
        <f t="shared" si="6"/>
        <v/>
      </c>
      <c r="J96" s="181" t="e">
        <f t="shared" si="9"/>
        <v>#NUM!</v>
      </c>
      <c r="K96" s="181" t="e">
        <f t="shared" si="7"/>
        <v>#NUM!</v>
      </c>
      <c r="L96" s="181"/>
      <c r="M96" s="183">
        <f t="shared" si="8"/>
        <v>0</v>
      </c>
    </row>
    <row r="97" spans="1:13" x14ac:dyDescent="0.25">
      <c r="A97" s="206"/>
      <c r="G97" s="169"/>
      <c r="H97" s="181">
        <v>92</v>
      </c>
      <c r="I97" s="182" t="str">
        <f t="shared" si="6"/>
        <v/>
      </c>
      <c r="J97" s="181" t="e">
        <f t="shared" si="9"/>
        <v>#NUM!</v>
      </c>
      <c r="K97" s="181" t="e">
        <f t="shared" si="7"/>
        <v>#NUM!</v>
      </c>
      <c r="L97" s="181"/>
      <c r="M97" s="183">
        <f t="shared" si="8"/>
        <v>0</v>
      </c>
    </row>
    <row r="98" spans="1:13" x14ac:dyDescent="0.25">
      <c r="A98" s="206"/>
      <c r="G98" s="169"/>
      <c r="H98" s="181">
        <v>93</v>
      </c>
      <c r="I98" s="182" t="str">
        <f t="shared" si="6"/>
        <v/>
      </c>
      <c r="J98" s="181" t="e">
        <f t="shared" si="9"/>
        <v>#NUM!</v>
      </c>
      <c r="K98" s="181" t="e">
        <f t="shared" si="7"/>
        <v>#NUM!</v>
      </c>
      <c r="L98" s="181"/>
      <c r="M98" s="183">
        <f t="shared" si="8"/>
        <v>0</v>
      </c>
    </row>
    <row r="99" spans="1:13" x14ac:dyDescent="0.25">
      <c r="A99" s="206"/>
      <c r="G99" s="169"/>
      <c r="H99" s="181">
        <v>94</v>
      </c>
      <c r="I99" s="182" t="str">
        <f t="shared" si="6"/>
        <v/>
      </c>
      <c r="J99" s="181" t="e">
        <f t="shared" si="9"/>
        <v>#NUM!</v>
      </c>
      <c r="K99" s="181" t="e">
        <f t="shared" si="7"/>
        <v>#NUM!</v>
      </c>
      <c r="L99" s="181"/>
      <c r="M99" s="183">
        <f t="shared" si="8"/>
        <v>0</v>
      </c>
    </row>
    <row r="100" spans="1:13" x14ac:dyDescent="0.25">
      <c r="A100" s="206"/>
      <c r="G100" s="169"/>
      <c r="H100" s="181">
        <v>95</v>
      </c>
      <c r="I100" s="182" t="str">
        <f t="shared" si="6"/>
        <v/>
      </c>
      <c r="J100" s="181" t="e">
        <f t="shared" si="9"/>
        <v>#NUM!</v>
      </c>
      <c r="K100" s="181" t="e">
        <f t="shared" si="7"/>
        <v>#NUM!</v>
      </c>
      <c r="L100" s="181"/>
      <c r="M100" s="183">
        <f t="shared" si="8"/>
        <v>0</v>
      </c>
    </row>
    <row r="101" spans="1:13" x14ac:dyDescent="0.25">
      <c r="A101" s="198"/>
      <c r="G101" s="169"/>
      <c r="H101" s="181">
        <v>96</v>
      </c>
      <c r="I101" s="182" t="str">
        <f t="shared" si="6"/>
        <v/>
      </c>
      <c r="J101" s="181" t="e">
        <f t="shared" si="9"/>
        <v>#NUM!</v>
      </c>
      <c r="K101" s="181" t="e">
        <f t="shared" si="7"/>
        <v>#NUM!</v>
      </c>
      <c r="L101" s="181"/>
      <c r="M101" s="183">
        <f t="shared" si="8"/>
        <v>0</v>
      </c>
    </row>
    <row r="102" spans="1:13" x14ac:dyDescent="0.25">
      <c r="A102" s="198"/>
      <c r="G102" s="169"/>
      <c r="H102" s="181">
        <v>97</v>
      </c>
      <c r="I102" s="182" t="str">
        <f t="shared" si="6"/>
        <v/>
      </c>
      <c r="J102" s="181" t="e">
        <f t="shared" si="9"/>
        <v>#NUM!</v>
      </c>
      <c r="K102" s="181" t="e">
        <f t="shared" si="7"/>
        <v>#NUM!</v>
      </c>
      <c r="L102" s="181"/>
      <c r="M102" s="183">
        <f t="shared" si="8"/>
        <v>0</v>
      </c>
    </row>
    <row r="103" spans="1:13" x14ac:dyDescent="0.25">
      <c r="A103" s="198"/>
      <c r="G103" s="169"/>
      <c r="H103" s="181">
        <v>98</v>
      </c>
      <c r="I103" s="182" t="str">
        <f t="shared" si="6"/>
        <v/>
      </c>
      <c r="J103" s="181" t="e">
        <f t="shared" si="9"/>
        <v>#NUM!</v>
      </c>
      <c r="K103" s="181" t="e">
        <f t="shared" si="7"/>
        <v>#NUM!</v>
      </c>
      <c r="L103" s="181"/>
      <c r="M103" s="183">
        <f t="shared" si="8"/>
        <v>0</v>
      </c>
    </row>
    <row r="104" spans="1:13" x14ac:dyDescent="0.25">
      <c r="A104" s="198"/>
      <c r="G104" s="169"/>
      <c r="H104" s="181">
        <v>99</v>
      </c>
      <c r="I104" s="182" t="str">
        <f t="shared" si="6"/>
        <v/>
      </c>
      <c r="J104" s="181" t="e">
        <f t="shared" si="9"/>
        <v>#NUM!</v>
      </c>
      <c r="K104" s="181" t="e">
        <f t="shared" si="7"/>
        <v>#NUM!</v>
      </c>
      <c r="L104" s="181"/>
      <c r="M104" s="183">
        <f t="shared" si="8"/>
        <v>0</v>
      </c>
    </row>
    <row r="105" spans="1:13" x14ac:dyDescent="0.25">
      <c r="A105" s="198"/>
      <c r="G105" s="169"/>
      <c r="H105" s="181">
        <v>100</v>
      </c>
      <c r="I105" s="182" t="str">
        <f t="shared" si="6"/>
        <v/>
      </c>
      <c r="J105" s="181" t="e">
        <f t="shared" si="9"/>
        <v>#NUM!</v>
      </c>
      <c r="K105" s="181" t="e">
        <f t="shared" si="7"/>
        <v>#NUM!</v>
      </c>
      <c r="L105" s="181"/>
      <c r="M105" s="183">
        <f t="shared" si="8"/>
        <v>0</v>
      </c>
    </row>
    <row r="106" spans="1:13" x14ac:dyDescent="0.25">
      <c r="A106" s="198"/>
      <c r="G106" s="169"/>
      <c r="H106" s="181">
        <v>101</v>
      </c>
      <c r="I106" s="182" t="str">
        <f t="shared" si="6"/>
        <v/>
      </c>
      <c r="J106" s="181" t="e">
        <f t="shared" si="9"/>
        <v>#NUM!</v>
      </c>
      <c r="K106" s="181" t="e">
        <f t="shared" si="7"/>
        <v>#NUM!</v>
      </c>
      <c r="L106" s="181"/>
      <c r="M106" s="183">
        <f t="shared" si="8"/>
        <v>0</v>
      </c>
    </row>
    <row r="107" spans="1:13" x14ac:dyDescent="0.25">
      <c r="A107" s="198"/>
      <c r="G107" s="169"/>
      <c r="H107" s="181">
        <v>102</v>
      </c>
      <c r="I107" s="182" t="str">
        <f t="shared" si="6"/>
        <v/>
      </c>
      <c r="J107" s="181" t="e">
        <f t="shared" si="9"/>
        <v>#NUM!</v>
      </c>
      <c r="K107" s="181" t="e">
        <f t="shared" si="7"/>
        <v>#NUM!</v>
      </c>
      <c r="L107" s="181"/>
      <c r="M107" s="183">
        <f t="shared" si="8"/>
        <v>0</v>
      </c>
    </row>
    <row r="108" spans="1:13" x14ac:dyDescent="0.25">
      <c r="A108" s="198"/>
      <c r="G108" s="169"/>
      <c r="H108" s="181">
        <v>103</v>
      </c>
      <c r="I108" s="182" t="str">
        <f t="shared" si="6"/>
        <v/>
      </c>
      <c r="J108" s="181" t="e">
        <f t="shared" si="9"/>
        <v>#NUM!</v>
      </c>
      <c r="K108" s="181" t="e">
        <f t="shared" si="7"/>
        <v>#NUM!</v>
      </c>
      <c r="L108" s="181"/>
      <c r="M108" s="183">
        <f t="shared" si="8"/>
        <v>0</v>
      </c>
    </row>
    <row r="109" spans="1:13" x14ac:dyDescent="0.25">
      <c r="A109" s="198"/>
      <c r="G109" s="169"/>
      <c r="H109" s="181">
        <v>104</v>
      </c>
      <c r="I109" s="182" t="str">
        <f t="shared" si="6"/>
        <v/>
      </c>
      <c r="J109" s="181" t="e">
        <f t="shared" si="9"/>
        <v>#NUM!</v>
      </c>
      <c r="K109" s="181" t="e">
        <f t="shared" si="7"/>
        <v>#NUM!</v>
      </c>
      <c r="L109" s="181"/>
      <c r="M109" s="183">
        <f t="shared" si="8"/>
        <v>0</v>
      </c>
    </row>
    <row r="110" spans="1:13" x14ac:dyDescent="0.25">
      <c r="A110" s="198"/>
      <c r="G110" s="169"/>
      <c r="H110" s="181">
        <v>105</v>
      </c>
      <c r="I110" s="182" t="str">
        <f t="shared" si="6"/>
        <v/>
      </c>
      <c r="J110" s="181" t="e">
        <f t="shared" si="9"/>
        <v>#NUM!</v>
      </c>
      <c r="K110" s="181" t="e">
        <f t="shared" si="7"/>
        <v>#NUM!</v>
      </c>
      <c r="L110" s="181"/>
      <c r="M110" s="183">
        <f t="shared" si="8"/>
        <v>0</v>
      </c>
    </row>
    <row r="111" spans="1:13" x14ac:dyDescent="0.25">
      <c r="A111" s="198"/>
      <c r="G111" s="169"/>
      <c r="H111" s="181">
        <v>106</v>
      </c>
      <c r="I111" s="182" t="str">
        <f t="shared" si="6"/>
        <v/>
      </c>
      <c r="J111" s="181" t="e">
        <f t="shared" si="9"/>
        <v>#NUM!</v>
      </c>
      <c r="K111" s="181" t="e">
        <f t="shared" si="7"/>
        <v>#NUM!</v>
      </c>
      <c r="L111" s="181"/>
      <c r="M111" s="183">
        <f t="shared" si="8"/>
        <v>0</v>
      </c>
    </row>
    <row r="112" spans="1:13" x14ac:dyDescent="0.25">
      <c r="A112" s="198"/>
      <c r="G112" s="169"/>
      <c r="H112" s="181">
        <v>107</v>
      </c>
      <c r="I112" s="182" t="str">
        <f t="shared" si="6"/>
        <v/>
      </c>
      <c r="J112" s="181" t="e">
        <f t="shared" si="9"/>
        <v>#NUM!</v>
      </c>
      <c r="K112" s="181" t="e">
        <f t="shared" si="7"/>
        <v>#NUM!</v>
      </c>
      <c r="L112" s="181"/>
      <c r="M112" s="183">
        <f t="shared" si="8"/>
        <v>0</v>
      </c>
    </row>
    <row r="113" spans="1:13" x14ac:dyDescent="0.25">
      <c r="A113" s="198"/>
      <c r="G113" s="169"/>
      <c r="H113" s="181">
        <v>108</v>
      </c>
      <c r="I113" s="182" t="str">
        <f t="shared" si="6"/>
        <v/>
      </c>
      <c r="J113" s="181" t="e">
        <f t="shared" si="9"/>
        <v>#NUM!</v>
      </c>
      <c r="K113" s="181" t="e">
        <f t="shared" si="7"/>
        <v>#NUM!</v>
      </c>
      <c r="L113" s="181"/>
      <c r="M113" s="183">
        <f t="shared" si="8"/>
        <v>0</v>
      </c>
    </row>
    <row r="114" spans="1:13" x14ac:dyDescent="0.25">
      <c r="A114" s="198"/>
      <c r="G114" s="169"/>
      <c r="H114" s="181">
        <v>109</v>
      </c>
      <c r="I114" s="182" t="str">
        <f t="shared" si="6"/>
        <v/>
      </c>
      <c r="J114" s="181" t="e">
        <f t="shared" si="9"/>
        <v>#NUM!</v>
      </c>
      <c r="K114" s="181" t="e">
        <f t="shared" si="7"/>
        <v>#NUM!</v>
      </c>
      <c r="L114" s="181"/>
      <c r="M114" s="183">
        <f t="shared" si="8"/>
        <v>0</v>
      </c>
    </row>
    <row r="115" spans="1:13" x14ac:dyDescent="0.25">
      <c r="A115" s="198"/>
      <c r="G115" s="169"/>
      <c r="H115" s="181">
        <v>110</v>
      </c>
      <c r="I115" s="182" t="str">
        <f t="shared" si="6"/>
        <v/>
      </c>
      <c r="J115" s="181" t="e">
        <f t="shared" si="9"/>
        <v>#NUM!</v>
      </c>
      <c r="K115" s="181" t="e">
        <f t="shared" si="7"/>
        <v>#NUM!</v>
      </c>
      <c r="L115" s="181"/>
      <c r="M115" s="183">
        <f t="shared" si="8"/>
        <v>0</v>
      </c>
    </row>
    <row r="116" spans="1:13" x14ac:dyDescent="0.25">
      <c r="A116" s="198"/>
      <c r="G116" s="169"/>
      <c r="H116" s="181">
        <v>111</v>
      </c>
      <c r="I116" s="182" t="str">
        <f t="shared" si="6"/>
        <v/>
      </c>
      <c r="J116" s="181" t="e">
        <f t="shared" si="9"/>
        <v>#NUM!</v>
      </c>
      <c r="K116" s="181" t="e">
        <f t="shared" si="7"/>
        <v>#NUM!</v>
      </c>
      <c r="L116" s="181"/>
      <c r="M116" s="183">
        <f t="shared" si="8"/>
        <v>0</v>
      </c>
    </row>
    <row r="117" spans="1:13" x14ac:dyDescent="0.25">
      <c r="A117" s="198"/>
      <c r="G117" s="169"/>
      <c r="H117" s="181">
        <v>112</v>
      </c>
      <c r="I117" s="182" t="str">
        <f t="shared" si="6"/>
        <v/>
      </c>
      <c r="J117" s="181" t="e">
        <f t="shared" si="9"/>
        <v>#NUM!</v>
      </c>
      <c r="K117" s="181" t="e">
        <f t="shared" si="7"/>
        <v>#NUM!</v>
      </c>
      <c r="L117" s="181"/>
      <c r="M117" s="183">
        <f t="shared" si="8"/>
        <v>0</v>
      </c>
    </row>
    <row r="118" spans="1:13" x14ac:dyDescent="0.25">
      <c r="A118" s="198"/>
      <c r="G118" s="169"/>
      <c r="H118" s="181">
        <v>113</v>
      </c>
      <c r="I118" s="182" t="str">
        <f t="shared" si="6"/>
        <v/>
      </c>
      <c r="J118" s="181" t="e">
        <f t="shared" si="9"/>
        <v>#NUM!</v>
      </c>
      <c r="K118" s="181" t="e">
        <f t="shared" si="7"/>
        <v>#NUM!</v>
      </c>
      <c r="L118" s="181"/>
      <c r="M118" s="183">
        <f t="shared" si="8"/>
        <v>0</v>
      </c>
    </row>
    <row r="119" spans="1:13" x14ac:dyDescent="0.25">
      <c r="A119" s="198"/>
      <c r="G119" s="169"/>
      <c r="H119" s="181">
        <v>114</v>
      </c>
      <c r="I119" s="182" t="str">
        <f t="shared" si="6"/>
        <v/>
      </c>
      <c r="J119" s="181" t="e">
        <f t="shared" si="9"/>
        <v>#NUM!</v>
      </c>
      <c r="K119" s="181" t="e">
        <f t="shared" si="7"/>
        <v>#NUM!</v>
      </c>
      <c r="L119" s="181"/>
      <c r="M119" s="183">
        <f t="shared" si="8"/>
        <v>0</v>
      </c>
    </row>
    <row r="120" spans="1:13" x14ac:dyDescent="0.25">
      <c r="A120" s="198"/>
      <c r="G120" s="169"/>
      <c r="H120" s="181">
        <v>115</v>
      </c>
      <c r="I120" s="182" t="str">
        <f t="shared" si="6"/>
        <v/>
      </c>
      <c r="J120" s="181" t="e">
        <f t="shared" si="9"/>
        <v>#NUM!</v>
      </c>
      <c r="K120" s="181" t="e">
        <f t="shared" si="7"/>
        <v>#NUM!</v>
      </c>
      <c r="L120" s="181"/>
      <c r="M120" s="183">
        <f t="shared" si="8"/>
        <v>0</v>
      </c>
    </row>
    <row r="121" spans="1:13" x14ac:dyDescent="0.25">
      <c r="A121" s="198"/>
      <c r="G121" s="169"/>
      <c r="H121" s="181">
        <v>116</v>
      </c>
      <c r="I121" s="182" t="str">
        <f t="shared" si="6"/>
        <v/>
      </c>
      <c r="J121" s="181" t="e">
        <f t="shared" si="9"/>
        <v>#NUM!</v>
      </c>
      <c r="K121" s="181" t="e">
        <f t="shared" si="7"/>
        <v>#NUM!</v>
      </c>
      <c r="L121" s="181"/>
      <c r="M121" s="183">
        <f t="shared" si="8"/>
        <v>0</v>
      </c>
    </row>
    <row r="122" spans="1:13" x14ac:dyDescent="0.25">
      <c r="A122" s="198"/>
      <c r="G122" s="169"/>
      <c r="H122" s="181">
        <v>117</v>
      </c>
      <c r="I122" s="182" t="str">
        <f t="shared" si="6"/>
        <v/>
      </c>
      <c r="J122" s="181" t="e">
        <f t="shared" si="9"/>
        <v>#NUM!</v>
      </c>
      <c r="K122" s="181" t="e">
        <f t="shared" si="7"/>
        <v>#NUM!</v>
      </c>
      <c r="L122" s="181"/>
      <c r="M122" s="183">
        <f t="shared" si="8"/>
        <v>0</v>
      </c>
    </row>
    <row r="123" spans="1:13" x14ac:dyDescent="0.25">
      <c r="A123" s="198"/>
      <c r="G123" s="169"/>
      <c r="H123" s="181">
        <v>118</v>
      </c>
      <c r="I123" s="182" t="str">
        <f t="shared" si="6"/>
        <v/>
      </c>
      <c r="J123" s="181" t="e">
        <f t="shared" si="9"/>
        <v>#NUM!</v>
      </c>
      <c r="K123" s="181" t="e">
        <f t="shared" si="7"/>
        <v>#NUM!</v>
      </c>
      <c r="L123" s="181"/>
      <c r="M123" s="183">
        <f t="shared" si="8"/>
        <v>0</v>
      </c>
    </row>
    <row r="124" spans="1:13" x14ac:dyDescent="0.25">
      <c r="A124" s="198"/>
      <c r="G124" s="169"/>
      <c r="H124" s="181">
        <v>119</v>
      </c>
      <c r="I124" s="182" t="str">
        <f t="shared" si="6"/>
        <v/>
      </c>
      <c r="J124" s="181" t="e">
        <f t="shared" si="9"/>
        <v>#NUM!</v>
      </c>
      <c r="K124" s="181" t="e">
        <f t="shared" si="7"/>
        <v>#NUM!</v>
      </c>
      <c r="L124" s="181"/>
      <c r="M124" s="183">
        <f t="shared" si="8"/>
        <v>0</v>
      </c>
    </row>
    <row r="125" spans="1:13" x14ac:dyDescent="0.25">
      <c r="A125" s="198"/>
      <c r="G125" s="169"/>
      <c r="H125" s="181">
        <v>120</v>
      </c>
      <c r="I125" s="182" t="str">
        <f t="shared" si="6"/>
        <v/>
      </c>
      <c r="J125" s="181" t="e">
        <f t="shared" si="9"/>
        <v>#NUM!</v>
      </c>
      <c r="K125" s="181" t="e">
        <f t="shared" si="7"/>
        <v>#NUM!</v>
      </c>
      <c r="L125" s="181"/>
      <c r="M125" s="183">
        <f t="shared" si="8"/>
        <v>0</v>
      </c>
    </row>
    <row r="126" spans="1:13" x14ac:dyDescent="0.25">
      <c r="A126" s="198"/>
      <c r="G126" s="169"/>
      <c r="H126" s="181">
        <v>121</v>
      </c>
      <c r="I126" s="182" t="str">
        <f t="shared" si="6"/>
        <v/>
      </c>
      <c r="J126" s="181" t="e">
        <f t="shared" si="9"/>
        <v>#NUM!</v>
      </c>
      <c r="K126" s="181" t="e">
        <f t="shared" si="7"/>
        <v>#NUM!</v>
      </c>
      <c r="L126" s="181"/>
      <c r="M126" s="183">
        <f t="shared" si="8"/>
        <v>0</v>
      </c>
    </row>
    <row r="127" spans="1:13" x14ac:dyDescent="0.25">
      <c r="A127" s="198"/>
      <c r="G127" s="169"/>
      <c r="H127" s="181">
        <v>122</v>
      </c>
      <c r="I127" s="182" t="str">
        <f t="shared" si="6"/>
        <v/>
      </c>
      <c r="J127" s="181" t="e">
        <f t="shared" si="9"/>
        <v>#NUM!</v>
      </c>
      <c r="K127" s="181" t="e">
        <f t="shared" si="7"/>
        <v>#NUM!</v>
      </c>
      <c r="L127" s="181"/>
      <c r="M127" s="183">
        <f t="shared" si="8"/>
        <v>0</v>
      </c>
    </row>
    <row r="128" spans="1:13" x14ac:dyDescent="0.25">
      <c r="A128" s="198"/>
      <c r="G128" s="169"/>
      <c r="H128" s="181">
        <v>123</v>
      </c>
      <c r="I128" s="182" t="str">
        <f t="shared" si="6"/>
        <v/>
      </c>
      <c r="J128" s="181" t="e">
        <f t="shared" si="9"/>
        <v>#NUM!</v>
      </c>
      <c r="K128" s="181" t="e">
        <f t="shared" si="7"/>
        <v>#NUM!</v>
      </c>
      <c r="L128" s="181"/>
      <c r="M128" s="183">
        <f t="shared" si="8"/>
        <v>0</v>
      </c>
    </row>
    <row r="129" spans="1:13" x14ac:dyDescent="0.25">
      <c r="A129" s="198"/>
      <c r="G129" s="169"/>
      <c r="H129" s="181">
        <v>124</v>
      </c>
      <c r="I129" s="182" t="str">
        <f t="shared" si="6"/>
        <v/>
      </c>
      <c r="J129" s="181" t="e">
        <f t="shared" si="9"/>
        <v>#NUM!</v>
      </c>
      <c r="K129" s="181" t="e">
        <f t="shared" si="7"/>
        <v>#NUM!</v>
      </c>
      <c r="L129" s="181"/>
      <c r="M129" s="183">
        <f t="shared" si="8"/>
        <v>0</v>
      </c>
    </row>
    <row r="130" spans="1:13" x14ac:dyDescent="0.25">
      <c r="A130" s="198"/>
      <c r="G130" s="169"/>
      <c r="H130" s="181">
        <v>125</v>
      </c>
      <c r="I130" s="182" t="str">
        <f t="shared" si="6"/>
        <v/>
      </c>
      <c r="J130" s="181" t="e">
        <f t="shared" si="9"/>
        <v>#NUM!</v>
      </c>
      <c r="K130" s="181" t="e">
        <f t="shared" si="7"/>
        <v>#NUM!</v>
      </c>
      <c r="L130" s="181"/>
      <c r="M130" s="183">
        <f t="shared" si="8"/>
        <v>0</v>
      </c>
    </row>
    <row r="131" spans="1:13" x14ac:dyDescent="0.25">
      <c r="A131" s="198"/>
      <c r="G131" s="169"/>
      <c r="H131" s="181">
        <v>126</v>
      </c>
      <c r="I131" s="182" t="str">
        <f t="shared" si="6"/>
        <v/>
      </c>
      <c r="J131" s="181" t="e">
        <f t="shared" si="9"/>
        <v>#NUM!</v>
      </c>
      <c r="K131" s="181" t="e">
        <f t="shared" si="7"/>
        <v>#NUM!</v>
      </c>
      <c r="L131" s="181"/>
      <c r="M131" s="183">
        <f t="shared" si="8"/>
        <v>0</v>
      </c>
    </row>
    <row r="132" spans="1:13" x14ac:dyDescent="0.25">
      <c r="A132" s="198"/>
      <c r="G132" s="169"/>
      <c r="H132" s="181">
        <v>127</v>
      </c>
      <c r="I132" s="182" t="str">
        <f t="shared" si="6"/>
        <v/>
      </c>
      <c r="J132" s="181" t="e">
        <f t="shared" si="9"/>
        <v>#NUM!</v>
      </c>
      <c r="K132" s="181" t="e">
        <f t="shared" si="7"/>
        <v>#NUM!</v>
      </c>
      <c r="L132" s="181"/>
      <c r="M132" s="183">
        <f t="shared" si="8"/>
        <v>0</v>
      </c>
    </row>
    <row r="133" spans="1:13" x14ac:dyDescent="0.25">
      <c r="A133" s="198"/>
      <c r="G133" s="169"/>
      <c r="H133" s="181">
        <v>128</v>
      </c>
      <c r="I133" s="182" t="str">
        <f t="shared" si="6"/>
        <v/>
      </c>
      <c r="J133" s="181" t="e">
        <f t="shared" si="9"/>
        <v>#NUM!</v>
      </c>
      <c r="K133" s="181" t="e">
        <f t="shared" si="7"/>
        <v>#NUM!</v>
      </c>
      <c r="L133" s="181"/>
      <c r="M133" s="183">
        <f t="shared" si="8"/>
        <v>0</v>
      </c>
    </row>
    <row r="134" spans="1:13" x14ac:dyDescent="0.25">
      <c r="A134" s="198"/>
      <c r="G134" s="169"/>
      <c r="H134" s="181">
        <v>129</v>
      </c>
      <c r="I134" s="182" t="str">
        <f t="shared" ref="I134:I197" si="10">IF(H134&lt;$H$2+1,($I$2-($I$2-1)*(LOG(H134)/LOG($H$2))),"")</f>
        <v/>
      </c>
      <c r="J134" s="181" t="e">
        <f t="shared" si="9"/>
        <v>#NUM!</v>
      </c>
      <c r="K134" s="181" t="e">
        <f t="shared" ref="K134:K197" si="11">J134*$J$2</f>
        <v>#NUM!</v>
      </c>
      <c r="L134" s="181"/>
      <c r="M134" s="183">
        <f t="shared" ref="M134:M197" si="12">IF(I134&lt;&gt;"",K134+I134+L134,0)</f>
        <v>0</v>
      </c>
    </row>
    <row r="135" spans="1:13" x14ac:dyDescent="0.25">
      <c r="A135" s="198"/>
      <c r="G135" s="169"/>
      <c r="H135" s="181">
        <v>130</v>
      </c>
      <c r="I135" s="182" t="str">
        <f t="shared" si="10"/>
        <v/>
      </c>
      <c r="J135" s="181" t="e">
        <f t="shared" ref="J135:J198" si="13">INT(LOG($H$2,2))-ROUNDUP(LOG(H135,2),0)+IF(OR($H$2=1,$H$2=2,$H$2=4,$H$2=8,$H$2=16,$H$2=32,$H$2=64,$H$2=128,$H$2=256),0,1)</f>
        <v>#NUM!</v>
      </c>
      <c r="K135" s="181" t="e">
        <f t="shared" si="11"/>
        <v>#NUM!</v>
      </c>
      <c r="L135" s="181"/>
      <c r="M135" s="183">
        <f t="shared" si="12"/>
        <v>0</v>
      </c>
    </row>
    <row r="136" spans="1:13" x14ac:dyDescent="0.25">
      <c r="A136" s="198"/>
      <c r="G136" s="169"/>
      <c r="H136" s="181">
        <v>131</v>
      </c>
      <c r="I136" s="182" t="str">
        <f t="shared" si="10"/>
        <v/>
      </c>
      <c r="J136" s="181" t="e">
        <f t="shared" si="13"/>
        <v>#NUM!</v>
      </c>
      <c r="K136" s="181" t="e">
        <f t="shared" si="11"/>
        <v>#NUM!</v>
      </c>
      <c r="L136" s="181"/>
      <c r="M136" s="183">
        <f t="shared" si="12"/>
        <v>0</v>
      </c>
    </row>
    <row r="137" spans="1:13" x14ac:dyDescent="0.25">
      <c r="A137" s="198"/>
      <c r="G137" s="169"/>
      <c r="H137" s="181">
        <v>132</v>
      </c>
      <c r="I137" s="182" t="str">
        <f t="shared" si="10"/>
        <v/>
      </c>
      <c r="J137" s="181" t="e">
        <f t="shared" si="13"/>
        <v>#NUM!</v>
      </c>
      <c r="K137" s="181" t="e">
        <f t="shared" si="11"/>
        <v>#NUM!</v>
      </c>
      <c r="L137" s="181"/>
      <c r="M137" s="183">
        <f t="shared" si="12"/>
        <v>0</v>
      </c>
    </row>
    <row r="138" spans="1:13" x14ac:dyDescent="0.25">
      <c r="A138" s="198"/>
      <c r="G138" s="169"/>
      <c r="H138" s="181">
        <v>133</v>
      </c>
      <c r="I138" s="182" t="str">
        <f t="shared" si="10"/>
        <v/>
      </c>
      <c r="J138" s="181" t="e">
        <f t="shared" si="13"/>
        <v>#NUM!</v>
      </c>
      <c r="K138" s="181" t="e">
        <f t="shared" si="11"/>
        <v>#NUM!</v>
      </c>
      <c r="L138" s="181"/>
      <c r="M138" s="183">
        <f t="shared" si="12"/>
        <v>0</v>
      </c>
    </row>
    <row r="139" spans="1:13" x14ac:dyDescent="0.25">
      <c r="A139" s="198"/>
      <c r="G139" s="169"/>
      <c r="H139" s="181">
        <v>134</v>
      </c>
      <c r="I139" s="182" t="str">
        <f t="shared" si="10"/>
        <v/>
      </c>
      <c r="J139" s="181" t="e">
        <f t="shared" si="13"/>
        <v>#NUM!</v>
      </c>
      <c r="K139" s="181" t="e">
        <f t="shared" si="11"/>
        <v>#NUM!</v>
      </c>
      <c r="L139" s="181"/>
      <c r="M139" s="183">
        <f t="shared" si="12"/>
        <v>0</v>
      </c>
    </row>
    <row r="140" spans="1:13" x14ac:dyDescent="0.25">
      <c r="A140" s="198"/>
      <c r="G140" s="169"/>
      <c r="H140" s="181">
        <v>135</v>
      </c>
      <c r="I140" s="182" t="str">
        <f t="shared" si="10"/>
        <v/>
      </c>
      <c r="J140" s="181" t="e">
        <f t="shared" si="13"/>
        <v>#NUM!</v>
      </c>
      <c r="K140" s="181" t="e">
        <f t="shared" si="11"/>
        <v>#NUM!</v>
      </c>
      <c r="L140" s="181"/>
      <c r="M140" s="183">
        <f t="shared" si="12"/>
        <v>0</v>
      </c>
    </row>
    <row r="141" spans="1:13" x14ac:dyDescent="0.25">
      <c r="A141" s="198"/>
      <c r="G141" s="169"/>
      <c r="H141" s="181">
        <v>136</v>
      </c>
      <c r="I141" s="182" t="str">
        <f t="shared" si="10"/>
        <v/>
      </c>
      <c r="J141" s="181" t="e">
        <f t="shared" si="13"/>
        <v>#NUM!</v>
      </c>
      <c r="K141" s="181" t="e">
        <f t="shared" si="11"/>
        <v>#NUM!</v>
      </c>
      <c r="L141" s="181"/>
      <c r="M141" s="183">
        <f t="shared" si="12"/>
        <v>0</v>
      </c>
    </row>
    <row r="142" spans="1:13" x14ac:dyDescent="0.25">
      <c r="A142" s="198"/>
      <c r="G142" s="169"/>
      <c r="H142" s="181">
        <v>137</v>
      </c>
      <c r="I142" s="182" t="str">
        <f t="shared" si="10"/>
        <v/>
      </c>
      <c r="J142" s="181" t="e">
        <f t="shared" si="13"/>
        <v>#NUM!</v>
      </c>
      <c r="K142" s="181" t="e">
        <f t="shared" si="11"/>
        <v>#NUM!</v>
      </c>
      <c r="L142" s="181"/>
      <c r="M142" s="183">
        <f t="shared" si="12"/>
        <v>0</v>
      </c>
    </row>
    <row r="143" spans="1:13" x14ac:dyDescent="0.25">
      <c r="A143" s="198"/>
      <c r="G143" s="169"/>
      <c r="H143" s="181">
        <v>138</v>
      </c>
      <c r="I143" s="182" t="str">
        <f t="shared" si="10"/>
        <v/>
      </c>
      <c r="J143" s="181" t="e">
        <f t="shared" si="13"/>
        <v>#NUM!</v>
      </c>
      <c r="K143" s="181" t="e">
        <f t="shared" si="11"/>
        <v>#NUM!</v>
      </c>
      <c r="L143" s="181"/>
      <c r="M143" s="183">
        <f t="shared" si="12"/>
        <v>0</v>
      </c>
    </row>
    <row r="144" spans="1:13" x14ac:dyDescent="0.25">
      <c r="A144" s="198"/>
      <c r="G144" s="169"/>
      <c r="H144" s="181">
        <v>139</v>
      </c>
      <c r="I144" s="182" t="str">
        <f t="shared" si="10"/>
        <v/>
      </c>
      <c r="J144" s="181" t="e">
        <f t="shared" si="13"/>
        <v>#NUM!</v>
      </c>
      <c r="K144" s="181" t="e">
        <f t="shared" si="11"/>
        <v>#NUM!</v>
      </c>
      <c r="L144" s="181"/>
      <c r="M144" s="183">
        <f t="shared" si="12"/>
        <v>0</v>
      </c>
    </row>
    <row r="145" spans="1:13" x14ac:dyDescent="0.25">
      <c r="A145" s="198"/>
      <c r="G145" s="169"/>
      <c r="H145" s="181">
        <v>140</v>
      </c>
      <c r="I145" s="182" t="str">
        <f t="shared" si="10"/>
        <v/>
      </c>
      <c r="J145" s="181" t="e">
        <f t="shared" si="13"/>
        <v>#NUM!</v>
      </c>
      <c r="K145" s="181" t="e">
        <f t="shared" si="11"/>
        <v>#NUM!</v>
      </c>
      <c r="L145" s="181"/>
      <c r="M145" s="183">
        <f t="shared" si="12"/>
        <v>0</v>
      </c>
    </row>
    <row r="146" spans="1:13" x14ac:dyDescent="0.25">
      <c r="A146" s="198"/>
      <c r="G146" s="169"/>
      <c r="H146" s="181">
        <v>141</v>
      </c>
      <c r="I146" s="182" t="str">
        <f t="shared" si="10"/>
        <v/>
      </c>
      <c r="J146" s="181" t="e">
        <f t="shared" si="13"/>
        <v>#NUM!</v>
      </c>
      <c r="K146" s="181" t="e">
        <f t="shared" si="11"/>
        <v>#NUM!</v>
      </c>
      <c r="L146" s="181"/>
      <c r="M146" s="183">
        <f t="shared" si="12"/>
        <v>0</v>
      </c>
    </row>
    <row r="147" spans="1:13" x14ac:dyDescent="0.25">
      <c r="A147" s="198"/>
      <c r="G147" s="169"/>
      <c r="H147" s="181">
        <v>142</v>
      </c>
      <c r="I147" s="182" t="str">
        <f t="shared" si="10"/>
        <v/>
      </c>
      <c r="J147" s="181" t="e">
        <f t="shared" si="13"/>
        <v>#NUM!</v>
      </c>
      <c r="K147" s="181" t="e">
        <f t="shared" si="11"/>
        <v>#NUM!</v>
      </c>
      <c r="L147" s="181"/>
      <c r="M147" s="183">
        <f t="shared" si="12"/>
        <v>0</v>
      </c>
    </row>
    <row r="148" spans="1:13" x14ac:dyDescent="0.25">
      <c r="A148" s="198"/>
      <c r="G148" s="169"/>
      <c r="H148" s="181">
        <v>143</v>
      </c>
      <c r="I148" s="182" t="str">
        <f t="shared" si="10"/>
        <v/>
      </c>
      <c r="J148" s="181" t="e">
        <f t="shared" si="13"/>
        <v>#NUM!</v>
      </c>
      <c r="K148" s="181" t="e">
        <f t="shared" si="11"/>
        <v>#NUM!</v>
      </c>
      <c r="L148" s="181"/>
      <c r="M148" s="183">
        <f t="shared" si="12"/>
        <v>0</v>
      </c>
    </row>
    <row r="149" spans="1:13" x14ac:dyDescent="0.25">
      <c r="A149" s="198"/>
      <c r="G149" s="169"/>
      <c r="H149" s="181">
        <v>144</v>
      </c>
      <c r="I149" s="182" t="str">
        <f t="shared" si="10"/>
        <v/>
      </c>
      <c r="J149" s="181" t="e">
        <f t="shared" si="13"/>
        <v>#NUM!</v>
      </c>
      <c r="K149" s="181" t="e">
        <f t="shared" si="11"/>
        <v>#NUM!</v>
      </c>
      <c r="L149" s="181"/>
      <c r="M149" s="183">
        <f t="shared" si="12"/>
        <v>0</v>
      </c>
    </row>
    <row r="150" spans="1:13" x14ac:dyDescent="0.25">
      <c r="A150" s="198"/>
      <c r="G150" s="169"/>
      <c r="H150" s="181">
        <v>145</v>
      </c>
      <c r="I150" s="182" t="str">
        <f t="shared" si="10"/>
        <v/>
      </c>
      <c r="J150" s="181" t="e">
        <f t="shared" si="13"/>
        <v>#NUM!</v>
      </c>
      <c r="K150" s="181" t="e">
        <f t="shared" si="11"/>
        <v>#NUM!</v>
      </c>
      <c r="L150" s="181"/>
      <c r="M150" s="183">
        <f t="shared" si="12"/>
        <v>0</v>
      </c>
    </row>
    <row r="151" spans="1:13" x14ac:dyDescent="0.25">
      <c r="A151" s="198"/>
      <c r="G151" s="169"/>
      <c r="H151" s="181">
        <v>146</v>
      </c>
      <c r="I151" s="182" t="str">
        <f t="shared" si="10"/>
        <v/>
      </c>
      <c r="J151" s="181" t="e">
        <f t="shared" si="13"/>
        <v>#NUM!</v>
      </c>
      <c r="K151" s="181" t="e">
        <f t="shared" si="11"/>
        <v>#NUM!</v>
      </c>
      <c r="L151" s="181"/>
      <c r="M151" s="183">
        <f t="shared" si="12"/>
        <v>0</v>
      </c>
    </row>
    <row r="152" spans="1:13" x14ac:dyDescent="0.25">
      <c r="A152" s="198"/>
      <c r="G152" s="169"/>
      <c r="H152" s="181">
        <v>147</v>
      </c>
      <c r="I152" s="182" t="str">
        <f t="shared" si="10"/>
        <v/>
      </c>
      <c r="J152" s="181" t="e">
        <f t="shared" si="13"/>
        <v>#NUM!</v>
      </c>
      <c r="K152" s="181" t="e">
        <f t="shared" si="11"/>
        <v>#NUM!</v>
      </c>
      <c r="L152" s="181"/>
      <c r="M152" s="183">
        <f t="shared" si="12"/>
        <v>0</v>
      </c>
    </row>
    <row r="153" spans="1:13" x14ac:dyDescent="0.25">
      <c r="A153" s="198"/>
      <c r="G153" s="169"/>
      <c r="H153" s="181">
        <v>148</v>
      </c>
      <c r="I153" s="182" t="str">
        <f t="shared" si="10"/>
        <v/>
      </c>
      <c r="J153" s="181" t="e">
        <f t="shared" si="13"/>
        <v>#NUM!</v>
      </c>
      <c r="K153" s="181" t="e">
        <f t="shared" si="11"/>
        <v>#NUM!</v>
      </c>
      <c r="L153" s="181"/>
      <c r="M153" s="183">
        <f t="shared" si="12"/>
        <v>0</v>
      </c>
    </row>
    <row r="154" spans="1:13" x14ac:dyDescent="0.25">
      <c r="A154" s="198"/>
      <c r="G154" s="169"/>
      <c r="H154" s="181">
        <v>149</v>
      </c>
      <c r="I154" s="182" t="str">
        <f t="shared" si="10"/>
        <v/>
      </c>
      <c r="J154" s="181" t="e">
        <f t="shared" si="13"/>
        <v>#NUM!</v>
      </c>
      <c r="K154" s="181" t="e">
        <f t="shared" si="11"/>
        <v>#NUM!</v>
      </c>
      <c r="L154" s="181"/>
      <c r="M154" s="183">
        <f t="shared" si="12"/>
        <v>0</v>
      </c>
    </row>
    <row r="155" spans="1:13" x14ac:dyDescent="0.25">
      <c r="A155" s="198"/>
      <c r="G155" s="169"/>
      <c r="H155" s="181">
        <v>150</v>
      </c>
      <c r="I155" s="182" t="str">
        <f t="shared" si="10"/>
        <v/>
      </c>
      <c r="J155" s="181" t="e">
        <f t="shared" si="13"/>
        <v>#NUM!</v>
      </c>
      <c r="K155" s="181" t="e">
        <f t="shared" si="11"/>
        <v>#NUM!</v>
      </c>
      <c r="L155" s="181"/>
      <c r="M155" s="183">
        <f t="shared" si="12"/>
        <v>0</v>
      </c>
    </row>
    <row r="156" spans="1:13" x14ac:dyDescent="0.25">
      <c r="A156" s="198"/>
      <c r="G156" s="169"/>
      <c r="H156" s="181">
        <v>151</v>
      </c>
      <c r="I156" s="182" t="str">
        <f t="shared" si="10"/>
        <v/>
      </c>
      <c r="J156" s="181" t="e">
        <f t="shared" si="13"/>
        <v>#NUM!</v>
      </c>
      <c r="K156" s="181" t="e">
        <f t="shared" si="11"/>
        <v>#NUM!</v>
      </c>
      <c r="L156" s="181"/>
      <c r="M156" s="183">
        <f t="shared" si="12"/>
        <v>0</v>
      </c>
    </row>
    <row r="157" spans="1:13" x14ac:dyDescent="0.25">
      <c r="A157" s="198"/>
      <c r="G157" s="169"/>
      <c r="H157" s="181">
        <v>152</v>
      </c>
      <c r="I157" s="182" t="str">
        <f t="shared" si="10"/>
        <v/>
      </c>
      <c r="J157" s="181" t="e">
        <f t="shared" si="13"/>
        <v>#NUM!</v>
      </c>
      <c r="K157" s="181" t="e">
        <f t="shared" si="11"/>
        <v>#NUM!</v>
      </c>
      <c r="L157" s="181"/>
      <c r="M157" s="183">
        <f t="shared" si="12"/>
        <v>0</v>
      </c>
    </row>
    <row r="158" spans="1:13" x14ac:dyDescent="0.25">
      <c r="A158" s="198"/>
      <c r="G158" s="169"/>
      <c r="H158" s="181">
        <v>153</v>
      </c>
      <c r="I158" s="182" t="str">
        <f t="shared" si="10"/>
        <v/>
      </c>
      <c r="J158" s="181" t="e">
        <f t="shared" si="13"/>
        <v>#NUM!</v>
      </c>
      <c r="K158" s="181" t="e">
        <f t="shared" si="11"/>
        <v>#NUM!</v>
      </c>
      <c r="L158" s="181"/>
      <c r="M158" s="183">
        <f t="shared" si="12"/>
        <v>0</v>
      </c>
    </row>
    <row r="159" spans="1:13" x14ac:dyDescent="0.25">
      <c r="A159" s="198"/>
      <c r="G159" s="169"/>
      <c r="H159" s="181">
        <v>154</v>
      </c>
      <c r="I159" s="182" t="str">
        <f t="shared" si="10"/>
        <v/>
      </c>
      <c r="J159" s="181" t="e">
        <f t="shared" si="13"/>
        <v>#NUM!</v>
      </c>
      <c r="K159" s="181" t="e">
        <f t="shared" si="11"/>
        <v>#NUM!</v>
      </c>
      <c r="L159" s="181"/>
      <c r="M159" s="183">
        <f t="shared" si="12"/>
        <v>0</v>
      </c>
    </row>
    <row r="160" spans="1:13" x14ac:dyDescent="0.25">
      <c r="A160" s="198"/>
      <c r="G160" s="169"/>
      <c r="H160" s="181">
        <v>155</v>
      </c>
      <c r="I160" s="182" t="str">
        <f t="shared" si="10"/>
        <v/>
      </c>
      <c r="J160" s="181" t="e">
        <f t="shared" si="13"/>
        <v>#NUM!</v>
      </c>
      <c r="K160" s="181" t="e">
        <f t="shared" si="11"/>
        <v>#NUM!</v>
      </c>
      <c r="L160" s="181"/>
      <c r="M160" s="183">
        <f t="shared" si="12"/>
        <v>0</v>
      </c>
    </row>
    <row r="161" spans="1:13" x14ac:dyDescent="0.25">
      <c r="A161" s="198"/>
      <c r="G161" s="169"/>
      <c r="H161" s="181">
        <v>156</v>
      </c>
      <c r="I161" s="182" t="str">
        <f t="shared" si="10"/>
        <v/>
      </c>
      <c r="J161" s="181" t="e">
        <f t="shared" si="13"/>
        <v>#NUM!</v>
      </c>
      <c r="K161" s="181" t="e">
        <f t="shared" si="11"/>
        <v>#NUM!</v>
      </c>
      <c r="L161" s="181"/>
      <c r="M161" s="183">
        <f t="shared" si="12"/>
        <v>0</v>
      </c>
    </row>
    <row r="162" spans="1:13" x14ac:dyDescent="0.25">
      <c r="A162" s="198"/>
      <c r="G162" s="169"/>
      <c r="H162" s="181">
        <v>157</v>
      </c>
      <c r="I162" s="182" t="str">
        <f t="shared" si="10"/>
        <v/>
      </c>
      <c r="J162" s="181" t="e">
        <f t="shared" si="13"/>
        <v>#NUM!</v>
      </c>
      <c r="K162" s="181" t="e">
        <f t="shared" si="11"/>
        <v>#NUM!</v>
      </c>
      <c r="L162" s="181"/>
      <c r="M162" s="183">
        <f t="shared" si="12"/>
        <v>0</v>
      </c>
    </row>
    <row r="163" spans="1:13" x14ac:dyDescent="0.25">
      <c r="A163" s="198"/>
      <c r="G163" s="169"/>
      <c r="H163" s="181">
        <v>158</v>
      </c>
      <c r="I163" s="182" t="str">
        <f t="shared" si="10"/>
        <v/>
      </c>
      <c r="J163" s="181" t="e">
        <f t="shared" si="13"/>
        <v>#NUM!</v>
      </c>
      <c r="K163" s="181" t="e">
        <f t="shared" si="11"/>
        <v>#NUM!</v>
      </c>
      <c r="L163" s="181"/>
      <c r="M163" s="183">
        <f t="shared" si="12"/>
        <v>0</v>
      </c>
    </row>
    <row r="164" spans="1:13" x14ac:dyDescent="0.25">
      <c r="A164" s="198"/>
      <c r="G164" s="169"/>
      <c r="H164" s="181">
        <v>159</v>
      </c>
      <c r="I164" s="182" t="str">
        <f t="shared" si="10"/>
        <v/>
      </c>
      <c r="J164" s="181" t="e">
        <f t="shared" si="13"/>
        <v>#NUM!</v>
      </c>
      <c r="K164" s="181" t="e">
        <f t="shared" si="11"/>
        <v>#NUM!</v>
      </c>
      <c r="L164" s="181"/>
      <c r="M164" s="183">
        <f t="shared" si="12"/>
        <v>0</v>
      </c>
    </row>
    <row r="165" spans="1:13" x14ac:dyDescent="0.25">
      <c r="A165" s="198"/>
      <c r="G165" s="169"/>
      <c r="H165" s="181">
        <v>160</v>
      </c>
      <c r="I165" s="182" t="str">
        <f t="shared" si="10"/>
        <v/>
      </c>
      <c r="J165" s="181" t="e">
        <f t="shared" si="13"/>
        <v>#NUM!</v>
      </c>
      <c r="K165" s="181" t="e">
        <f t="shared" si="11"/>
        <v>#NUM!</v>
      </c>
      <c r="L165" s="181"/>
      <c r="M165" s="183">
        <f t="shared" si="12"/>
        <v>0</v>
      </c>
    </row>
    <row r="166" spans="1:13" x14ac:dyDescent="0.25">
      <c r="A166" s="198"/>
      <c r="G166" s="169"/>
      <c r="H166" s="181">
        <v>161</v>
      </c>
      <c r="I166" s="182" t="str">
        <f t="shared" si="10"/>
        <v/>
      </c>
      <c r="J166" s="181" t="e">
        <f t="shared" si="13"/>
        <v>#NUM!</v>
      </c>
      <c r="K166" s="181" t="e">
        <f t="shared" si="11"/>
        <v>#NUM!</v>
      </c>
      <c r="L166" s="181"/>
      <c r="M166" s="183">
        <f t="shared" si="12"/>
        <v>0</v>
      </c>
    </row>
    <row r="167" spans="1:13" x14ac:dyDescent="0.25">
      <c r="A167" s="198"/>
      <c r="G167" s="169"/>
      <c r="H167" s="181">
        <v>162</v>
      </c>
      <c r="I167" s="182" t="str">
        <f t="shared" si="10"/>
        <v/>
      </c>
      <c r="J167" s="181" t="e">
        <f t="shared" si="13"/>
        <v>#NUM!</v>
      </c>
      <c r="K167" s="181" t="e">
        <f t="shared" si="11"/>
        <v>#NUM!</v>
      </c>
      <c r="L167" s="181"/>
      <c r="M167" s="183">
        <f t="shared" si="12"/>
        <v>0</v>
      </c>
    </row>
    <row r="168" spans="1:13" x14ac:dyDescent="0.25">
      <c r="A168" s="198"/>
      <c r="G168" s="169"/>
      <c r="H168" s="181">
        <v>163</v>
      </c>
      <c r="I168" s="182" t="str">
        <f t="shared" si="10"/>
        <v/>
      </c>
      <c r="J168" s="181" t="e">
        <f t="shared" si="13"/>
        <v>#NUM!</v>
      </c>
      <c r="K168" s="181" t="e">
        <f t="shared" si="11"/>
        <v>#NUM!</v>
      </c>
      <c r="L168" s="181"/>
      <c r="M168" s="183">
        <f t="shared" si="12"/>
        <v>0</v>
      </c>
    </row>
    <row r="169" spans="1:13" x14ac:dyDescent="0.25">
      <c r="A169" s="198"/>
      <c r="C169" s="197" t="s">
        <v>54</v>
      </c>
      <c r="G169" s="169"/>
      <c r="H169" s="181">
        <v>164</v>
      </c>
      <c r="I169" s="182" t="str">
        <f t="shared" si="10"/>
        <v/>
      </c>
      <c r="J169" s="181" t="e">
        <f t="shared" si="13"/>
        <v>#NUM!</v>
      </c>
      <c r="K169" s="181" t="e">
        <f t="shared" si="11"/>
        <v>#NUM!</v>
      </c>
      <c r="L169" s="181"/>
      <c r="M169" s="183">
        <f t="shared" si="12"/>
        <v>0</v>
      </c>
    </row>
    <row r="170" spans="1:13" x14ac:dyDescent="0.25">
      <c r="A170" s="198"/>
      <c r="G170" s="169"/>
      <c r="H170" s="181">
        <v>165</v>
      </c>
      <c r="I170" s="182" t="str">
        <f t="shared" si="10"/>
        <v/>
      </c>
      <c r="J170" s="181" t="e">
        <f t="shared" si="13"/>
        <v>#NUM!</v>
      </c>
      <c r="K170" s="181" t="e">
        <f t="shared" si="11"/>
        <v>#NUM!</v>
      </c>
      <c r="L170" s="181"/>
      <c r="M170" s="183">
        <f t="shared" si="12"/>
        <v>0</v>
      </c>
    </row>
    <row r="171" spans="1:13" x14ac:dyDescent="0.25">
      <c r="A171" s="198"/>
      <c r="G171" s="169"/>
      <c r="H171" s="181">
        <v>166</v>
      </c>
      <c r="I171" s="182" t="str">
        <f t="shared" si="10"/>
        <v/>
      </c>
      <c r="J171" s="181" t="e">
        <f t="shared" si="13"/>
        <v>#NUM!</v>
      </c>
      <c r="K171" s="181" t="e">
        <f t="shared" si="11"/>
        <v>#NUM!</v>
      </c>
      <c r="L171" s="181"/>
      <c r="M171" s="183">
        <f t="shared" si="12"/>
        <v>0</v>
      </c>
    </row>
    <row r="172" spans="1:13" x14ac:dyDescent="0.25">
      <c r="A172" s="198"/>
      <c r="G172" s="169"/>
      <c r="H172" s="181">
        <v>167</v>
      </c>
      <c r="I172" s="182" t="str">
        <f t="shared" si="10"/>
        <v/>
      </c>
      <c r="J172" s="181" t="e">
        <f t="shared" si="13"/>
        <v>#NUM!</v>
      </c>
      <c r="K172" s="181" t="e">
        <f t="shared" si="11"/>
        <v>#NUM!</v>
      </c>
      <c r="L172" s="181"/>
      <c r="M172" s="183">
        <f t="shared" si="12"/>
        <v>0</v>
      </c>
    </row>
    <row r="173" spans="1:13" x14ac:dyDescent="0.25">
      <c r="A173" s="198"/>
      <c r="G173" s="169"/>
      <c r="H173" s="181">
        <v>168</v>
      </c>
      <c r="I173" s="182" t="str">
        <f t="shared" si="10"/>
        <v/>
      </c>
      <c r="J173" s="181" t="e">
        <f t="shared" si="13"/>
        <v>#NUM!</v>
      </c>
      <c r="K173" s="181" t="e">
        <f t="shared" si="11"/>
        <v>#NUM!</v>
      </c>
      <c r="L173" s="181"/>
      <c r="M173" s="183">
        <f t="shared" si="12"/>
        <v>0</v>
      </c>
    </row>
    <row r="174" spans="1:13" x14ac:dyDescent="0.25">
      <c r="A174" s="198"/>
      <c r="G174" s="169"/>
      <c r="H174" s="181">
        <v>169</v>
      </c>
      <c r="I174" s="182" t="str">
        <f t="shared" si="10"/>
        <v/>
      </c>
      <c r="J174" s="181" t="e">
        <f t="shared" si="13"/>
        <v>#NUM!</v>
      </c>
      <c r="K174" s="181" t="e">
        <f t="shared" si="11"/>
        <v>#NUM!</v>
      </c>
      <c r="L174" s="181"/>
      <c r="M174" s="183">
        <f t="shared" si="12"/>
        <v>0</v>
      </c>
    </row>
    <row r="175" spans="1:13" x14ac:dyDescent="0.25">
      <c r="A175" s="198"/>
      <c r="G175" s="169"/>
      <c r="H175" s="181">
        <v>170</v>
      </c>
      <c r="I175" s="182" t="str">
        <f t="shared" si="10"/>
        <v/>
      </c>
      <c r="J175" s="181" t="e">
        <f t="shared" si="13"/>
        <v>#NUM!</v>
      </c>
      <c r="K175" s="181" t="e">
        <f t="shared" si="11"/>
        <v>#NUM!</v>
      </c>
      <c r="L175" s="181"/>
      <c r="M175" s="183">
        <f t="shared" si="12"/>
        <v>0</v>
      </c>
    </row>
    <row r="176" spans="1:13" x14ac:dyDescent="0.25">
      <c r="A176" s="198"/>
      <c r="G176" s="169"/>
      <c r="H176" s="181">
        <v>171</v>
      </c>
      <c r="I176" s="182" t="str">
        <f t="shared" si="10"/>
        <v/>
      </c>
      <c r="J176" s="181" t="e">
        <f t="shared" si="13"/>
        <v>#NUM!</v>
      </c>
      <c r="K176" s="181" t="e">
        <f t="shared" si="11"/>
        <v>#NUM!</v>
      </c>
      <c r="L176" s="181"/>
      <c r="M176" s="183">
        <f t="shared" si="12"/>
        <v>0</v>
      </c>
    </row>
    <row r="177" spans="1:13" x14ac:dyDescent="0.25">
      <c r="A177" s="198"/>
      <c r="G177" s="169"/>
      <c r="H177" s="181">
        <v>172</v>
      </c>
      <c r="I177" s="182" t="str">
        <f t="shared" si="10"/>
        <v/>
      </c>
      <c r="J177" s="181" t="e">
        <f t="shared" si="13"/>
        <v>#NUM!</v>
      </c>
      <c r="K177" s="181" t="e">
        <f t="shared" si="11"/>
        <v>#NUM!</v>
      </c>
      <c r="L177" s="181"/>
      <c r="M177" s="183">
        <f t="shared" si="12"/>
        <v>0</v>
      </c>
    </row>
    <row r="178" spans="1:13" x14ac:dyDescent="0.25">
      <c r="A178" s="198"/>
      <c r="G178" s="169"/>
      <c r="H178" s="181">
        <v>173</v>
      </c>
      <c r="I178" s="182" t="str">
        <f t="shared" si="10"/>
        <v/>
      </c>
      <c r="J178" s="181" t="e">
        <f t="shared" si="13"/>
        <v>#NUM!</v>
      </c>
      <c r="K178" s="181" t="e">
        <f t="shared" si="11"/>
        <v>#NUM!</v>
      </c>
      <c r="L178" s="181"/>
      <c r="M178" s="183">
        <f t="shared" si="12"/>
        <v>0</v>
      </c>
    </row>
    <row r="179" spans="1:13" x14ac:dyDescent="0.25">
      <c r="A179" s="198"/>
      <c r="G179" s="169"/>
      <c r="H179" s="181">
        <v>174</v>
      </c>
      <c r="I179" s="182" t="str">
        <f t="shared" si="10"/>
        <v/>
      </c>
      <c r="J179" s="181" t="e">
        <f t="shared" si="13"/>
        <v>#NUM!</v>
      </c>
      <c r="K179" s="181" t="e">
        <f t="shared" si="11"/>
        <v>#NUM!</v>
      </c>
      <c r="L179" s="181"/>
      <c r="M179" s="183">
        <f t="shared" si="12"/>
        <v>0</v>
      </c>
    </row>
    <row r="180" spans="1:13" x14ac:dyDescent="0.25">
      <c r="A180" s="198"/>
      <c r="G180" s="169"/>
      <c r="H180" s="181">
        <v>175</v>
      </c>
      <c r="I180" s="182" t="str">
        <f t="shared" si="10"/>
        <v/>
      </c>
      <c r="J180" s="181" t="e">
        <f t="shared" si="13"/>
        <v>#NUM!</v>
      </c>
      <c r="K180" s="181" t="e">
        <f t="shared" si="11"/>
        <v>#NUM!</v>
      </c>
      <c r="L180" s="181"/>
      <c r="M180" s="183">
        <f t="shared" si="12"/>
        <v>0</v>
      </c>
    </row>
    <row r="181" spans="1:13" x14ac:dyDescent="0.25">
      <c r="A181" s="198"/>
      <c r="G181" s="169"/>
      <c r="H181" s="181">
        <v>176</v>
      </c>
      <c r="I181" s="182" t="str">
        <f t="shared" si="10"/>
        <v/>
      </c>
      <c r="J181" s="181" t="e">
        <f t="shared" si="13"/>
        <v>#NUM!</v>
      </c>
      <c r="K181" s="181" t="e">
        <f t="shared" si="11"/>
        <v>#NUM!</v>
      </c>
      <c r="L181" s="181"/>
      <c r="M181" s="183">
        <f t="shared" si="12"/>
        <v>0</v>
      </c>
    </row>
    <row r="182" spans="1:13" x14ac:dyDescent="0.25">
      <c r="A182" s="198"/>
      <c r="G182" s="169"/>
      <c r="H182" s="181">
        <v>177</v>
      </c>
      <c r="I182" s="182" t="str">
        <f t="shared" si="10"/>
        <v/>
      </c>
      <c r="J182" s="181" t="e">
        <f t="shared" si="13"/>
        <v>#NUM!</v>
      </c>
      <c r="K182" s="181" t="e">
        <f t="shared" si="11"/>
        <v>#NUM!</v>
      </c>
      <c r="L182" s="181"/>
      <c r="M182" s="183">
        <f t="shared" si="12"/>
        <v>0</v>
      </c>
    </row>
    <row r="183" spans="1:13" x14ac:dyDescent="0.25">
      <c r="A183" s="198"/>
      <c r="G183" s="169"/>
      <c r="H183" s="181">
        <v>178</v>
      </c>
      <c r="I183" s="182" t="str">
        <f t="shared" si="10"/>
        <v/>
      </c>
      <c r="J183" s="181" t="e">
        <f t="shared" si="13"/>
        <v>#NUM!</v>
      </c>
      <c r="K183" s="181" t="e">
        <f t="shared" si="11"/>
        <v>#NUM!</v>
      </c>
      <c r="L183" s="181"/>
      <c r="M183" s="183">
        <f t="shared" si="12"/>
        <v>0</v>
      </c>
    </row>
    <row r="184" spans="1:13" x14ac:dyDescent="0.25">
      <c r="A184" s="198"/>
      <c r="G184" s="169"/>
      <c r="H184" s="181">
        <v>179</v>
      </c>
      <c r="I184" s="182" t="str">
        <f t="shared" si="10"/>
        <v/>
      </c>
      <c r="J184" s="181" t="e">
        <f t="shared" si="13"/>
        <v>#NUM!</v>
      </c>
      <c r="K184" s="181" t="e">
        <f t="shared" si="11"/>
        <v>#NUM!</v>
      </c>
      <c r="L184" s="181"/>
      <c r="M184" s="183">
        <f t="shared" si="12"/>
        <v>0</v>
      </c>
    </row>
    <row r="185" spans="1:13" x14ac:dyDescent="0.25">
      <c r="A185" s="198"/>
      <c r="G185" s="169"/>
      <c r="H185" s="181">
        <v>180</v>
      </c>
      <c r="I185" s="182" t="str">
        <f t="shared" si="10"/>
        <v/>
      </c>
      <c r="J185" s="181" t="e">
        <f t="shared" si="13"/>
        <v>#NUM!</v>
      </c>
      <c r="K185" s="181" t="e">
        <f t="shared" si="11"/>
        <v>#NUM!</v>
      </c>
      <c r="L185" s="181"/>
      <c r="M185" s="183">
        <f t="shared" si="12"/>
        <v>0</v>
      </c>
    </row>
    <row r="186" spans="1:13" x14ac:dyDescent="0.25">
      <c r="A186" s="198"/>
      <c r="G186" s="169"/>
      <c r="H186" s="181">
        <v>181</v>
      </c>
      <c r="I186" s="182" t="str">
        <f t="shared" si="10"/>
        <v/>
      </c>
      <c r="J186" s="181" t="e">
        <f t="shared" si="13"/>
        <v>#NUM!</v>
      </c>
      <c r="K186" s="181" t="e">
        <f t="shared" si="11"/>
        <v>#NUM!</v>
      </c>
      <c r="L186" s="181"/>
      <c r="M186" s="183">
        <f t="shared" si="12"/>
        <v>0</v>
      </c>
    </row>
    <row r="187" spans="1:13" x14ac:dyDescent="0.25">
      <c r="A187" s="198"/>
      <c r="G187" s="169"/>
      <c r="H187" s="181">
        <v>182</v>
      </c>
      <c r="I187" s="182" t="str">
        <f t="shared" si="10"/>
        <v/>
      </c>
      <c r="J187" s="181" t="e">
        <f t="shared" si="13"/>
        <v>#NUM!</v>
      </c>
      <c r="K187" s="181" t="e">
        <f t="shared" si="11"/>
        <v>#NUM!</v>
      </c>
      <c r="L187" s="181"/>
      <c r="M187" s="183">
        <f t="shared" si="12"/>
        <v>0</v>
      </c>
    </row>
    <row r="188" spans="1:13" x14ac:dyDescent="0.25">
      <c r="A188" s="198"/>
      <c r="G188" s="169"/>
      <c r="H188" s="181">
        <v>183</v>
      </c>
      <c r="I188" s="182" t="str">
        <f t="shared" si="10"/>
        <v/>
      </c>
      <c r="J188" s="181" t="e">
        <f t="shared" si="13"/>
        <v>#NUM!</v>
      </c>
      <c r="K188" s="181" t="e">
        <f t="shared" si="11"/>
        <v>#NUM!</v>
      </c>
      <c r="L188" s="181"/>
      <c r="M188" s="183">
        <f t="shared" si="12"/>
        <v>0</v>
      </c>
    </row>
    <row r="189" spans="1:13" x14ac:dyDescent="0.25">
      <c r="A189" s="198"/>
      <c r="G189" s="169"/>
      <c r="H189" s="181">
        <v>184</v>
      </c>
      <c r="I189" s="182" t="str">
        <f t="shared" si="10"/>
        <v/>
      </c>
      <c r="J189" s="181" t="e">
        <f t="shared" si="13"/>
        <v>#NUM!</v>
      </c>
      <c r="K189" s="181" t="e">
        <f t="shared" si="11"/>
        <v>#NUM!</v>
      </c>
      <c r="L189" s="181"/>
      <c r="M189" s="183">
        <f t="shared" si="12"/>
        <v>0</v>
      </c>
    </row>
    <row r="190" spans="1:13" x14ac:dyDescent="0.25">
      <c r="A190" s="198"/>
      <c r="G190" s="169"/>
      <c r="H190" s="181">
        <v>185</v>
      </c>
      <c r="I190" s="182" t="str">
        <f t="shared" si="10"/>
        <v/>
      </c>
      <c r="J190" s="181" t="e">
        <f t="shared" si="13"/>
        <v>#NUM!</v>
      </c>
      <c r="K190" s="181" t="e">
        <f t="shared" si="11"/>
        <v>#NUM!</v>
      </c>
      <c r="L190" s="181"/>
      <c r="M190" s="183">
        <f t="shared" si="12"/>
        <v>0</v>
      </c>
    </row>
    <row r="191" spans="1:13" x14ac:dyDescent="0.25">
      <c r="A191" s="198"/>
      <c r="G191" s="169"/>
      <c r="H191" s="181">
        <v>186</v>
      </c>
      <c r="I191" s="182" t="str">
        <f t="shared" si="10"/>
        <v/>
      </c>
      <c r="J191" s="181" t="e">
        <f t="shared" si="13"/>
        <v>#NUM!</v>
      </c>
      <c r="K191" s="181" t="e">
        <f t="shared" si="11"/>
        <v>#NUM!</v>
      </c>
      <c r="L191" s="181"/>
      <c r="M191" s="183">
        <f t="shared" si="12"/>
        <v>0</v>
      </c>
    </row>
    <row r="192" spans="1:13" x14ac:dyDescent="0.25">
      <c r="A192" s="198"/>
      <c r="G192" s="169"/>
      <c r="H192" s="181">
        <v>187</v>
      </c>
      <c r="I192" s="182" t="str">
        <f t="shared" si="10"/>
        <v/>
      </c>
      <c r="J192" s="181" t="e">
        <f t="shared" si="13"/>
        <v>#NUM!</v>
      </c>
      <c r="K192" s="181" t="e">
        <f t="shared" si="11"/>
        <v>#NUM!</v>
      </c>
      <c r="L192" s="181"/>
      <c r="M192" s="183">
        <f t="shared" si="12"/>
        <v>0</v>
      </c>
    </row>
    <row r="193" spans="1:13" x14ac:dyDescent="0.25">
      <c r="A193" s="198"/>
      <c r="G193" s="169"/>
      <c r="H193" s="181">
        <v>188</v>
      </c>
      <c r="I193" s="182" t="str">
        <f t="shared" si="10"/>
        <v/>
      </c>
      <c r="J193" s="181" t="e">
        <f t="shared" si="13"/>
        <v>#NUM!</v>
      </c>
      <c r="K193" s="181" t="e">
        <f t="shared" si="11"/>
        <v>#NUM!</v>
      </c>
      <c r="L193" s="181"/>
      <c r="M193" s="183">
        <f t="shared" si="12"/>
        <v>0</v>
      </c>
    </row>
    <row r="194" spans="1:13" x14ac:dyDescent="0.25">
      <c r="A194" s="198"/>
      <c r="G194" s="169"/>
      <c r="H194" s="181">
        <v>189</v>
      </c>
      <c r="I194" s="182" t="str">
        <f t="shared" si="10"/>
        <v/>
      </c>
      <c r="J194" s="181" t="e">
        <f t="shared" si="13"/>
        <v>#NUM!</v>
      </c>
      <c r="K194" s="181" t="e">
        <f t="shared" si="11"/>
        <v>#NUM!</v>
      </c>
      <c r="L194" s="181"/>
      <c r="M194" s="183">
        <f t="shared" si="12"/>
        <v>0</v>
      </c>
    </row>
    <row r="195" spans="1:13" x14ac:dyDescent="0.25">
      <c r="A195" s="198"/>
      <c r="G195" s="169"/>
      <c r="H195" s="181">
        <v>190</v>
      </c>
      <c r="I195" s="182" t="str">
        <f t="shared" si="10"/>
        <v/>
      </c>
      <c r="J195" s="181" t="e">
        <f t="shared" si="13"/>
        <v>#NUM!</v>
      </c>
      <c r="K195" s="181" t="e">
        <f t="shared" si="11"/>
        <v>#NUM!</v>
      </c>
      <c r="L195" s="181"/>
      <c r="M195" s="183">
        <f t="shared" si="12"/>
        <v>0</v>
      </c>
    </row>
    <row r="196" spans="1:13" x14ac:dyDescent="0.25">
      <c r="A196" s="198"/>
      <c r="G196" s="169"/>
      <c r="H196" s="181">
        <v>191</v>
      </c>
      <c r="I196" s="182" t="str">
        <f t="shared" si="10"/>
        <v/>
      </c>
      <c r="J196" s="181" t="e">
        <f t="shared" si="13"/>
        <v>#NUM!</v>
      </c>
      <c r="K196" s="181" t="e">
        <f t="shared" si="11"/>
        <v>#NUM!</v>
      </c>
      <c r="L196" s="181"/>
      <c r="M196" s="183">
        <f t="shared" si="12"/>
        <v>0</v>
      </c>
    </row>
    <row r="197" spans="1:13" x14ac:dyDescent="0.25">
      <c r="A197" s="198"/>
      <c r="G197" s="169"/>
      <c r="H197" s="181">
        <v>192</v>
      </c>
      <c r="I197" s="182" t="str">
        <f t="shared" si="10"/>
        <v/>
      </c>
      <c r="J197" s="181" t="e">
        <f t="shared" si="13"/>
        <v>#NUM!</v>
      </c>
      <c r="K197" s="181" t="e">
        <f t="shared" si="11"/>
        <v>#NUM!</v>
      </c>
      <c r="L197" s="181"/>
      <c r="M197" s="183">
        <f t="shared" si="12"/>
        <v>0</v>
      </c>
    </row>
    <row r="198" spans="1:13" x14ac:dyDescent="0.25">
      <c r="A198" s="198"/>
      <c r="G198" s="169"/>
      <c r="H198" s="181">
        <v>193</v>
      </c>
      <c r="I198" s="182" t="str">
        <f t="shared" ref="I198:I261" si="14">IF(H198&lt;$H$2+1,($I$2-($I$2-1)*(LOG(H198)/LOG($H$2))),"")</f>
        <v/>
      </c>
      <c r="J198" s="181" t="e">
        <f t="shared" si="13"/>
        <v>#NUM!</v>
      </c>
      <c r="K198" s="181" t="e">
        <f t="shared" ref="K198:K261" si="15">J198*$J$2</f>
        <v>#NUM!</v>
      </c>
      <c r="L198" s="181"/>
      <c r="M198" s="183">
        <f t="shared" ref="M198:M261" si="16">IF(I198&lt;&gt;"",K198+I198+L198,0)</f>
        <v>0</v>
      </c>
    </row>
    <row r="199" spans="1:13" x14ac:dyDescent="0.25">
      <c r="A199" s="198"/>
      <c r="G199" s="169"/>
      <c r="H199" s="181">
        <v>194</v>
      </c>
      <c r="I199" s="182" t="str">
        <f t="shared" si="14"/>
        <v/>
      </c>
      <c r="J199" s="181" t="e">
        <f t="shared" ref="J199:J262" si="17">INT(LOG($H$2,2))-ROUNDUP(LOG(H199,2),0)+IF(OR($H$2=1,$H$2=2,$H$2=4,$H$2=8,$H$2=16,$H$2=32,$H$2=64,$H$2=128,$H$2=256),0,1)</f>
        <v>#NUM!</v>
      </c>
      <c r="K199" s="181" t="e">
        <f t="shared" si="15"/>
        <v>#NUM!</v>
      </c>
      <c r="L199" s="181"/>
      <c r="M199" s="183">
        <f t="shared" si="16"/>
        <v>0</v>
      </c>
    </row>
    <row r="200" spans="1:13" x14ac:dyDescent="0.25">
      <c r="A200" s="198"/>
      <c r="G200" s="169"/>
      <c r="H200" s="181">
        <v>195</v>
      </c>
      <c r="I200" s="182" t="str">
        <f t="shared" si="14"/>
        <v/>
      </c>
      <c r="J200" s="181" t="e">
        <f t="shared" si="17"/>
        <v>#NUM!</v>
      </c>
      <c r="K200" s="181" t="e">
        <f t="shared" si="15"/>
        <v>#NUM!</v>
      </c>
      <c r="L200" s="181"/>
      <c r="M200" s="183">
        <f t="shared" si="16"/>
        <v>0</v>
      </c>
    </row>
    <row r="201" spans="1:13" x14ac:dyDescent="0.25">
      <c r="A201" s="198"/>
      <c r="G201" s="169"/>
      <c r="H201" s="181">
        <v>196</v>
      </c>
      <c r="I201" s="182" t="str">
        <f t="shared" si="14"/>
        <v/>
      </c>
      <c r="J201" s="181" t="e">
        <f t="shared" si="17"/>
        <v>#NUM!</v>
      </c>
      <c r="K201" s="181" t="e">
        <f t="shared" si="15"/>
        <v>#NUM!</v>
      </c>
      <c r="L201" s="181"/>
      <c r="M201" s="183">
        <f t="shared" si="16"/>
        <v>0</v>
      </c>
    </row>
    <row r="202" spans="1:13" x14ac:dyDescent="0.25">
      <c r="A202" s="198"/>
      <c r="G202" s="169"/>
      <c r="H202" s="181">
        <v>197</v>
      </c>
      <c r="I202" s="182" t="str">
        <f t="shared" si="14"/>
        <v/>
      </c>
      <c r="J202" s="181" t="e">
        <f t="shared" si="17"/>
        <v>#NUM!</v>
      </c>
      <c r="K202" s="181" t="e">
        <f t="shared" si="15"/>
        <v>#NUM!</v>
      </c>
      <c r="L202" s="181"/>
      <c r="M202" s="183">
        <f t="shared" si="16"/>
        <v>0</v>
      </c>
    </row>
    <row r="203" spans="1:13" x14ac:dyDescent="0.25">
      <c r="A203" s="198"/>
      <c r="G203" s="169"/>
      <c r="H203" s="181">
        <v>198</v>
      </c>
      <c r="I203" s="182" t="str">
        <f t="shared" si="14"/>
        <v/>
      </c>
      <c r="J203" s="181" t="e">
        <f t="shared" si="17"/>
        <v>#NUM!</v>
      </c>
      <c r="K203" s="181" t="e">
        <f t="shared" si="15"/>
        <v>#NUM!</v>
      </c>
      <c r="L203" s="181"/>
      <c r="M203" s="183">
        <f t="shared" si="16"/>
        <v>0</v>
      </c>
    </row>
    <row r="204" spans="1:13" x14ac:dyDescent="0.25">
      <c r="A204" s="198"/>
      <c r="G204" s="169"/>
      <c r="H204" s="181">
        <v>199</v>
      </c>
      <c r="I204" s="182" t="str">
        <f t="shared" si="14"/>
        <v/>
      </c>
      <c r="J204" s="181" t="e">
        <f t="shared" si="17"/>
        <v>#NUM!</v>
      </c>
      <c r="K204" s="181" t="e">
        <f t="shared" si="15"/>
        <v>#NUM!</v>
      </c>
      <c r="L204" s="181"/>
      <c r="M204" s="183">
        <f t="shared" si="16"/>
        <v>0</v>
      </c>
    </row>
    <row r="205" spans="1:13" x14ac:dyDescent="0.25">
      <c r="A205" s="198"/>
      <c r="G205" s="169"/>
      <c r="H205" s="181">
        <v>200</v>
      </c>
      <c r="I205" s="182" t="str">
        <f t="shared" si="14"/>
        <v/>
      </c>
      <c r="J205" s="181" t="e">
        <f t="shared" si="17"/>
        <v>#NUM!</v>
      </c>
      <c r="K205" s="181" t="e">
        <f t="shared" si="15"/>
        <v>#NUM!</v>
      </c>
      <c r="L205" s="181"/>
      <c r="M205" s="183">
        <f t="shared" si="16"/>
        <v>0</v>
      </c>
    </row>
    <row r="206" spans="1:13" x14ac:dyDescent="0.25">
      <c r="A206" s="198"/>
      <c r="G206" s="169"/>
      <c r="H206" s="181">
        <v>201</v>
      </c>
      <c r="I206" s="182" t="str">
        <f t="shared" si="14"/>
        <v/>
      </c>
      <c r="J206" s="181" t="e">
        <f t="shared" si="17"/>
        <v>#NUM!</v>
      </c>
      <c r="K206" s="181" t="e">
        <f t="shared" si="15"/>
        <v>#NUM!</v>
      </c>
      <c r="L206" s="181"/>
      <c r="M206" s="183">
        <f t="shared" si="16"/>
        <v>0</v>
      </c>
    </row>
    <row r="207" spans="1:13" x14ac:dyDescent="0.25">
      <c r="A207" s="198"/>
      <c r="G207" s="169"/>
      <c r="H207" s="181">
        <v>202</v>
      </c>
      <c r="I207" s="182" t="str">
        <f t="shared" si="14"/>
        <v/>
      </c>
      <c r="J207" s="181" t="e">
        <f t="shared" si="17"/>
        <v>#NUM!</v>
      </c>
      <c r="K207" s="181" t="e">
        <f t="shared" si="15"/>
        <v>#NUM!</v>
      </c>
      <c r="L207" s="181"/>
      <c r="M207" s="183">
        <f t="shared" si="16"/>
        <v>0</v>
      </c>
    </row>
    <row r="208" spans="1:13" x14ac:dyDescent="0.25">
      <c r="A208" s="198"/>
      <c r="G208" s="169"/>
      <c r="H208" s="181">
        <v>203</v>
      </c>
      <c r="I208" s="182" t="str">
        <f t="shared" si="14"/>
        <v/>
      </c>
      <c r="J208" s="181" t="e">
        <f t="shared" si="17"/>
        <v>#NUM!</v>
      </c>
      <c r="K208" s="181" t="e">
        <f t="shared" si="15"/>
        <v>#NUM!</v>
      </c>
      <c r="L208" s="181"/>
      <c r="M208" s="183">
        <f t="shared" si="16"/>
        <v>0</v>
      </c>
    </row>
    <row r="209" spans="1:13" x14ac:dyDescent="0.25">
      <c r="A209" s="198"/>
      <c r="G209" s="169"/>
      <c r="H209" s="181">
        <v>204</v>
      </c>
      <c r="I209" s="182" t="str">
        <f t="shared" si="14"/>
        <v/>
      </c>
      <c r="J209" s="181" t="e">
        <f t="shared" si="17"/>
        <v>#NUM!</v>
      </c>
      <c r="K209" s="181" t="e">
        <f t="shared" si="15"/>
        <v>#NUM!</v>
      </c>
      <c r="L209" s="181"/>
      <c r="M209" s="183">
        <f t="shared" si="16"/>
        <v>0</v>
      </c>
    </row>
    <row r="210" spans="1:13" x14ac:dyDescent="0.25">
      <c r="A210" s="198"/>
      <c r="G210" s="169"/>
      <c r="H210" s="181">
        <v>205</v>
      </c>
      <c r="I210" s="182" t="str">
        <f t="shared" si="14"/>
        <v/>
      </c>
      <c r="J210" s="181" t="e">
        <f t="shared" si="17"/>
        <v>#NUM!</v>
      </c>
      <c r="K210" s="181" t="e">
        <f t="shared" si="15"/>
        <v>#NUM!</v>
      </c>
      <c r="L210" s="181"/>
      <c r="M210" s="183">
        <f t="shared" si="16"/>
        <v>0</v>
      </c>
    </row>
    <row r="211" spans="1:13" x14ac:dyDescent="0.25">
      <c r="A211" s="198"/>
      <c r="G211" s="169"/>
      <c r="H211" s="181">
        <v>206</v>
      </c>
      <c r="I211" s="182" t="str">
        <f t="shared" si="14"/>
        <v/>
      </c>
      <c r="J211" s="181" t="e">
        <f t="shared" si="17"/>
        <v>#NUM!</v>
      </c>
      <c r="K211" s="181" t="e">
        <f t="shared" si="15"/>
        <v>#NUM!</v>
      </c>
      <c r="L211" s="181"/>
      <c r="M211" s="183">
        <f t="shared" si="16"/>
        <v>0</v>
      </c>
    </row>
    <row r="212" spans="1:13" x14ac:dyDescent="0.25">
      <c r="A212" s="198"/>
      <c r="G212" s="169"/>
      <c r="H212" s="181">
        <v>207</v>
      </c>
      <c r="I212" s="182" t="str">
        <f t="shared" si="14"/>
        <v/>
      </c>
      <c r="J212" s="181" t="e">
        <f t="shared" si="17"/>
        <v>#NUM!</v>
      </c>
      <c r="K212" s="181" t="e">
        <f t="shared" si="15"/>
        <v>#NUM!</v>
      </c>
      <c r="L212" s="181"/>
      <c r="M212" s="183">
        <f t="shared" si="16"/>
        <v>0</v>
      </c>
    </row>
    <row r="213" spans="1:13" x14ac:dyDescent="0.25">
      <c r="A213" s="198"/>
      <c r="G213" s="169"/>
      <c r="H213" s="181">
        <v>208</v>
      </c>
      <c r="I213" s="182" t="str">
        <f t="shared" si="14"/>
        <v/>
      </c>
      <c r="J213" s="181" t="e">
        <f t="shared" si="17"/>
        <v>#NUM!</v>
      </c>
      <c r="K213" s="181" t="e">
        <f t="shared" si="15"/>
        <v>#NUM!</v>
      </c>
      <c r="L213" s="181"/>
      <c r="M213" s="183">
        <f t="shared" si="16"/>
        <v>0</v>
      </c>
    </row>
    <row r="214" spans="1:13" x14ac:dyDescent="0.25">
      <c r="A214" s="198"/>
      <c r="G214" s="169"/>
      <c r="H214" s="181">
        <v>209</v>
      </c>
      <c r="I214" s="182" t="str">
        <f t="shared" si="14"/>
        <v/>
      </c>
      <c r="J214" s="181" t="e">
        <f t="shared" si="17"/>
        <v>#NUM!</v>
      </c>
      <c r="K214" s="181" t="e">
        <f t="shared" si="15"/>
        <v>#NUM!</v>
      </c>
      <c r="L214" s="181"/>
      <c r="M214" s="183">
        <f t="shared" si="16"/>
        <v>0</v>
      </c>
    </row>
    <row r="215" spans="1:13" x14ac:dyDescent="0.25">
      <c r="A215" s="198"/>
      <c r="G215" s="169"/>
      <c r="H215" s="181">
        <v>210</v>
      </c>
      <c r="I215" s="182" t="str">
        <f t="shared" si="14"/>
        <v/>
      </c>
      <c r="J215" s="181" t="e">
        <f t="shared" si="17"/>
        <v>#NUM!</v>
      </c>
      <c r="K215" s="181" t="e">
        <f t="shared" si="15"/>
        <v>#NUM!</v>
      </c>
      <c r="L215" s="181"/>
      <c r="M215" s="183">
        <f t="shared" si="16"/>
        <v>0</v>
      </c>
    </row>
    <row r="216" spans="1:13" x14ac:dyDescent="0.25">
      <c r="A216" s="198"/>
      <c r="G216" s="169"/>
      <c r="H216" s="181">
        <v>211</v>
      </c>
      <c r="I216" s="182" t="str">
        <f t="shared" si="14"/>
        <v/>
      </c>
      <c r="J216" s="181" t="e">
        <f t="shared" si="17"/>
        <v>#NUM!</v>
      </c>
      <c r="K216" s="181" t="e">
        <f t="shared" si="15"/>
        <v>#NUM!</v>
      </c>
      <c r="L216" s="181"/>
      <c r="M216" s="183">
        <f t="shared" si="16"/>
        <v>0</v>
      </c>
    </row>
    <row r="217" spans="1:13" x14ac:dyDescent="0.25">
      <c r="A217" s="198"/>
      <c r="G217" s="169"/>
      <c r="H217" s="181">
        <v>212</v>
      </c>
      <c r="I217" s="182" t="str">
        <f t="shared" si="14"/>
        <v/>
      </c>
      <c r="J217" s="181" t="e">
        <f t="shared" si="17"/>
        <v>#NUM!</v>
      </c>
      <c r="K217" s="181" t="e">
        <f t="shared" si="15"/>
        <v>#NUM!</v>
      </c>
      <c r="L217" s="181"/>
      <c r="M217" s="183">
        <f t="shared" si="16"/>
        <v>0</v>
      </c>
    </row>
    <row r="218" spans="1:13" x14ac:dyDescent="0.25">
      <c r="A218" s="198"/>
      <c r="G218" s="169"/>
      <c r="H218" s="181">
        <v>213</v>
      </c>
      <c r="I218" s="182" t="str">
        <f t="shared" si="14"/>
        <v/>
      </c>
      <c r="J218" s="181" t="e">
        <f t="shared" si="17"/>
        <v>#NUM!</v>
      </c>
      <c r="K218" s="181" t="e">
        <f t="shared" si="15"/>
        <v>#NUM!</v>
      </c>
      <c r="L218" s="181"/>
      <c r="M218" s="183">
        <f t="shared" si="16"/>
        <v>0</v>
      </c>
    </row>
    <row r="219" spans="1:13" x14ac:dyDescent="0.25">
      <c r="A219" s="198"/>
      <c r="G219" s="169"/>
      <c r="H219" s="181">
        <v>214</v>
      </c>
      <c r="I219" s="182" t="str">
        <f t="shared" si="14"/>
        <v/>
      </c>
      <c r="J219" s="181" t="e">
        <f t="shared" si="17"/>
        <v>#NUM!</v>
      </c>
      <c r="K219" s="181" t="e">
        <f t="shared" si="15"/>
        <v>#NUM!</v>
      </c>
      <c r="L219" s="181"/>
      <c r="M219" s="183">
        <f t="shared" si="16"/>
        <v>0</v>
      </c>
    </row>
    <row r="220" spans="1:13" x14ac:dyDescent="0.25">
      <c r="A220" s="198"/>
      <c r="G220" s="169"/>
      <c r="H220" s="181">
        <v>215</v>
      </c>
      <c r="I220" s="182" t="str">
        <f t="shared" si="14"/>
        <v/>
      </c>
      <c r="J220" s="181" t="e">
        <f t="shared" si="17"/>
        <v>#NUM!</v>
      </c>
      <c r="K220" s="181" t="e">
        <f t="shared" si="15"/>
        <v>#NUM!</v>
      </c>
      <c r="L220" s="181"/>
      <c r="M220" s="183">
        <f t="shared" si="16"/>
        <v>0</v>
      </c>
    </row>
    <row r="221" spans="1:13" x14ac:dyDescent="0.25">
      <c r="A221" s="198"/>
      <c r="G221" s="169"/>
      <c r="H221" s="181">
        <v>216</v>
      </c>
      <c r="I221" s="182" t="str">
        <f t="shared" si="14"/>
        <v/>
      </c>
      <c r="J221" s="181" t="e">
        <f t="shared" si="17"/>
        <v>#NUM!</v>
      </c>
      <c r="K221" s="181" t="e">
        <f t="shared" si="15"/>
        <v>#NUM!</v>
      </c>
      <c r="L221" s="181"/>
      <c r="M221" s="183">
        <f t="shared" si="16"/>
        <v>0</v>
      </c>
    </row>
    <row r="222" spans="1:13" x14ac:dyDescent="0.25">
      <c r="A222" s="198"/>
      <c r="G222" s="169"/>
      <c r="H222" s="181">
        <v>217</v>
      </c>
      <c r="I222" s="182" t="str">
        <f t="shared" si="14"/>
        <v/>
      </c>
      <c r="J222" s="181" t="e">
        <f t="shared" si="17"/>
        <v>#NUM!</v>
      </c>
      <c r="K222" s="181" t="e">
        <f t="shared" si="15"/>
        <v>#NUM!</v>
      </c>
      <c r="L222" s="181"/>
      <c r="M222" s="183">
        <f t="shared" si="16"/>
        <v>0</v>
      </c>
    </row>
    <row r="223" spans="1:13" x14ac:dyDescent="0.25">
      <c r="A223" s="198"/>
      <c r="G223" s="169"/>
      <c r="H223" s="181">
        <v>218</v>
      </c>
      <c r="I223" s="182" t="str">
        <f t="shared" si="14"/>
        <v/>
      </c>
      <c r="J223" s="181" t="e">
        <f t="shared" si="17"/>
        <v>#NUM!</v>
      </c>
      <c r="K223" s="181" t="e">
        <f t="shared" si="15"/>
        <v>#NUM!</v>
      </c>
      <c r="L223" s="181"/>
      <c r="M223" s="183">
        <f t="shared" si="16"/>
        <v>0</v>
      </c>
    </row>
    <row r="224" spans="1:13" x14ac:dyDescent="0.25">
      <c r="A224" s="198"/>
      <c r="G224" s="169"/>
      <c r="H224" s="181">
        <v>219</v>
      </c>
      <c r="I224" s="182" t="str">
        <f t="shared" si="14"/>
        <v/>
      </c>
      <c r="J224" s="181" t="e">
        <f t="shared" si="17"/>
        <v>#NUM!</v>
      </c>
      <c r="K224" s="181" t="e">
        <f t="shared" si="15"/>
        <v>#NUM!</v>
      </c>
      <c r="L224" s="181"/>
      <c r="M224" s="183">
        <f t="shared" si="16"/>
        <v>0</v>
      </c>
    </row>
    <row r="225" spans="1:13" x14ac:dyDescent="0.25">
      <c r="A225" s="198"/>
      <c r="G225" s="169"/>
      <c r="H225" s="181">
        <v>220</v>
      </c>
      <c r="I225" s="182" t="str">
        <f t="shared" si="14"/>
        <v/>
      </c>
      <c r="J225" s="181" t="e">
        <f t="shared" si="17"/>
        <v>#NUM!</v>
      </c>
      <c r="K225" s="181" t="e">
        <f t="shared" si="15"/>
        <v>#NUM!</v>
      </c>
      <c r="L225" s="181"/>
      <c r="M225" s="183">
        <f t="shared" si="16"/>
        <v>0</v>
      </c>
    </row>
    <row r="226" spans="1:13" x14ac:dyDescent="0.25">
      <c r="A226" s="198"/>
      <c r="G226" s="169"/>
      <c r="H226" s="181">
        <v>221</v>
      </c>
      <c r="I226" s="182" t="str">
        <f t="shared" si="14"/>
        <v/>
      </c>
      <c r="J226" s="181" t="e">
        <f t="shared" si="17"/>
        <v>#NUM!</v>
      </c>
      <c r="K226" s="181" t="e">
        <f t="shared" si="15"/>
        <v>#NUM!</v>
      </c>
      <c r="L226" s="181"/>
      <c r="M226" s="183">
        <f t="shared" si="16"/>
        <v>0</v>
      </c>
    </row>
    <row r="227" spans="1:13" x14ac:dyDescent="0.25">
      <c r="A227" s="198"/>
      <c r="G227" s="169"/>
      <c r="H227" s="181">
        <v>222</v>
      </c>
      <c r="I227" s="182" t="str">
        <f t="shared" si="14"/>
        <v/>
      </c>
      <c r="J227" s="181" t="e">
        <f t="shared" si="17"/>
        <v>#NUM!</v>
      </c>
      <c r="K227" s="181" t="e">
        <f t="shared" si="15"/>
        <v>#NUM!</v>
      </c>
      <c r="L227" s="181"/>
      <c r="M227" s="183">
        <f t="shared" si="16"/>
        <v>0</v>
      </c>
    </row>
    <row r="228" spans="1:13" x14ac:dyDescent="0.25">
      <c r="A228" s="198"/>
      <c r="G228" s="169"/>
      <c r="H228" s="181">
        <v>223</v>
      </c>
      <c r="I228" s="182" t="str">
        <f t="shared" si="14"/>
        <v/>
      </c>
      <c r="J228" s="181" t="e">
        <f t="shared" si="17"/>
        <v>#NUM!</v>
      </c>
      <c r="K228" s="181" t="e">
        <f t="shared" si="15"/>
        <v>#NUM!</v>
      </c>
      <c r="L228" s="181"/>
      <c r="M228" s="183">
        <f t="shared" si="16"/>
        <v>0</v>
      </c>
    </row>
    <row r="229" spans="1:13" x14ac:dyDescent="0.25">
      <c r="A229" s="198"/>
      <c r="G229" s="169"/>
      <c r="H229" s="181">
        <v>224</v>
      </c>
      <c r="I229" s="182" t="str">
        <f t="shared" si="14"/>
        <v/>
      </c>
      <c r="J229" s="181" t="e">
        <f t="shared" si="17"/>
        <v>#NUM!</v>
      </c>
      <c r="K229" s="181" t="e">
        <f t="shared" si="15"/>
        <v>#NUM!</v>
      </c>
      <c r="L229" s="181"/>
      <c r="M229" s="183">
        <f t="shared" si="16"/>
        <v>0</v>
      </c>
    </row>
    <row r="230" spans="1:13" x14ac:dyDescent="0.25">
      <c r="A230" s="198"/>
      <c r="G230" s="169"/>
      <c r="H230" s="181">
        <v>225</v>
      </c>
      <c r="I230" s="182" t="str">
        <f t="shared" si="14"/>
        <v/>
      </c>
      <c r="J230" s="181" t="e">
        <f t="shared" si="17"/>
        <v>#NUM!</v>
      </c>
      <c r="K230" s="181" t="e">
        <f t="shared" si="15"/>
        <v>#NUM!</v>
      </c>
      <c r="L230" s="181"/>
      <c r="M230" s="183">
        <f t="shared" si="16"/>
        <v>0</v>
      </c>
    </row>
    <row r="231" spans="1:13" x14ac:dyDescent="0.25">
      <c r="A231" s="198"/>
      <c r="G231" s="169"/>
      <c r="H231" s="181">
        <v>226</v>
      </c>
      <c r="I231" s="182" t="str">
        <f t="shared" si="14"/>
        <v/>
      </c>
      <c r="J231" s="181" t="e">
        <f t="shared" si="17"/>
        <v>#NUM!</v>
      </c>
      <c r="K231" s="181" t="e">
        <f t="shared" si="15"/>
        <v>#NUM!</v>
      </c>
      <c r="L231" s="181"/>
      <c r="M231" s="183">
        <f t="shared" si="16"/>
        <v>0</v>
      </c>
    </row>
    <row r="232" spans="1:13" x14ac:dyDescent="0.25">
      <c r="A232" s="198"/>
      <c r="G232" s="169"/>
      <c r="H232" s="181">
        <v>227</v>
      </c>
      <c r="I232" s="182" t="str">
        <f t="shared" si="14"/>
        <v/>
      </c>
      <c r="J232" s="181" t="e">
        <f t="shared" si="17"/>
        <v>#NUM!</v>
      </c>
      <c r="K232" s="181" t="e">
        <f t="shared" si="15"/>
        <v>#NUM!</v>
      </c>
      <c r="L232" s="181"/>
      <c r="M232" s="183">
        <f t="shared" si="16"/>
        <v>0</v>
      </c>
    </row>
    <row r="233" spans="1:13" x14ac:dyDescent="0.25">
      <c r="A233" s="198"/>
      <c r="G233" s="169"/>
      <c r="H233" s="181">
        <v>228</v>
      </c>
      <c r="I233" s="182" t="str">
        <f t="shared" si="14"/>
        <v/>
      </c>
      <c r="J233" s="181" t="e">
        <f t="shared" si="17"/>
        <v>#NUM!</v>
      </c>
      <c r="K233" s="181" t="e">
        <f t="shared" si="15"/>
        <v>#NUM!</v>
      </c>
      <c r="L233" s="181"/>
      <c r="M233" s="183">
        <f t="shared" si="16"/>
        <v>0</v>
      </c>
    </row>
    <row r="234" spans="1:13" x14ac:dyDescent="0.25">
      <c r="A234" s="198"/>
      <c r="G234" s="169"/>
      <c r="H234" s="181">
        <v>229</v>
      </c>
      <c r="I234" s="182" t="str">
        <f t="shared" si="14"/>
        <v/>
      </c>
      <c r="J234" s="181" t="e">
        <f t="shared" si="17"/>
        <v>#NUM!</v>
      </c>
      <c r="K234" s="181" t="e">
        <f t="shared" si="15"/>
        <v>#NUM!</v>
      </c>
      <c r="L234" s="181"/>
      <c r="M234" s="183">
        <f t="shared" si="16"/>
        <v>0</v>
      </c>
    </row>
    <row r="235" spans="1:13" x14ac:dyDescent="0.25">
      <c r="A235" s="198"/>
      <c r="G235" s="169"/>
      <c r="H235" s="181">
        <v>230</v>
      </c>
      <c r="I235" s="182" t="str">
        <f t="shared" si="14"/>
        <v/>
      </c>
      <c r="J235" s="181" t="e">
        <f t="shared" si="17"/>
        <v>#NUM!</v>
      </c>
      <c r="K235" s="181" t="e">
        <f t="shared" si="15"/>
        <v>#NUM!</v>
      </c>
      <c r="L235" s="181"/>
      <c r="M235" s="183">
        <f t="shared" si="16"/>
        <v>0</v>
      </c>
    </row>
    <row r="236" spans="1:13" x14ac:dyDescent="0.25">
      <c r="A236" s="198"/>
      <c r="G236" s="169"/>
      <c r="H236" s="181">
        <v>231</v>
      </c>
      <c r="I236" s="182" t="str">
        <f t="shared" si="14"/>
        <v/>
      </c>
      <c r="J236" s="181" t="e">
        <f t="shared" si="17"/>
        <v>#NUM!</v>
      </c>
      <c r="K236" s="181" t="e">
        <f t="shared" si="15"/>
        <v>#NUM!</v>
      </c>
      <c r="L236" s="181"/>
      <c r="M236" s="183">
        <f t="shared" si="16"/>
        <v>0</v>
      </c>
    </row>
    <row r="237" spans="1:13" x14ac:dyDescent="0.25">
      <c r="A237" s="198"/>
      <c r="G237" s="169"/>
      <c r="H237" s="181">
        <v>232</v>
      </c>
      <c r="I237" s="182" t="str">
        <f t="shared" si="14"/>
        <v/>
      </c>
      <c r="J237" s="181" t="e">
        <f t="shared" si="17"/>
        <v>#NUM!</v>
      </c>
      <c r="K237" s="181" t="e">
        <f t="shared" si="15"/>
        <v>#NUM!</v>
      </c>
      <c r="L237" s="181"/>
      <c r="M237" s="183">
        <f t="shared" si="16"/>
        <v>0</v>
      </c>
    </row>
    <row r="238" spans="1:13" x14ac:dyDescent="0.25">
      <c r="A238" s="198"/>
      <c r="G238" s="169"/>
      <c r="H238" s="181">
        <v>233</v>
      </c>
      <c r="I238" s="182" t="str">
        <f t="shared" si="14"/>
        <v/>
      </c>
      <c r="J238" s="181" t="e">
        <f t="shared" si="17"/>
        <v>#NUM!</v>
      </c>
      <c r="K238" s="181" t="e">
        <f t="shared" si="15"/>
        <v>#NUM!</v>
      </c>
      <c r="L238" s="181"/>
      <c r="M238" s="183">
        <f t="shared" si="16"/>
        <v>0</v>
      </c>
    </row>
    <row r="239" spans="1:13" x14ac:dyDescent="0.25">
      <c r="A239" s="198"/>
      <c r="G239" s="169"/>
      <c r="H239" s="181">
        <v>234</v>
      </c>
      <c r="I239" s="182" t="str">
        <f t="shared" si="14"/>
        <v/>
      </c>
      <c r="J239" s="181" t="e">
        <f t="shared" si="17"/>
        <v>#NUM!</v>
      </c>
      <c r="K239" s="181" t="e">
        <f t="shared" si="15"/>
        <v>#NUM!</v>
      </c>
      <c r="L239" s="181"/>
      <c r="M239" s="183">
        <f t="shared" si="16"/>
        <v>0</v>
      </c>
    </row>
    <row r="240" spans="1:13" x14ac:dyDescent="0.25">
      <c r="A240" s="198"/>
      <c r="G240" s="169"/>
      <c r="H240" s="181">
        <v>235</v>
      </c>
      <c r="I240" s="182" t="str">
        <f t="shared" si="14"/>
        <v/>
      </c>
      <c r="J240" s="181" t="e">
        <f t="shared" si="17"/>
        <v>#NUM!</v>
      </c>
      <c r="K240" s="181" t="e">
        <f t="shared" si="15"/>
        <v>#NUM!</v>
      </c>
      <c r="L240" s="181"/>
      <c r="M240" s="183">
        <f t="shared" si="16"/>
        <v>0</v>
      </c>
    </row>
    <row r="241" spans="1:13" x14ac:dyDescent="0.25">
      <c r="A241" s="198"/>
      <c r="G241" s="169"/>
      <c r="H241" s="181">
        <v>236</v>
      </c>
      <c r="I241" s="182" t="str">
        <f t="shared" si="14"/>
        <v/>
      </c>
      <c r="J241" s="181" t="e">
        <f t="shared" si="17"/>
        <v>#NUM!</v>
      </c>
      <c r="K241" s="181" t="e">
        <f t="shared" si="15"/>
        <v>#NUM!</v>
      </c>
      <c r="L241" s="181"/>
      <c r="M241" s="183">
        <f t="shared" si="16"/>
        <v>0</v>
      </c>
    </row>
    <row r="242" spans="1:13" x14ac:dyDescent="0.25">
      <c r="A242" s="198"/>
      <c r="G242" s="169"/>
      <c r="H242" s="181">
        <v>237</v>
      </c>
      <c r="I242" s="182" t="str">
        <f t="shared" si="14"/>
        <v/>
      </c>
      <c r="J242" s="181" t="e">
        <f t="shared" si="17"/>
        <v>#NUM!</v>
      </c>
      <c r="K242" s="181" t="e">
        <f t="shared" si="15"/>
        <v>#NUM!</v>
      </c>
      <c r="L242" s="181"/>
      <c r="M242" s="183">
        <f t="shared" si="16"/>
        <v>0</v>
      </c>
    </row>
    <row r="243" spans="1:13" x14ac:dyDescent="0.25">
      <c r="A243" s="198"/>
      <c r="G243" s="169"/>
      <c r="H243" s="181">
        <v>238</v>
      </c>
      <c r="I243" s="182" t="str">
        <f t="shared" si="14"/>
        <v/>
      </c>
      <c r="J243" s="181" t="e">
        <f t="shared" si="17"/>
        <v>#NUM!</v>
      </c>
      <c r="K243" s="181" t="e">
        <f t="shared" si="15"/>
        <v>#NUM!</v>
      </c>
      <c r="L243" s="181"/>
      <c r="M243" s="183">
        <f t="shared" si="16"/>
        <v>0</v>
      </c>
    </row>
    <row r="244" spans="1:13" x14ac:dyDescent="0.25">
      <c r="A244" s="198"/>
      <c r="G244" s="169"/>
      <c r="H244" s="181">
        <v>239</v>
      </c>
      <c r="I244" s="182" t="str">
        <f t="shared" si="14"/>
        <v/>
      </c>
      <c r="J244" s="181" t="e">
        <f t="shared" si="17"/>
        <v>#NUM!</v>
      </c>
      <c r="K244" s="181" t="e">
        <f t="shared" si="15"/>
        <v>#NUM!</v>
      </c>
      <c r="L244" s="181"/>
      <c r="M244" s="183">
        <f t="shared" si="16"/>
        <v>0</v>
      </c>
    </row>
    <row r="245" spans="1:13" x14ac:dyDescent="0.25">
      <c r="A245" s="198"/>
      <c r="G245" s="169"/>
      <c r="H245" s="181">
        <v>240</v>
      </c>
      <c r="I245" s="182" t="str">
        <f t="shared" si="14"/>
        <v/>
      </c>
      <c r="J245" s="181" t="e">
        <f t="shared" si="17"/>
        <v>#NUM!</v>
      </c>
      <c r="K245" s="181" t="e">
        <f t="shared" si="15"/>
        <v>#NUM!</v>
      </c>
      <c r="L245" s="181"/>
      <c r="M245" s="183">
        <f t="shared" si="16"/>
        <v>0</v>
      </c>
    </row>
    <row r="246" spans="1:13" x14ac:dyDescent="0.25">
      <c r="A246" s="198"/>
      <c r="G246" s="169"/>
      <c r="H246" s="181">
        <v>241</v>
      </c>
      <c r="I246" s="182" t="str">
        <f t="shared" si="14"/>
        <v/>
      </c>
      <c r="J246" s="181" t="e">
        <f t="shared" si="17"/>
        <v>#NUM!</v>
      </c>
      <c r="K246" s="181" t="e">
        <f t="shared" si="15"/>
        <v>#NUM!</v>
      </c>
      <c r="L246" s="181"/>
      <c r="M246" s="183">
        <f t="shared" si="16"/>
        <v>0</v>
      </c>
    </row>
    <row r="247" spans="1:13" x14ac:dyDescent="0.25">
      <c r="A247" s="198"/>
      <c r="G247" s="169"/>
      <c r="H247" s="181">
        <v>242</v>
      </c>
      <c r="I247" s="182" t="str">
        <f t="shared" si="14"/>
        <v/>
      </c>
      <c r="J247" s="181" t="e">
        <f t="shared" si="17"/>
        <v>#NUM!</v>
      </c>
      <c r="K247" s="181" t="e">
        <f t="shared" si="15"/>
        <v>#NUM!</v>
      </c>
      <c r="L247" s="181"/>
      <c r="M247" s="183">
        <f t="shared" si="16"/>
        <v>0</v>
      </c>
    </row>
    <row r="248" spans="1:13" x14ac:dyDescent="0.25">
      <c r="A248" s="198"/>
      <c r="G248" s="169"/>
      <c r="H248" s="181">
        <v>243</v>
      </c>
      <c r="I248" s="182" t="str">
        <f t="shared" si="14"/>
        <v/>
      </c>
      <c r="J248" s="181" t="e">
        <f t="shared" si="17"/>
        <v>#NUM!</v>
      </c>
      <c r="K248" s="181" t="e">
        <f t="shared" si="15"/>
        <v>#NUM!</v>
      </c>
      <c r="L248" s="181"/>
      <c r="M248" s="183">
        <f t="shared" si="16"/>
        <v>0</v>
      </c>
    </row>
    <row r="249" spans="1:13" x14ac:dyDescent="0.25">
      <c r="A249" s="198"/>
      <c r="G249" s="169"/>
      <c r="H249" s="181">
        <v>244</v>
      </c>
      <c r="I249" s="182" t="str">
        <f t="shared" si="14"/>
        <v/>
      </c>
      <c r="J249" s="181" t="e">
        <f t="shared" si="17"/>
        <v>#NUM!</v>
      </c>
      <c r="K249" s="181" t="e">
        <f t="shared" si="15"/>
        <v>#NUM!</v>
      </c>
      <c r="L249" s="181"/>
      <c r="M249" s="183">
        <f t="shared" si="16"/>
        <v>0</v>
      </c>
    </row>
    <row r="250" spans="1:13" x14ac:dyDescent="0.25">
      <c r="A250" s="198"/>
      <c r="G250" s="169"/>
      <c r="H250" s="181">
        <v>245</v>
      </c>
      <c r="I250" s="182" t="str">
        <f t="shared" si="14"/>
        <v/>
      </c>
      <c r="J250" s="181" t="e">
        <f t="shared" si="17"/>
        <v>#NUM!</v>
      </c>
      <c r="K250" s="181" t="e">
        <f t="shared" si="15"/>
        <v>#NUM!</v>
      </c>
      <c r="L250" s="181"/>
      <c r="M250" s="183">
        <f t="shared" si="16"/>
        <v>0</v>
      </c>
    </row>
    <row r="251" spans="1:13" x14ac:dyDescent="0.25">
      <c r="A251" s="198"/>
      <c r="G251" s="169"/>
      <c r="H251" s="181">
        <v>246</v>
      </c>
      <c r="I251" s="182" t="str">
        <f t="shared" si="14"/>
        <v/>
      </c>
      <c r="J251" s="181" t="e">
        <f t="shared" si="17"/>
        <v>#NUM!</v>
      </c>
      <c r="K251" s="181" t="e">
        <f t="shared" si="15"/>
        <v>#NUM!</v>
      </c>
      <c r="L251" s="181"/>
      <c r="M251" s="183">
        <f t="shared" si="16"/>
        <v>0</v>
      </c>
    </row>
    <row r="252" spans="1:13" x14ac:dyDescent="0.25">
      <c r="A252" s="198"/>
      <c r="G252" s="169"/>
      <c r="H252" s="181">
        <v>247</v>
      </c>
      <c r="I252" s="182" t="str">
        <f t="shared" si="14"/>
        <v/>
      </c>
      <c r="J252" s="181" t="e">
        <f t="shared" si="17"/>
        <v>#NUM!</v>
      </c>
      <c r="K252" s="181" t="e">
        <f t="shared" si="15"/>
        <v>#NUM!</v>
      </c>
      <c r="L252" s="181"/>
      <c r="M252" s="183">
        <f t="shared" si="16"/>
        <v>0</v>
      </c>
    </row>
    <row r="253" spans="1:13" x14ac:dyDescent="0.25">
      <c r="A253" s="198"/>
      <c r="G253" s="169"/>
      <c r="H253" s="181">
        <v>248</v>
      </c>
      <c r="I253" s="182" t="str">
        <f t="shared" si="14"/>
        <v/>
      </c>
      <c r="J253" s="181" t="e">
        <f t="shared" si="17"/>
        <v>#NUM!</v>
      </c>
      <c r="K253" s="181" t="e">
        <f t="shared" si="15"/>
        <v>#NUM!</v>
      </c>
      <c r="L253" s="181"/>
      <c r="M253" s="183">
        <f t="shared" si="16"/>
        <v>0</v>
      </c>
    </row>
    <row r="254" spans="1:13" x14ac:dyDescent="0.25">
      <c r="A254" s="198"/>
      <c r="G254" s="169"/>
      <c r="H254" s="181">
        <v>249</v>
      </c>
      <c r="I254" s="182" t="str">
        <f t="shared" si="14"/>
        <v/>
      </c>
      <c r="J254" s="181" t="e">
        <f t="shared" si="17"/>
        <v>#NUM!</v>
      </c>
      <c r="K254" s="181" t="e">
        <f t="shared" si="15"/>
        <v>#NUM!</v>
      </c>
      <c r="L254" s="181"/>
      <c r="M254" s="183">
        <f t="shared" si="16"/>
        <v>0</v>
      </c>
    </row>
    <row r="255" spans="1:13" x14ac:dyDescent="0.25">
      <c r="A255" s="198"/>
      <c r="G255" s="169"/>
      <c r="H255" s="181">
        <v>250</v>
      </c>
      <c r="I255" s="182" t="str">
        <f t="shared" si="14"/>
        <v/>
      </c>
      <c r="J255" s="181" t="e">
        <f t="shared" si="17"/>
        <v>#NUM!</v>
      </c>
      <c r="K255" s="181" t="e">
        <f t="shared" si="15"/>
        <v>#NUM!</v>
      </c>
      <c r="L255" s="181"/>
      <c r="M255" s="183">
        <f t="shared" si="16"/>
        <v>0</v>
      </c>
    </row>
    <row r="256" spans="1:13" x14ac:dyDescent="0.25">
      <c r="A256" s="198"/>
      <c r="G256" s="169"/>
      <c r="H256" s="181">
        <v>251</v>
      </c>
      <c r="I256" s="182" t="str">
        <f t="shared" si="14"/>
        <v/>
      </c>
      <c r="J256" s="181" t="e">
        <f t="shared" si="17"/>
        <v>#NUM!</v>
      </c>
      <c r="K256" s="181" t="e">
        <f t="shared" si="15"/>
        <v>#NUM!</v>
      </c>
      <c r="L256" s="181"/>
      <c r="M256" s="183">
        <f t="shared" si="16"/>
        <v>0</v>
      </c>
    </row>
    <row r="257" spans="1:13" x14ac:dyDescent="0.25">
      <c r="A257" s="198"/>
      <c r="G257" s="169"/>
      <c r="H257" s="181">
        <v>252</v>
      </c>
      <c r="I257" s="182" t="str">
        <f t="shared" si="14"/>
        <v/>
      </c>
      <c r="J257" s="181" t="e">
        <f t="shared" si="17"/>
        <v>#NUM!</v>
      </c>
      <c r="K257" s="181" t="e">
        <f t="shared" si="15"/>
        <v>#NUM!</v>
      </c>
      <c r="L257" s="181"/>
      <c r="M257" s="183">
        <f t="shared" si="16"/>
        <v>0</v>
      </c>
    </row>
    <row r="258" spans="1:13" x14ac:dyDescent="0.25">
      <c r="A258" s="198"/>
      <c r="G258" s="169"/>
      <c r="H258" s="181">
        <v>253</v>
      </c>
      <c r="I258" s="182" t="str">
        <f t="shared" si="14"/>
        <v/>
      </c>
      <c r="J258" s="181" t="e">
        <f t="shared" si="17"/>
        <v>#NUM!</v>
      </c>
      <c r="K258" s="181" t="e">
        <f t="shared" si="15"/>
        <v>#NUM!</v>
      </c>
      <c r="L258" s="181"/>
      <c r="M258" s="183">
        <f t="shared" si="16"/>
        <v>0</v>
      </c>
    </row>
    <row r="259" spans="1:13" x14ac:dyDescent="0.25">
      <c r="A259" s="198"/>
      <c r="G259" s="169"/>
      <c r="H259" s="181">
        <v>254</v>
      </c>
      <c r="I259" s="182" t="str">
        <f t="shared" si="14"/>
        <v/>
      </c>
      <c r="J259" s="181" t="e">
        <f t="shared" si="17"/>
        <v>#NUM!</v>
      </c>
      <c r="K259" s="181" t="e">
        <f t="shared" si="15"/>
        <v>#NUM!</v>
      </c>
      <c r="L259" s="181"/>
      <c r="M259" s="183">
        <f t="shared" si="16"/>
        <v>0</v>
      </c>
    </row>
    <row r="260" spans="1:13" x14ac:dyDescent="0.25">
      <c r="A260" s="198"/>
      <c r="G260" s="169"/>
      <c r="H260" s="181">
        <v>255</v>
      </c>
      <c r="I260" s="182" t="str">
        <f t="shared" si="14"/>
        <v/>
      </c>
      <c r="J260" s="181" t="e">
        <f t="shared" si="17"/>
        <v>#NUM!</v>
      </c>
      <c r="K260" s="181" t="e">
        <f t="shared" si="15"/>
        <v>#NUM!</v>
      </c>
      <c r="L260" s="181"/>
      <c r="M260" s="183">
        <f t="shared" si="16"/>
        <v>0</v>
      </c>
    </row>
    <row r="261" spans="1:13" x14ac:dyDescent="0.25">
      <c r="A261" s="198"/>
      <c r="G261" s="169"/>
      <c r="H261" s="181">
        <v>256</v>
      </c>
      <c r="I261" s="182" t="str">
        <f t="shared" si="14"/>
        <v/>
      </c>
      <c r="J261" s="181" t="e">
        <f t="shared" si="17"/>
        <v>#NUM!</v>
      </c>
      <c r="K261" s="181" t="e">
        <f t="shared" si="15"/>
        <v>#NUM!</v>
      </c>
      <c r="L261" s="181"/>
      <c r="M261" s="183">
        <f t="shared" si="16"/>
        <v>0</v>
      </c>
    </row>
    <row r="262" spans="1:13" x14ac:dyDescent="0.25">
      <c r="A262" s="198"/>
      <c r="G262" s="169"/>
      <c r="H262" s="181">
        <v>257</v>
      </c>
      <c r="I262" s="182" t="str">
        <f t="shared" ref="I262:I305" si="18">IF(H262&lt;$H$2+1,($I$2-($I$2-1)*(LOG(H262)/LOG($H$2))),"")</f>
        <v/>
      </c>
      <c r="J262" s="181" t="e">
        <f t="shared" si="17"/>
        <v>#NUM!</v>
      </c>
      <c r="K262" s="181" t="e">
        <f t="shared" ref="K262:K305" si="19">J262*$J$2</f>
        <v>#NUM!</v>
      </c>
      <c r="L262" s="181"/>
      <c r="M262" s="183">
        <f t="shared" ref="M262:M305" si="20">IF(I262&lt;&gt;"",K262+I262+L262,0)</f>
        <v>0</v>
      </c>
    </row>
    <row r="263" spans="1:13" x14ac:dyDescent="0.25">
      <c r="A263" s="198"/>
      <c r="G263" s="169"/>
      <c r="H263" s="181">
        <v>258</v>
      </c>
      <c r="I263" s="182" t="str">
        <f t="shared" si="18"/>
        <v/>
      </c>
      <c r="J263" s="181" t="e">
        <f t="shared" ref="J263:J326" si="21">INT(LOG($H$2,2))-ROUNDUP(LOG(H263,2),0)+IF(OR($H$2=1,$H$2=2,$H$2=4,$H$2=8,$H$2=16,$H$2=32,$H$2=64,$H$2=128,$H$2=256),0,1)</f>
        <v>#NUM!</v>
      </c>
      <c r="K263" s="181" t="e">
        <f t="shared" si="19"/>
        <v>#NUM!</v>
      </c>
      <c r="L263" s="181"/>
      <c r="M263" s="183">
        <f t="shared" si="20"/>
        <v>0</v>
      </c>
    </row>
    <row r="264" spans="1:13" x14ac:dyDescent="0.25">
      <c r="A264" s="198"/>
      <c r="G264" s="169"/>
      <c r="H264" s="181">
        <v>259</v>
      </c>
      <c r="I264" s="182" t="str">
        <f t="shared" si="18"/>
        <v/>
      </c>
      <c r="J264" s="181" t="e">
        <f t="shared" si="21"/>
        <v>#NUM!</v>
      </c>
      <c r="K264" s="181" t="e">
        <f t="shared" si="19"/>
        <v>#NUM!</v>
      </c>
      <c r="L264" s="181"/>
      <c r="M264" s="183">
        <f t="shared" si="20"/>
        <v>0</v>
      </c>
    </row>
    <row r="265" spans="1:13" x14ac:dyDescent="0.25">
      <c r="A265" s="198"/>
      <c r="G265" s="169"/>
      <c r="H265" s="181">
        <v>260</v>
      </c>
      <c r="I265" s="182" t="str">
        <f t="shared" si="18"/>
        <v/>
      </c>
      <c r="J265" s="181" t="e">
        <f t="shared" si="21"/>
        <v>#NUM!</v>
      </c>
      <c r="K265" s="181" t="e">
        <f t="shared" si="19"/>
        <v>#NUM!</v>
      </c>
      <c r="L265" s="181"/>
      <c r="M265" s="183">
        <f t="shared" si="20"/>
        <v>0</v>
      </c>
    </row>
    <row r="266" spans="1:13" x14ac:dyDescent="0.25">
      <c r="A266" s="198"/>
      <c r="G266" s="169"/>
      <c r="H266" s="181">
        <v>261</v>
      </c>
      <c r="I266" s="182" t="str">
        <f t="shared" si="18"/>
        <v/>
      </c>
      <c r="J266" s="181" t="e">
        <f t="shared" si="21"/>
        <v>#NUM!</v>
      </c>
      <c r="K266" s="181" t="e">
        <f t="shared" si="19"/>
        <v>#NUM!</v>
      </c>
      <c r="L266" s="181"/>
      <c r="M266" s="183">
        <f t="shared" si="20"/>
        <v>0</v>
      </c>
    </row>
    <row r="267" spans="1:13" x14ac:dyDescent="0.25">
      <c r="A267" s="198"/>
      <c r="G267" s="169"/>
      <c r="H267" s="181">
        <v>262</v>
      </c>
      <c r="I267" s="182" t="str">
        <f t="shared" si="18"/>
        <v/>
      </c>
      <c r="J267" s="181" t="e">
        <f t="shared" si="21"/>
        <v>#NUM!</v>
      </c>
      <c r="K267" s="181" t="e">
        <f t="shared" si="19"/>
        <v>#NUM!</v>
      </c>
      <c r="L267" s="181"/>
      <c r="M267" s="183">
        <f t="shared" si="20"/>
        <v>0</v>
      </c>
    </row>
    <row r="268" spans="1:13" x14ac:dyDescent="0.25">
      <c r="A268" s="198"/>
      <c r="G268" s="169"/>
      <c r="H268" s="181">
        <v>263</v>
      </c>
      <c r="I268" s="182" t="str">
        <f t="shared" si="18"/>
        <v/>
      </c>
      <c r="J268" s="181" t="e">
        <f t="shared" si="21"/>
        <v>#NUM!</v>
      </c>
      <c r="K268" s="181" t="e">
        <f t="shared" si="19"/>
        <v>#NUM!</v>
      </c>
      <c r="L268" s="181"/>
      <c r="M268" s="183">
        <f t="shared" si="20"/>
        <v>0</v>
      </c>
    </row>
    <row r="269" spans="1:13" x14ac:dyDescent="0.25">
      <c r="A269" s="198"/>
      <c r="G269" s="169"/>
      <c r="H269" s="181">
        <v>264</v>
      </c>
      <c r="I269" s="182" t="str">
        <f t="shared" si="18"/>
        <v/>
      </c>
      <c r="J269" s="181" t="e">
        <f t="shared" si="21"/>
        <v>#NUM!</v>
      </c>
      <c r="K269" s="181" t="e">
        <f t="shared" si="19"/>
        <v>#NUM!</v>
      </c>
      <c r="L269" s="181"/>
      <c r="M269" s="183">
        <f t="shared" si="20"/>
        <v>0</v>
      </c>
    </row>
    <row r="270" spans="1:13" x14ac:dyDescent="0.25">
      <c r="A270" s="198"/>
      <c r="G270" s="169"/>
      <c r="H270" s="181">
        <v>265</v>
      </c>
      <c r="I270" s="182" t="str">
        <f t="shared" si="18"/>
        <v/>
      </c>
      <c r="J270" s="181" t="e">
        <f t="shared" si="21"/>
        <v>#NUM!</v>
      </c>
      <c r="K270" s="181" t="e">
        <f t="shared" si="19"/>
        <v>#NUM!</v>
      </c>
      <c r="L270" s="181"/>
      <c r="M270" s="183">
        <f t="shared" si="20"/>
        <v>0</v>
      </c>
    </row>
    <row r="271" spans="1:13" x14ac:dyDescent="0.25">
      <c r="A271" s="198"/>
      <c r="G271" s="169"/>
      <c r="H271" s="181">
        <v>266</v>
      </c>
      <c r="I271" s="182" t="str">
        <f t="shared" si="18"/>
        <v/>
      </c>
      <c r="J271" s="181" t="e">
        <f t="shared" si="21"/>
        <v>#NUM!</v>
      </c>
      <c r="K271" s="181" t="e">
        <f t="shared" si="19"/>
        <v>#NUM!</v>
      </c>
      <c r="L271" s="181"/>
      <c r="M271" s="183">
        <f t="shared" si="20"/>
        <v>0</v>
      </c>
    </row>
    <row r="272" spans="1:13" x14ac:dyDescent="0.25">
      <c r="A272" s="198"/>
      <c r="G272" s="169"/>
      <c r="H272" s="181">
        <v>267</v>
      </c>
      <c r="I272" s="182" t="str">
        <f t="shared" si="18"/>
        <v/>
      </c>
      <c r="J272" s="181" t="e">
        <f t="shared" si="21"/>
        <v>#NUM!</v>
      </c>
      <c r="K272" s="181" t="e">
        <f t="shared" si="19"/>
        <v>#NUM!</v>
      </c>
      <c r="L272" s="181"/>
      <c r="M272" s="183">
        <f t="shared" si="20"/>
        <v>0</v>
      </c>
    </row>
    <row r="273" spans="1:13" x14ac:dyDescent="0.25">
      <c r="A273" s="198"/>
      <c r="G273" s="169"/>
      <c r="H273" s="181">
        <v>268</v>
      </c>
      <c r="I273" s="182" t="str">
        <f t="shared" si="18"/>
        <v/>
      </c>
      <c r="J273" s="181" t="e">
        <f t="shared" si="21"/>
        <v>#NUM!</v>
      </c>
      <c r="K273" s="181" t="e">
        <f t="shared" si="19"/>
        <v>#NUM!</v>
      </c>
      <c r="L273" s="181"/>
      <c r="M273" s="183">
        <f t="shared" si="20"/>
        <v>0</v>
      </c>
    </row>
    <row r="274" spans="1:13" x14ac:dyDescent="0.25">
      <c r="A274" s="198"/>
      <c r="G274" s="169"/>
      <c r="H274" s="181">
        <v>269</v>
      </c>
      <c r="I274" s="182" t="str">
        <f t="shared" si="18"/>
        <v/>
      </c>
      <c r="J274" s="181" t="e">
        <f t="shared" si="21"/>
        <v>#NUM!</v>
      </c>
      <c r="K274" s="181" t="e">
        <f t="shared" si="19"/>
        <v>#NUM!</v>
      </c>
      <c r="L274" s="181"/>
      <c r="M274" s="183">
        <f t="shared" si="20"/>
        <v>0</v>
      </c>
    </row>
    <row r="275" spans="1:13" x14ac:dyDescent="0.25">
      <c r="A275" s="198"/>
      <c r="G275" s="169"/>
      <c r="H275" s="181">
        <v>270</v>
      </c>
      <c r="I275" s="182" t="str">
        <f t="shared" si="18"/>
        <v/>
      </c>
      <c r="J275" s="181" t="e">
        <f t="shared" si="21"/>
        <v>#NUM!</v>
      </c>
      <c r="K275" s="181" t="e">
        <f t="shared" si="19"/>
        <v>#NUM!</v>
      </c>
      <c r="L275" s="181"/>
      <c r="M275" s="183">
        <f t="shared" si="20"/>
        <v>0</v>
      </c>
    </row>
    <row r="276" spans="1:13" x14ac:dyDescent="0.25">
      <c r="A276" s="198"/>
      <c r="G276" s="169"/>
      <c r="H276" s="181">
        <v>271</v>
      </c>
      <c r="I276" s="182" t="str">
        <f t="shared" si="18"/>
        <v/>
      </c>
      <c r="J276" s="181" t="e">
        <f t="shared" si="21"/>
        <v>#NUM!</v>
      </c>
      <c r="K276" s="181" t="e">
        <f t="shared" si="19"/>
        <v>#NUM!</v>
      </c>
      <c r="L276" s="181"/>
      <c r="M276" s="183">
        <f t="shared" si="20"/>
        <v>0</v>
      </c>
    </row>
    <row r="277" spans="1:13" x14ac:dyDescent="0.25">
      <c r="A277" s="198"/>
      <c r="G277" s="169"/>
      <c r="H277" s="181">
        <v>272</v>
      </c>
      <c r="I277" s="182" t="str">
        <f t="shared" si="18"/>
        <v/>
      </c>
      <c r="J277" s="181" t="e">
        <f t="shared" si="21"/>
        <v>#NUM!</v>
      </c>
      <c r="K277" s="181" t="e">
        <f t="shared" si="19"/>
        <v>#NUM!</v>
      </c>
      <c r="L277" s="181"/>
      <c r="M277" s="183">
        <f t="shared" si="20"/>
        <v>0</v>
      </c>
    </row>
    <row r="278" spans="1:13" x14ac:dyDescent="0.25">
      <c r="A278" s="198"/>
      <c r="G278" s="169"/>
      <c r="H278" s="181">
        <v>273</v>
      </c>
      <c r="I278" s="182" t="str">
        <f t="shared" si="18"/>
        <v/>
      </c>
      <c r="J278" s="181" t="e">
        <f t="shared" si="21"/>
        <v>#NUM!</v>
      </c>
      <c r="K278" s="181" t="e">
        <f t="shared" si="19"/>
        <v>#NUM!</v>
      </c>
      <c r="L278" s="181"/>
      <c r="M278" s="183">
        <f t="shared" si="20"/>
        <v>0</v>
      </c>
    </row>
    <row r="279" spans="1:13" x14ac:dyDescent="0.25">
      <c r="A279" s="198"/>
      <c r="G279" s="169"/>
      <c r="H279" s="181">
        <v>274</v>
      </c>
      <c r="I279" s="182" t="str">
        <f t="shared" si="18"/>
        <v/>
      </c>
      <c r="J279" s="181" t="e">
        <f t="shared" si="21"/>
        <v>#NUM!</v>
      </c>
      <c r="K279" s="181" t="e">
        <f t="shared" si="19"/>
        <v>#NUM!</v>
      </c>
      <c r="L279" s="181"/>
      <c r="M279" s="183">
        <f t="shared" si="20"/>
        <v>0</v>
      </c>
    </row>
    <row r="280" spans="1:13" x14ac:dyDescent="0.25">
      <c r="A280" s="198"/>
      <c r="G280" s="169"/>
      <c r="H280" s="181">
        <v>275</v>
      </c>
      <c r="I280" s="182" t="str">
        <f t="shared" si="18"/>
        <v/>
      </c>
      <c r="J280" s="181" t="e">
        <f t="shared" si="21"/>
        <v>#NUM!</v>
      </c>
      <c r="K280" s="181" t="e">
        <f t="shared" si="19"/>
        <v>#NUM!</v>
      </c>
      <c r="L280" s="181"/>
      <c r="M280" s="183">
        <f t="shared" si="20"/>
        <v>0</v>
      </c>
    </row>
    <row r="281" spans="1:13" x14ac:dyDescent="0.25">
      <c r="A281" s="198"/>
      <c r="G281" s="169"/>
      <c r="H281" s="181">
        <v>276</v>
      </c>
      <c r="I281" s="182" t="str">
        <f t="shared" si="18"/>
        <v/>
      </c>
      <c r="J281" s="181" t="e">
        <f t="shared" si="21"/>
        <v>#NUM!</v>
      </c>
      <c r="K281" s="181" t="e">
        <f t="shared" si="19"/>
        <v>#NUM!</v>
      </c>
      <c r="L281" s="181"/>
      <c r="M281" s="183">
        <f t="shared" si="20"/>
        <v>0</v>
      </c>
    </row>
    <row r="282" spans="1:13" x14ac:dyDescent="0.25">
      <c r="A282" s="198"/>
      <c r="G282" s="169"/>
      <c r="H282" s="181">
        <v>277</v>
      </c>
      <c r="I282" s="182" t="str">
        <f t="shared" si="18"/>
        <v/>
      </c>
      <c r="J282" s="181" t="e">
        <f t="shared" si="21"/>
        <v>#NUM!</v>
      </c>
      <c r="K282" s="181" t="e">
        <f t="shared" si="19"/>
        <v>#NUM!</v>
      </c>
      <c r="L282" s="181"/>
      <c r="M282" s="183">
        <f t="shared" si="20"/>
        <v>0</v>
      </c>
    </row>
    <row r="283" spans="1:13" x14ac:dyDescent="0.25">
      <c r="A283" s="198"/>
      <c r="G283" s="169"/>
      <c r="H283" s="181">
        <v>278</v>
      </c>
      <c r="I283" s="182" t="str">
        <f t="shared" si="18"/>
        <v/>
      </c>
      <c r="J283" s="181" t="e">
        <f t="shared" si="21"/>
        <v>#NUM!</v>
      </c>
      <c r="K283" s="181" t="e">
        <f t="shared" si="19"/>
        <v>#NUM!</v>
      </c>
      <c r="L283" s="181"/>
      <c r="M283" s="183">
        <f t="shared" si="20"/>
        <v>0</v>
      </c>
    </row>
    <row r="284" spans="1:13" x14ac:dyDescent="0.25">
      <c r="A284" s="198"/>
      <c r="G284" s="169"/>
      <c r="H284" s="181">
        <v>279</v>
      </c>
      <c r="I284" s="182" t="str">
        <f t="shared" si="18"/>
        <v/>
      </c>
      <c r="J284" s="181" t="e">
        <f t="shared" si="21"/>
        <v>#NUM!</v>
      </c>
      <c r="K284" s="181" t="e">
        <f t="shared" si="19"/>
        <v>#NUM!</v>
      </c>
      <c r="L284" s="181"/>
      <c r="M284" s="183">
        <f t="shared" si="20"/>
        <v>0</v>
      </c>
    </row>
    <row r="285" spans="1:13" x14ac:dyDescent="0.25">
      <c r="A285" s="198"/>
      <c r="G285" s="169"/>
      <c r="H285" s="181">
        <v>280</v>
      </c>
      <c r="I285" s="182" t="str">
        <f t="shared" si="18"/>
        <v/>
      </c>
      <c r="J285" s="181" t="e">
        <f t="shared" si="21"/>
        <v>#NUM!</v>
      </c>
      <c r="K285" s="181" t="e">
        <f t="shared" si="19"/>
        <v>#NUM!</v>
      </c>
      <c r="L285" s="181"/>
      <c r="M285" s="183">
        <f t="shared" si="20"/>
        <v>0</v>
      </c>
    </row>
    <row r="286" spans="1:13" x14ac:dyDescent="0.25">
      <c r="A286" s="198"/>
      <c r="G286" s="169"/>
      <c r="H286" s="181">
        <v>281</v>
      </c>
      <c r="I286" s="182" t="str">
        <f t="shared" si="18"/>
        <v/>
      </c>
      <c r="J286" s="181" t="e">
        <f t="shared" si="21"/>
        <v>#NUM!</v>
      </c>
      <c r="K286" s="181" t="e">
        <f t="shared" si="19"/>
        <v>#NUM!</v>
      </c>
      <c r="L286" s="181"/>
      <c r="M286" s="183">
        <f t="shared" si="20"/>
        <v>0</v>
      </c>
    </row>
    <row r="287" spans="1:13" x14ac:dyDescent="0.25">
      <c r="A287" s="198"/>
      <c r="G287" s="169"/>
      <c r="H287" s="181">
        <v>282</v>
      </c>
      <c r="I287" s="182" t="str">
        <f t="shared" si="18"/>
        <v/>
      </c>
      <c r="J287" s="181" t="e">
        <f t="shared" si="21"/>
        <v>#NUM!</v>
      </c>
      <c r="K287" s="181" t="e">
        <f t="shared" si="19"/>
        <v>#NUM!</v>
      </c>
      <c r="L287" s="181"/>
      <c r="M287" s="183">
        <f t="shared" si="20"/>
        <v>0</v>
      </c>
    </row>
    <row r="288" spans="1:13" x14ac:dyDescent="0.25">
      <c r="A288" s="198"/>
      <c r="G288" s="169"/>
      <c r="H288" s="181">
        <v>283</v>
      </c>
      <c r="I288" s="182" t="str">
        <f t="shared" si="18"/>
        <v/>
      </c>
      <c r="J288" s="181" t="e">
        <f t="shared" si="21"/>
        <v>#NUM!</v>
      </c>
      <c r="K288" s="181" t="e">
        <f t="shared" si="19"/>
        <v>#NUM!</v>
      </c>
      <c r="L288" s="181"/>
      <c r="M288" s="183">
        <f t="shared" si="20"/>
        <v>0</v>
      </c>
    </row>
    <row r="289" spans="1:13" x14ac:dyDescent="0.25">
      <c r="A289" s="198"/>
      <c r="G289" s="169"/>
      <c r="H289" s="181">
        <v>284</v>
      </c>
      <c r="I289" s="182" t="str">
        <f t="shared" si="18"/>
        <v/>
      </c>
      <c r="J289" s="181" t="e">
        <f t="shared" si="21"/>
        <v>#NUM!</v>
      </c>
      <c r="K289" s="181" t="e">
        <f t="shared" si="19"/>
        <v>#NUM!</v>
      </c>
      <c r="L289" s="181"/>
      <c r="M289" s="183">
        <f t="shared" si="20"/>
        <v>0</v>
      </c>
    </row>
    <row r="290" spans="1:13" x14ac:dyDescent="0.25">
      <c r="A290" s="198"/>
      <c r="G290" s="169"/>
      <c r="H290" s="181">
        <v>285</v>
      </c>
      <c r="I290" s="182" t="str">
        <f t="shared" si="18"/>
        <v/>
      </c>
      <c r="J290" s="181" t="e">
        <f t="shared" si="21"/>
        <v>#NUM!</v>
      </c>
      <c r="K290" s="181" t="e">
        <f t="shared" si="19"/>
        <v>#NUM!</v>
      </c>
      <c r="L290" s="181"/>
      <c r="M290" s="183">
        <f t="shared" si="20"/>
        <v>0</v>
      </c>
    </row>
    <row r="291" spans="1:13" x14ac:dyDescent="0.25">
      <c r="A291" s="198"/>
      <c r="G291" s="169"/>
      <c r="H291" s="181">
        <v>286</v>
      </c>
      <c r="I291" s="182" t="str">
        <f t="shared" si="18"/>
        <v/>
      </c>
      <c r="J291" s="181" t="e">
        <f t="shared" si="21"/>
        <v>#NUM!</v>
      </c>
      <c r="K291" s="181" t="e">
        <f t="shared" si="19"/>
        <v>#NUM!</v>
      </c>
      <c r="L291" s="181"/>
      <c r="M291" s="183">
        <f t="shared" si="20"/>
        <v>0</v>
      </c>
    </row>
    <row r="292" spans="1:13" x14ac:dyDescent="0.25">
      <c r="A292" s="198"/>
      <c r="G292" s="169"/>
      <c r="H292" s="181">
        <v>287</v>
      </c>
      <c r="I292" s="182" t="str">
        <f t="shared" si="18"/>
        <v/>
      </c>
      <c r="J292" s="181" t="e">
        <f t="shared" si="21"/>
        <v>#NUM!</v>
      </c>
      <c r="K292" s="181" t="e">
        <f t="shared" si="19"/>
        <v>#NUM!</v>
      </c>
      <c r="L292" s="181"/>
      <c r="M292" s="183">
        <f t="shared" si="20"/>
        <v>0</v>
      </c>
    </row>
    <row r="293" spans="1:13" x14ac:dyDescent="0.25">
      <c r="A293" s="198"/>
      <c r="G293" s="169"/>
      <c r="H293" s="181">
        <v>288</v>
      </c>
      <c r="I293" s="182" t="str">
        <f t="shared" si="18"/>
        <v/>
      </c>
      <c r="J293" s="181" t="e">
        <f t="shared" si="21"/>
        <v>#NUM!</v>
      </c>
      <c r="K293" s="181" t="e">
        <f t="shared" si="19"/>
        <v>#NUM!</v>
      </c>
      <c r="L293" s="181"/>
      <c r="M293" s="183">
        <f t="shared" si="20"/>
        <v>0</v>
      </c>
    </row>
    <row r="294" spans="1:13" x14ac:dyDescent="0.25">
      <c r="A294" s="198"/>
      <c r="G294" s="169"/>
      <c r="H294" s="181">
        <v>289</v>
      </c>
      <c r="I294" s="182" t="str">
        <f t="shared" si="18"/>
        <v/>
      </c>
      <c r="J294" s="181" t="e">
        <f t="shared" si="21"/>
        <v>#NUM!</v>
      </c>
      <c r="K294" s="181" t="e">
        <f t="shared" si="19"/>
        <v>#NUM!</v>
      </c>
      <c r="L294" s="181"/>
      <c r="M294" s="183">
        <f t="shared" si="20"/>
        <v>0</v>
      </c>
    </row>
    <row r="295" spans="1:13" x14ac:dyDescent="0.25">
      <c r="A295" s="198"/>
      <c r="G295" s="169"/>
      <c r="H295" s="181">
        <v>290</v>
      </c>
      <c r="I295" s="182" t="str">
        <f t="shared" si="18"/>
        <v/>
      </c>
      <c r="J295" s="181" t="e">
        <f t="shared" si="21"/>
        <v>#NUM!</v>
      </c>
      <c r="K295" s="181" t="e">
        <f t="shared" si="19"/>
        <v>#NUM!</v>
      </c>
      <c r="L295" s="181"/>
      <c r="M295" s="183">
        <f t="shared" si="20"/>
        <v>0</v>
      </c>
    </row>
    <row r="296" spans="1:13" x14ac:dyDescent="0.25">
      <c r="A296" s="198"/>
      <c r="G296" s="169"/>
      <c r="H296" s="181">
        <v>291</v>
      </c>
      <c r="I296" s="182" t="str">
        <f t="shared" si="18"/>
        <v/>
      </c>
      <c r="J296" s="181" t="e">
        <f t="shared" si="21"/>
        <v>#NUM!</v>
      </c>
      <c r="K296" s="181" t="e">
        <f t="shared" si="19"/>
        <v>#NUM!</v>
      </c>
      <c r="L296" s="181"/>
      <c r="M296" s="183">
        <f t="shared" si="20"/>
        <v>0</v>
      </c>
    </row>
    <row r="297" spans="1:13" x14ac:dyDescent="0.25">
      <c r="A297" s="198"/>
      <c r="G297" s="169"/>
      <c r="H297" s="181">
        <v>292</v>
      </c>
      <c r="I297" s="182" t="str">
        <f t="shared" si="18"/>
        <v/>
      </c>
      <c r="J297" s="181" t="e">
        <f t="shared" si="21"/>
        <v>#NUM!</v>
      </c>
      <c r="K297" s="181" t="e">
        <f t="shared" si="19"/>
        <v>#NUM!</v>
      </c>
      <c r="L297" s="181"/>
      <c r="M297" s="183">
        <f t="shared" si="20"/>
        <v>0</v>
      </c>
    </row>
    <row r="298" spans="1:13" x14ac:dyDescent="0.25">
      <c r="A298" s="198"/>
      <c r="G298" s="169"/>
      <c r="H298" s="181">
        <v>293</v>
      </c>
      <c r="I298" s="182" t="str">
        <f t="shared" si="18"/>
        <v/>
      </c>
      <c r="J298" s="181" t="e">
        <f t="shared" si="21"/>
        <v>#NUM!</v>
      </c>
      <c r="K298" s="181" t="e">
        <f t="shared" si="19"/>
        <v>#NUM!</v>
      </c>
      <c r="L298" s="181"/>
      <c r="M298" s="183">
        <f t="shared" si="20"/>
        <v>0</v>
      </c>
    </row>
    <row r="299" spans="1:13" x14ac:dyDescent="0.25">
      <c r="A299" s="198"/>
      <c r="G299" s="169"/>
      <c r="H299" s="181">
        <v>294</v>
      </c>
      <c r="I299" s="182" t="str">
        <f t="shared" si="18"/>
        <v/>
      </c>
      <c r="J299" s="181" t="e">
        <f t="shared" si="21"/>
        <v>#NUM!</v>
      </c>
      <c r="K299" s="181" t="e">
        <f t="shared" si="19"/>
        <v>#NUM!</v>
      </c>
      <c r="L299" s="181"/>
      <c r="M299" s="183">
        <f t="shared" si="20"/>
        <v>0</v>
      </c>
    </row>
    <row r="300" spans="1:13" x14ac:dyDescent="0.25">
      <c r="A300" s="198"/>
      <c r="G300" s="169"/>
      <c r="H300" s="181">
        <v>295</v>
      </c>
      <c r="I300" s="182" t="str">
        <f t="shared" si="18"/>
        <v/>
      </c>
      <c r="J300" s="181" t="e">
        <f t="shared" si="21"/>
        <v>#NUM!</v>
      </c>
      <c r="K300" s="181" t="e">
        <f t="shared" si="19"/>
        <v>#NUM!</v>
      </c>
      <c r="L300" s="181"/>
      <c r="M300" s="183">
        <f t="shared" si="20"/>
        <v>0</v>
      </c>
    </row>
    <row r="301" spans="1:13" x14ac:dyDescent="0.25">
      <c r="A301" s="198"/>
      <c r="G301" s="169"/>
      <c r="H301" s="181">
        <v>296</v>
      </c>
      <c r="I301" s="182" t="str">
        <f t="shared" si="18"/>
        <v/>
      </c>
      <c r="J301" s="181" t="e">
        <f t="shared" si="21"/>
        <v>#NUM!</v>
      </c>
      <c r="K301" s="181" t="e">
        <f t="shared" si="19"/>
        <v>#NUM!</v>
      </c>
      <c r="L301" s="181"/>
      <c r="M301" s="183">
        <f t="shared" si="20"/>
        <v>0</v>
      </c>
    </row>
    <row r="302" spans="1:13" x14ac:dyDescent="0.25">
      <c r="A302" s="198"/>
      <c r="G302" s="169"/>
      <c r="H302" s="181">
        <v>297</v>
      </c>
      <c r="I302" s="182" t="str">
        <f t="shared" si="18"/>
        <v/>
      </c>
      <c r="J302" s="181" t="e">
        <f t="shared" si="21"/>
        <v>#NUM!</v>
      </c>
      <c r="K302" s="181" t="e">
        <f t="shared" si="19"/>
        <v>#NUM!</v>
      </c>
      <c r="L302" s="181"/>
      <c r="M302" s="183">
        <f t="shared" si="20"/>
        <v>0</v>
      </c>
    </row>
    <row r="303" spans="1:13" x14ac:dyDescent="0.25">
      <c r="A303" s="198"/>
      <c r="G303" s="169"/>
      <c r="H303" s="181">
        <v>298</v>
      </c>
      <c r="I303" s="182" t="str">
        <f t="shared" si="18"/>
        <v/>
      </c>
      <c r="J303" s="181" t="e">
        <f t="shared" si="21"/>
        <v>#NUM!</v>
      </c>
      <c r="K303" s="181" t="e">
        <f t="shared" si="19"/>
        <v>#NUM!</v>
      </c>
      <c r="L303" s="181"/>
      <c r="M303" s="183">
        <f t="shared" si="20"/>
        <v>0</v>
      </c>
    </row>
    <row r="304" spans="1:13" x14ac:dyDescent="0.25">
      <c r="A304" s="198"/>
      <c r="G304" s="169"/>
      <c r="H304" s="181">
        <v>299</v>
      </c>
      <c r="I304" s="182" t="str">
        <f t="shared" si="18"/>
        <v/>
      </c>
      <c r="J304" s="181" t="e">
        <f t="shared" si="21"/>
        <v>#NUM!</v>
      </c>
      <c r="K304" s="181" t="e">
        <f t="shared" si="19"/>
        <v>#NUM!</v>
      </c>
      <c r="L304" s="181"/>
      <c r="M304" s="183">
        <f t="shared" si="20"/>
        <v>0</v>
      </c>
    </row>
    <row r="305" spans="1:16" x14ac:dyDescent="0.25">
      <c r="A305" s="198"/>
      <c r="G305" s="169"/>
      <c r="H305" s="181">
        <v>300</v>
      </c>
      <c r="I305" s="182" t="str">
        <f t="shared" si="18"/>
        <v/>
      </c>
      <c r="J305" s="181" t="e">
        <f t="shared" si="21"/>
        <v>#NUM!</v>
      </c>
      <c r="K305" s="181" t="e">
        <f t="shared" si="19"/>
        <v>#NUM!</v>
      </c>
      <c r="L305" s="181"/>
      <c r="M305" s="183">
        <f t="shared" si="20"/>
        <v>0</v>
      </c>
    </row>
    <row r="306" spans="1:16" x14ac:dyDescent="0.25">
      <c r="A306" s="199"/>
      <c r="J306" s="200" t="e">
        <f t="shared" si="21"/>
        <v>#NUM!</v>
      </c>
    </row>
    <row r="307" spans="1:16" x14ac:dyDescent="0.25">
      <c r="J307" s="200" t="e">
        <f t="shared" si="21"/>
        <v>#NUM!</v>
      </c>
    </row>
    <row r="308" spans="1:16" x14ac:dyDescent="0.25">
      <c r="J308" s="200" t="e">
        <f t="shared" si="21"/>
        <v>#NUM!</v>
      </c>
    </row>
    <row r="309" spans="1:16" x14ac:dyDescent="0.25">
      <c r="J309" s="200" t="e">
        <f t="shared" si="21"/>
        <v>#NUM!</v>
      </c>
    </row>
    <row r="310" spans="1:16" x14ac:dyDescent="0.25">
      <c r="J310" s="200" t="e">
        <f t="shared" si="21"/>
        <v>#NUM!</v>
      </c>
    </row>
    <row r="311" spans="1:16" x14ac:dyDescent="0.25">
      <c r="J311" s="200" t="e">
        <f t="shared" si="21"/>
        <v>#NUM!</v>
      </c>
    </row>
    <row r="312" spans="1:16" x14ac:dyDescent="0.25">
      <c r="J312" s="200" t="e">
        <f t="shared" si="21"/>
        <v>#NUM!</v>
      </c>
    </row>
    <row r="313" spans="1:16" x14ac:dyDescent="0.25">
      <c r="J313" s="200" t="e">
        <f t="shared" si="21"/>
        <v>#NUM!</v>
      </c>
    </row>
    <row r="314" spans="1:16" x14ac:dyDescent="0.25">
      <c r="J314" s="200" t="e">
        <f t="shared" si="21"/>
        <v>#NUM!</v>
      </c>
      <c r="L314" s="202"/>
      <c r="P314" s="192"/>
    </row>
    <row r="315" spans="1:16" x14ac:dyDescent="0.25">
      <c r="J315" s="200" t="e">
        <f t="shared" si="21"/>
        <v>#NUM!</v>
      </c>
      <c r="L315" s="202"/>
      <c r="P315" s="192"/>
    </row>
    <row r="316" spans="1:16" x14ac:dyDescent="0.25">
      <c r="J316" s="200" t="e">
        <f t="shared" si="21"/>
        <v>#NUM!</v>
      </c>
      <c r="L316" s="202"/>
      <c r="P316" s="192"/>
    </row>
    <row r="317" spans="1:16" x14ac:dyDescent="0.25">
      <c r="J317" s="200" t="e">
        <f t="shared" si="21"/>
        <v>#NUM!</v>
      </c>
      <c r="L317" s="202"/>
      <c r="P317" s="192"/>
    </row>
    <row r="318" spans="1:16" x14ac:dyDescent="0.25">
      <c r="J318" s="200" t="e">
        <f t="shared" si="21"/>
        <v>#NUM!</v>
      </c>
    </row>
    <row r="319" spans="1:16" x14ac:dyDescent="0.25">
      <c r="J319" s="200" t="e">
        <f t="shared" si="21"/>
        <v>#NUM!</v>
      </c>
    </row>
    <row r="320" spans="1:16" x14ac:dyDescent="0.25">
      <c r="J320" s="200" t="e">
        <f t="shared" si="21"/>
        <v>#NUM!</v>
      </c>
    </row>
    <row r="321" spans="10:10" x14ac:dyDescent="0.25">
      <c r="J321" s="200" t="e">
        <f t="shared" si="21"/>
        <v>#NUM!</v>
      </c>
    </row>
    <row r="322" spans="10:10" x14ac:dyDescent="0.25">
      <c r="J322" s="200" t="e">
        <f t="shared" si="21"/>
        <v>#NUM!</v>
      </c>
    </row>
    <row r="323" spans="10:10" x14ac:dyDescent="0.25">
      <c r="J323" s="200" t="e">
        <f t="shared" si="21"/>
        <v>#NUM!</v>
      </c>
    </row>
    <row r="324" spans="10:10" x14ac:dyDescent="0.25">
      <c r="J324" s="200" t="e">
        <f t="shared" si="21"/>
        <v>#NUM!</v>
      </c>
    </row>
    <row r="325" spans="10:10" x14ac:dyDescent="0.25">
      <c r="J325" s="200" t="e">
        <f t="shared" si="21"/>
        <v>#NUM!</v>
      </c>
    </row>
    <row r="326" spans="10:10" x14ac:dyDescent="0.25">
      <c r="J326" s="200" t="e">
        <f t="shared" si="21"/>
        <v>#NUM!</v>
      </c>
    </row>
    <row r="327" spans="10:10" x14ac:dyDescent="0.25">
      <c r="J327" s="20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0" t="e">
        <f t="shared" si="22"/>
        <v>#NUM!</v>
      </c>
    </row>
    <row r="329" spans="10:10" x14ac:dyDescent="0.25">
      <c r="J329" s="200" t="e">
        <f t="shared" si="22"/>
        <v>#NUM!</v>
      </c>
    </row>
    <row r="330" spans="10:10" x14ac:dyDescent="0.25">
      <c r="J330" s="200" t="e">
        <f t="shared" si="22"/>
        <v>#NUM!</v>
      </c>
    </row>
    <row r="331" spans="10:10" x14ac:dyDescent="0.25">
      <c r="J331" s="200" t="e">
        <f t="shared" si="22"/>
        <v>#NUM!</v>
      </c>
    </row>
    <row r="332" spans="10:10" x14ac:dyDescent="0.25">
      <c r="J332" s="200" t="e">
        <f t="shared" si="22"/>
        <v>#NUM!</v>
      </c>
    </row>
    <row r="333" spans="10:10" x14ac:dyDescent="0.25">
      <c r="J333" s="200" t="e">
        <f t="shared" si="22"/>
        <v>#NUM!</v>
      </c>
    </row>
    <row r="334" spans="10:10" x14ac:dyDescent="0.25">
      <c r="J334" s="200" t="e">
        <f t="shared" si="22"/>
        <v>#NUM!</v>
      </c>
    </row>
    <row r="335" spans="10:10" x14ac:dyDescent="0.25">
      <c r="J335" s="200" t="e">
        <f t="shared" si="22"/>
        <v>#NUM!</v>
      </c>
    </row>
    <row r="336" spans="10:10" x14ac:dyDescent="0.25">
      <c r="J336" s="200" t="e">
        <f t="shared" si="22"/>
        <v>#NUM!</v>
      </c>
    </row>
    <row r="337" spans="10:10" x14ac:dyDescent="0.25">
      <c r="J337" s="200" t="e">
        <f t="shared" si="22"/>
        <v>#NUM!</v>
      </c>
    </row>
    <row r="338" spans="10:10" x14ac:dyDescent="0.25">
      <c r="J338" s="200" t="e">
        <f t="shared" si="22"/>
        <v>#NUM!</v>
      </c>
    </row>
    <row r="339" spans="10:10" x14ac:dyDescent="0.25">
      <c r="J339" s="200" t="e">
        <f t="shared" si="22"/>
        <v>#NUM!</v>
      </c>
    </row>
    <row r="340" spans="10:10" x14ac:dyDescent="0.25">
      <c r="J340" s="200" t="e">
        <f t="shared" si="22"/>
        <v>#NUM!</v>
      </c>
    </row>
    <row r="341" spans="10:10" x14ac:dyDescent="0.25">
      <c r="J341" s="200" t="e">
        <f t="shared" si="22"/>
        <v>#NUM!</v>
      </c>
    </row>
    <row r="342" spans="10:10" x14ac:dyDescent="0.25">
      <c r="J342" s="200" t="e">
        <f t="shared" si="22"/>
        <v>#NUM!</v>
      </c>
    </row>
    <row r="343" spans="10:10" x14ac:dyDescent="0.25">
      <c r="J343" s="200" t="e">
        <f t="shared" si="22"/>
        <v>#NUM!</v>
      </c>
    </row>
    <row r="344" spans="10:10" x14ac:dyDescent="0.25">
      <c r="J344" s="200" t="e">
        <f t="shared" si="22"/>
        <v>#NUM!</v>
      </c>
    </row>
    <row r="345" spans="10:10" x14ac:dyDescent="0.25">
      <c r="J345" s="200" t="e">
        <f t="shared" si="22"/>
        <v>#NUM!</v>
      </c>
    </row>
    <row r="346" spans="10:10" x14ac:dyDescent="0.25">
      <c r="J346" s="200" t="e">
        <f t="shared" si="22"/>
        <v>#NUM!</v>
      </c>
    </row>
    <row r="347" spans="10:10" x14ac:dyDescent="0.25">
      <c r="J347" s="200" t="e">
        <f t="shared" si="22"/>
        <v>#NUM!</v>
      </c>
    </row>
    <row r="348" spans="10:10" x14ac:dyDescent="0.25">
      <c r="J348" s="200" t="e">
        <f t="shared" si="22"/>
        <v>#NUM!</v>
      </c>
    </row>
    <row r="349" spans="10:10" x14ac:dyDescent="0.25">
      <c r="J349" s="200" t="e">
        <f t="shared" si="22"/>
        <v>#NUM!</v>
      </c>
    </row>
    <row r="350" spans="10:10" x14ac:dyDescent="0.25">
      <c r="J350" s="200" t="e">
        <f t="shared" si="22"/>
        <v>#NUM!</v>
      </c>
    </row>
    <row r="351" spans="10:10" x14ac:dyDescent="0.25">
      <c r="J351" s="200" t="e">
        <f t="shared" si="22"/>
        <v>#NUM!</v>
      </c>
    </row>
    <row r="352" spans="10:10" x14ac:dyDescent="0.25">
      <c r="J352" s="200" t="e">
        <f t="shared" si="22"/>
        <v>#NUM!</v>
      </c>
    </row>
    <row r="353" spans="10:10" x14ac:dyDescent="0.25">
      <c r="J353" s="200" t="e">
        <f t="shared" si="22"/>
        <v>#NUM!</v>
      </c>
    </row>
    <row r="354" spans="10:10" x14ac:dyDescent="0.25">
      <c r="J354" s="200" t="e">
        <f t="shared" si="22"/>
        <v>#NUM!</v>
      </c>
    </row>
    <row r="355" spans="10:10" x14ac:dyDescent="0.25">
      <c r="J355" s="200" t="e">
        <f t="shared" si="22"/>
        <v>#NUM!</v>
      </c>
    </row>
    <row r="356" spans="10:10" x14ac:dyDescent="0.25">
      <c r="J356" s="200" t="e">
        <f t="shared" si="22"/>
        <v>#NUM!</v>
      </c>
    </row>
    <row r="357" spans="10:10" x14ac:dyDescent="0.25">
      <c r="J357" s="200" t="e">
        <f t="shared" si="22"/>
        <v>#NUM!</v>
      </c>
    </row>
    <row r="358" spans="10:10" x14ac:dyDescent="0.25">
      <c r="J358" s="200" t="e">
        <f t="shared" si="22"/>
        <v>#NUM!</v>
      </c>
    </row>
    <row r="359" spans="10:10" x14ac:dyDescent="0.25">
      <c r="J359" s="200" t="e">
        <f t="shared" si="22"/>
        <v>#NUM!</v>
      </c>
    </row>
    <row r="360" spans="10:10" x14ac:dyDescent="0.25">
      <c r="J360" s="200" t="e">
        <f t="shared" si="22"/>
        <v>#NUM!</v>
      </c>
    </row>
    <row r="361" spans="10:10" x14ac:dyDescent="0.25">
      <c r="J361" s="200" t="e">
        <f t="shared" si="22"/>
        <v>#NUM!</v>
      </c>
    </row>
    <row r="362" spans="10:10" x14ac:dyDescent="0.25">
      <c r="J362" s="200" t="e">
        <f t="shared" si="22"/>
        <v>#NUM!</v>
      </c>
    </row>
    <row r="363" spans="10:10" x14ac:dyDescent="0.25">
      <c r="J363" s="200" t="e">
        <f t="shared" si="22"/>
        <v>#NUM!</v>
      </c>
    </row>
    <row r="364" spans="10:10" x14ac:dyDescent="0.25">
      <c r="J364" s="200" t="e">
        <f t="shared" si="22"/>
        <v>#NUM!</v>
      </c>
    </row>
    <row r="365" spans="10:10" x14ac:dyDescent="0.25">
      <c r="J365" s="200" t="e">
        <f t="shared" si="22"/>
        <v>#NUM!</v>
      </c>
    </row>
    <row r="366" spans="10:10" x14ac:dyDescent="0.25">
      <c r="J366" s="200" t="e">
        <f t="shared" si="22"/>
        <v>#NUM!</v>
      </c>
    </row>
    <row r="367" spans="10:10" x14ac:dyDescent="0.25">
      <c r="J367" s="200" t="e">
        <f t="shared" si="22"/>
        <v>#NUM!</v>
      </c>
    </row>
    <row r="368" spans="10:10" x14ac:dyDescent="0.25">
      <c r="J368" s="200" t="e">
        <f t="shared" si="22"/>
        <v>#NUM!</v>
      </c>
    </row>
    <row r="369" spans="10:10" x14ac:dyDescent="0.25">
      <c r="J369" s="200" t="e">
        <f t="shared" si="22"/>
        <v>#NUM!</v>
      </c>
    </row>
    <row r="370" spans="10:10" x14ac:dyDescent="0.25">
      <c r="J370" s="200" t="e">
        <f t="shared" si="22"/>
        <v>#NUM!</v>
      </c>
    </row>
    <row r="371" spans="10:10" x14ac:dyDescent="0.25">
      <c r="J371" s="200" t="e">
        <f t="shared" si="22"/>
        <v>#NUM!</v>
      </c>
    </row>
    <row r="372" spans="10:10" x14ac:dyDescent="0.25">
      <c r="J372" s="200" t="e">
        <f t="shared" si="22"/>
        <v>#NUM!</v>
      </c>
    </row>
    <row r="373" spans="10:10" x14ac:dyDescent="0.25">
      <c r="J373" s="200" t="e">
        <f t="shared" si="22"/>
        <v>#NUM!</v>
      </c>
    </row>
    <row r="374" spans="10:10" x14ac:dyDescent="0.25">
      <c r="J374" s="200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936B2F33-87A9-4163-9DF5-4B33580977C3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A851-9B52-4CBC-AD54-179E0B382D39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7" customWidth="1"/>
    <col min="2" max="2" width="8.25" style="197" customWidth="1"/>
    <col min="3" max="3" width="34.75" style="197" customWidth="1"/>
    <col min="4" max="4" width="11.25" style="197" customWidth="1"/>
    <col min="5" max="6" width="8.875" style="197"/>
    <col min="7" max="7" width="0.875" style="197" customWidth="1"/>
    <col min="8" max="8" width="8.875" style="200"/>
    <col min="9" max="9" width="11" style="200" customWidth="1"/>
    <col min="10" max="10" width="15.25" style="200" customWidth="1"/>
    <col min="11" max="11" width="8.75" style="200" customWidth="1"/>
    <col min="12" max="12" width="11" style="200" customWidth="1"/>
    <col min="13" max="13" width="12.25" style="201" customWidth="1"/>
    <col min="14" max="15" width="13.875" style="169" customWidth="1"/>
    <col min="16" max="18" width="8.875" style="169"/>
    <col min="19" max="20" width="8.875" style="174"/>
    <col min="21" max="21" width="12.125" style="174" customWidth="1"/>
    <col min="22" max="22" width="27.375" style="174" customWidth="1"/>
    <col min="23" max="38" width="8.875" style="174"/>
    <col min="39" max="16384" width="8.875" style="197"/>
  </cols>
  <sheetData>
    <row r="1" spans="1:36" x14ac:dyDescent="0.25">
      <c r="A1" s="169"/>
      <c r="B1" s="169"/>
      <c r="C1" s="169"/>
      <c r="D1" s="169"/>
      <c r="E1" s="169"/>
      <c r="F1" s="169"/>
      <c r="G1" s="169"/>
      <c r="H1" s="170" t="s">
        <v>29</v>
      </c>
      <c r="I1" s="171" t="s">
        <v>30</v>
      </c>
      <c r="J1" s="171" t="s">
        <v>31</v>
      </c>
      <c r="K1" s="172" t="s">
        <v>116</v>
      </c>
      <c r="L1" s="173"/>
      <c r="M1" s="173"/>
    </row>
    <row r="2" spans="1:36" x14ac:dyDescent="0.25">
      <c r="A2" s="169"/>
      <c r="B2" s="19" t="s">
        <v>33</v>
      </c>
      <c r="C2" s="129" t="s">
        <v>134</v>
      </c>
      <c r="D2" s="69"/>
      <c r="E2" s="20"/>
      <c r="F2" s="20"/>
      <c r="G2" s="20"/>
      <c r="H2" s="175">
        <v>0</v>
      </c>
      <c r="I2" s="176">
        <v>50</v>
      </c>
      <c r="J2" s="176">
        <v>10</v>
      </c>
      <c r="K2" s="203">
        <f>3*H2^(1/3)</f>
        <v>0</v>
      </c>
      <c r="L2" s="173"/>
      <c r="M2" s="173"/>
    </row>
    <row r="3" spans="1:36" x14ac:dyDescent="0.25">
      <c r="A3" s="169"/>
      <c r="B3" s="178" t="s">
        <v>35</v>
      </c>
      <c r="C3" s="70" t="s">
        <v>135</v>
      </c>
      <c r="D3" s="70"/>
      <c r="E3" s="25"/>
      <c r="F3" s="25"/>
      <c r="G3" s="25"/>
      <c r="H3" s="173"/>
      <c r="I3" s="173"/>
      <c r="J3" s="204"/>
      <c r="K3" s="173"/>
      <c r="L3" s="173"/>
      <c r="M3" s="17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3"/>
      <c r="I4" s="173"/>
      <c r="J4" s="204"/>
      <c r="K4" s="173"/>
      <c r="L4" s="173"/>
      <c r="M4" s="17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79" t="s">
        <v>43</v>
      </c>
      <c r="I5" s="180" t="s">
        <v>44</v>
      </c>
      <c r="J5" s="205" t="s">
        <v>45</v>
      </c>
      <c r="K5" s="180" t="s">
        <v>46</v>
      </c>
      <c r="L5" s="180" t="s">
        <v>47</v>
      </c>
      <c r="M5" s="179" t="s">
        <v>48</v>
      </c>
    </row>
    <row r="6" spans="1:36" ht="14.45" customHeight="1" x14ac:dyDescent="0.25">
      <c r="A6" s="97">
        <f>M6</f>
        <v>0</v>
      </c>
      <c r="B6" s="33" t="str">
        <f>IF(H6&gt;$H$2,"",(ROW()-5))</f>
        <v/>
      </c>
      <c r="C6" s="34"/>
      <c r="D6" s="34"/>
      <c r="E6" s="34"/>
      <c r="F6" s="34" t="s">
        <v>50</v>
      </c>
      <c r="G6" s="27"/>
      <c r="H6" s="181">
        <v>1</v>
      </c>
      <c r="I6" s="182" t="str">
        <f t="shared" ref="I6:I69" si="0">IF(H6&lt;$H$2+1,($I$2-($I$2-1)*(LOG(H6)/LOG($H$2))),"")</f>
        <v/>
      </c>
      <c r="J6" s="181" t="e">
        <f>INT(LOG($H$2,2))-ROUNDUP(LOG(H6,2),0)+IF(OR($H$2=1,$H$2=2,$H$2=4,$H$2=8,$H$2=16,$H$2=32,$H$2=64,$H$2=128,$H$2=256),0,1)</f>
        <v>#NUM!</v>
      </c>
      <c r="K6" s="181" t="e">
        <f t="shared" ref="K6:K69" si="1">J6*$J$2</f>
        <v>#NUM!</v>
      </c>
      <c r="L6" s="183">
        <f>3*K2</f>
        <v>0</v>
      </c>
      <c r="M6" s="183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50</v>
      </c>
      <c r="G7" s="27"/>
      <c r="H7" s="184">
        <v>2</v>
      </c>
      <c r="I7" s="185" t="str">
        <f t="shared" si="0"/>
        <v/>
      </c>
      <c r="J7" s="184" t="e">
        <f t="shared" ref="J7:J70" si="5">INT(LOG($H$2,2))-ROUNDUP(LOG(H7,2),0)+IF(OR($H$2=1,$H$2=2,$H$2=4,$H$2=8,$H$2=16,$H$2=32,$H$2=64,$H$2=128,$H$2=256),0,1)</f>
        <v>#NUM!</v>
      </c>
      <c r="K7" s="184" t="e">
        <f t="shared" si="1"/>
        <v>#NUM!</v>
      </c>
      <c r="L7" s="186">
        <f>2*K2</f>
        <v>0</v>
      </c>
      <c r="M7" s="186">
        <f t="shared" si="2"/>
        <v>0</v>
      </c>
    </row>
    <row r="8" spans="1:36" ht="14.45" customHeight="1" x14ac:dyDescent="0.25">
      <c r="A8" s="97">
        <f t="shared" si="3"/>
        <v>0</v>
      </c>
      <c r="B8" s="33" t="str">
        <f t="shared" si="4"/>
        <v/>
      </c>
      <c r="C8" s="34"/>
      <c r="D8" s="34"/>
      <c r="E8" s="34"/>
      <c r="F8" s="34" t="s">
        <v>50</v>
      </c>
      <c r="G8" s="27"/>
      <c r="H8" s="181">
        <v>3</v>
      </c>
      <c r="I8" s="182" t="str">
        <f t="shared" si="0"/>
        <v/>
      </c>
      <c r="J8" s="181" t="e">
        <f t="shared" si="5"/>
        <v>#NUM!</v>
      </c>
      <c r="K8" s="181" t="e">
        <f t="shared" si="1"/>
        <v>#NUM!</v>
      </c>
      <c r="L8" s="183">
        <f>K2</f>
        <v>0</v>
      </c>
      <c r="M8" s="183">
        <f t="shared" si="2"/>
        <v>0</v>
      </c>
    </row>
    <row r="9" spans="1:36" s="174" customFormat="1" ht="14.45" customHeight="1" x14ac:dyDescent="0.25">
      <c r="A9" s="101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84">
        <v>3</v>
      </c>
      <c r="I9" s="185" t="str">
        <f t="shared" si="0"/>
        <v/>
      </c>
      <c r="J9" s="184" t="e">
        <f t="shared" si="5"/>
        <v>#NUM!</v>
      </c>
      <c r="K9" s="184" t="e">
        <f t="shared" si="1"/>
        <v>#NUM!</v>
      </c>
      <c r="L9" s="186">
        <f>K2</f>
        <v>0</v>
      </c>
      <c r="M9" s="186">
        <f t="shared" si="2"/>
        <v>0</v>
      </c>
      <c r="N9" s="169"/>
      <c r="O9" s="169"/>
      <c r="P9" s="169"/>
      <c r="Q9" s="169"/>
      <c r="R9" s="169"/>
      <c r="V9" s="187"/>
      <c r="Z9" s="188"/>
      <c r="AA9" s="188"/>
      <c r="AG9" s="189"/>
      <c r="AH9" s="174" t="s">
        <v>54</v>
      </c>
      <c r="AI9" s="174">
        <v>23</v>
      </c>
    </row>
    <row r="10" spans="1:36" ht="14.45" customHeight="1" x14ac:dyDescent="0.25">
      <c r="A10" s="97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81">
        <v>5</v>
      </c>
      <c r="I10" s="182" t="str">
        <f t="shared" si="0"/>
        <v/>
      </c>
      <c r="J10" s="181" t="e">
        <f t="shared" si="5"/>
        <v>#NUM!</v>
      </c>
      <c r="K10" s="181" t="e">
        <f t="shared" si="1"/>
        <v>#NUM!</v>
      </c>
      <c r="L10" s="181"/>
      <c r="M10" s="183">
        <f t="shared" si="2"/>
        <v>0</v>
      </c>
      <c r="V10" s="187"/>
      <c r="Z10" s="188"/>
      <c r="AA10" s="188"/>
      <c r="AG10" s="189"/>
      <c r="AH10" s="174" t="s">
        <v>55</v>
      </c>
      <c r="AI10" s="174">
        <v>45</v>
      </c>
    </row>
    <row r="11" spans="1:36" ht="14.45" customHeight="1" x14ac:dyDescent="0.25">
      <c r="A11" s="101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84">
        <v>6</v>
      </c>
      <c r="I11" s="185" t="str">
        <f t="shared" si="0"/>
        <v/>
      </c>
      <c r="J11" s="184" t="e">
        <f t="shared" si="5"/>
        <v>#NUM!</v>
      </c>
      <c r="K11" s="184" t="e">
        <f t="shared" si="1"/>
        <v>#NUM!</v>
      </c>
      <c r="L11" s="184"/>
      <c r="M11" s="186">
        <f t="shared" si="2"/>
        <v>0</v>
      </c>
      <c r="V11" s="190"/>
      <c r="Z11" s="188"/>
      <c r="AA11" s="188"/>
      <c r="AG11" s="189"/>
      <c r="AH11" s="174" t="s">
        <v>56</v>
      </c>
      <c r="AI11" s="174">
        <v>50</v>
      </c>
    </row>
    <row r="12" spans="1:36" ht="14.45" customHeight="1" x14ac:dyDescent="0.25">
      <c r="A12" s="97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81">
        <v>7</v>
      </c>
      <c r="I12" s="182" t="str">
        <f t="shared" si="0"/>
        <v/>
      </c>
      <c r="J12" s="181" t="e">
        <f t="shared" si="5"/>
        <v>#NUM!</v>
      </c>
      <c r="K12" s="181" t="e">
        <f t="shared" si="1"/>
        <v>#NUM!</v>
      </c>
      <c r="L12" s="181"/>
      <c r="M12" s="183">
        <f t="shared" si="2"/>
        <v>0</v>
      </c>
      <c r="Z12" s="188"/>
      <c r="AA12" s="188"/>
      <c r="AG12" s="189"/>
      <c r="AH12" s="174" t="s">
        <v>57</v>
      </c>
      <c r="AI12" s="174">
        <f>AI11-1</f>
        <v>49</v>
      </c>
    </row>
    <row r="13" spans="1:36" ht="14.45" customHeight="1" x14ac:dyDescent="0.25">
      <c r="A13" s="101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84">
        <v>8</v>
      </c>
      <c r="I13" s="185" t="str">
        <f t="shared" si="0"/>
        <v/>
      </c>
      <c r="J13" s="184" t="e">
        <f t="shared" si="5"/>
        <v>#NUM!</v>
      </c>
      <c r="K13" s="184" t="e">
        <f t="shared" si="1"/>
        <v>#NUM!</v>
      </c>
      <c r="L13" s="184"/>
      <c r="M13" s="186">
        <f t="shared" si="2"/>
        <v>0</v>
      </c>
      <c r="X13" s="187"/>
      <c r="AG13" s="189"/>
      <c r="AH13" s="174" t="s">
        <v>58</v>
      </c>
      <c r="AI13" s="174">
        <f>LOG(AI9)</f>
        <v>1.3617278360175928</v>
      </c>
    </row>
    <row r="14" spans="1:36" x14ac:dyDescent="0.25">
      <c r="A14" s="97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81">
        <v>9</v>
      </c>
      <c r="I14" s="182" t="str">
        <f t="shared" si="0"/>
        <v/>
      </c>
      <c r="J14" s="181" t="e">
        <f t="shared" si="5"/>
        <v>#NUM!</v>
      </c>
      <c r="K14" s="181" t="e">
        <f t="shared" si="1"/>
        <v>#NUM!</v>
      </c>
      <c r="L14" s="181"/>
      <c r="M14" s="183">
        <f t="shared" si="2"/>
        <v>0</v>
      </c>
      <c r="X14" s="191"/>
      <c r="Z14" s="188"/>
      <c r="AA14" s="188"/>
      <c r="AG14" s="189"/>
      <c r="AH14" s="174" t="s">
        <v>59</v>
      </c>
      <c r="AI14" s="174">
        <f>LOG(AI10)</f>
        <v>1.6532125137753437</v>
      </c>
    </row>
    <row r="15" spans="1:36" x14ac:dyDescent="0.25">
      <c r="A15" s="101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84">
        <v>10</v>
      </c>
      <c r="I15" s="185" t="str">
        <f t="shared" si="0"/>
        <v/>
      </c>
      <c r="J15" s="184" t="e">
        <f t="shared" si="5"/>
        <v>#NUM!</v>
      </c>
      <c r="K15" s="184" t="e">
        <f t="shared" si="1"/>
        <v>#NUM!</v>
      </c>
      <c r="L15" s="184"/>
      <c r="M15" s="186">
        <f t="shared" si="2"/>
        <v>0</v>
      </c>
      <c r="X15" s="187"/>
      <c r="Z15" s="188"/>
      <c r="AA15" s="188"/>
    </row>
    <row r="16" spans="1:36" x14ac:dyDescent="0.25">
      <c r="A16" s="97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81">
        <v>11</v>
      </c>
      <c r="I16" s="182" t="str">
        <f t="shared" si="0"/>
        <v/>
      </c>
      <c r="J16" s="181" t="e">
        <f t="shared" si="5"/>
        <v>#NUM!</v>
      </c>
      <c r="K16" s="181" t="e">
        <f t="shared" si="1"/>
        <v>#NUM!</v>
      </c>
      <c r="L16" s="181"/>
      <c r="M16" s="183">
        <f t="shared" si="2"/>
        <v>0</v>
      </c>
      <c r="R16" s="192"/>
      <c r="Z16" s="188"/>
      <c r="AA16" s="188"/>
      <c r="AH16" s="193" t="s">
        <v>60</v>
      </c>
      <c r="AI16" s="174">
        <f>AI11-AI12*AI13/AI14</f>
        <v>9.6393909380186855</v>
      </c>
      <c r="AJ16" s="174" t="s">
        <v>61</v>
      </c>
    </row>
    <row r="17" spans="1:19" x14ac:dyDescent="0.25">
      <c r="A17" s="101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84">
        <v>12</v>
      </c>
      <c r="I17" s="185" t="str">
        <f t="shared" si="0"/>
        <v/>
      </c>
      <c r="J17" s="184" t="e">
        <f t="shared" si="5"/>
        <v>#NUM!</v>
      </c>
      <c r="K17" s="184" t="e">
        <f t="shared" si="1"/>
        <v>#NUM!</v>
      </c>
      <c r="L17" s="184"/>
      <c r="M17" s="186">
        <f t="shared" si="2"/>
        <v>0</v>
      </c>
    </row>
    <row r="18" spans="1:19" x14ac:dyDescent="0.25">
      <c r="A18" s="97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81">
        <v>13</v>
      </c>
      <c r="I18" s="182" t="str">
        <f t="shared" si="0"/>
        <v/>
      </c>
      <c r="J18" s="181" t="e">
        <f t="shared" si="5"/>
        <v>#NUM!</v>
      </c>
      <c r="K18" s="181" t="e">
        <f t="shared" si="1"/>
        <v>#NUM!</v>
      </c>
      <c r="L18" s="181"/>
      <c r="M18" s="183">
        <f t="shared" si="2"/>
        <v>0</v>
      </c>
    </row>
    <row r="19" spans="1:19" x14ac:dyDescent="0.25">
      <c r="A19" s="101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84">
        <v>14</v>
      </c>
      <c r="I19" s="185" t="str">
        <f t="shared" si="0"/>
        <v/>
      </c>
      <c r="J19" s="184" t="e">
        <f t="shared" si="5"/>
        <v>#NUM!</v>
      </c>
      <c r="K19" s="184" t="e">
        <f t="shared" si="1"/>
        <v>#NUM!</v>
      </c>
      <c r="L19" s="184"/>
      <c r="M19" s="186">
        <f t="shared" si="2"/>
        <v>0</v>
      </c>
    </row>
    <row r="20" spans="1:19" x14ac:dyDescent="0.25">
      <c r="A20" s="97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81">
        <v>15</v>
      </c>
      <c r="I20" s="182" t="str">
        <f t="shared" si="0"/>
        <v/>
      </c>
      <c r="J20" s="181" t="e">
        <f t="shared" si="5"/>
        <v>#NUM!</v>
      </c>
      <c r="K20" s="181" t="e">
        <f t="shared" si="1"/>
        <v>#NUM!</v>
      </c>
      <c r="L20" s="181"/>
      <c r="M20" s="183">
        <f t="shared" si="2"/>
        <v>0</v>
      </c>
      <c r="R20" s="194"/>
      <c r="S20" s="195"/>
    </row>
    <row r="21" spans="1:19" x14ac:dyDescent="0.25">
      <c r="A21" s="101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84">
        <v>16</v>
      </c>
      <c r="I21" s="185" t="str">
        <f t="shared" si="0"/>
        <v/>
      </c>
      <c r="J21" s="184" t="e">
        <f t="shared" si="5"/>
        <v>#NUM!</v>
      </c>
      <c r="K21" s="184" t="e">
        <f t="shared" si="1"/>
        <v>#NUM!</v>
      </c>
      <c r="L21" s="184"/>
      <c r="M21" s="186">
        <f t="shared" si="2"/>
        <v>0</v>
      </c>
    </row>
    <row r="22" spans="1:19" x14ac:dyDescent="0.25">
      <c r="A22" s="97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81">
        <v>17</v>
      </c>
      <c r="I22" s="182" t="str">
        <f t="shared" si="0"/>
        <v/>
      </c>
      <c r="J22" s="181" t="e">
        <f t="shared" si="5"/>
        <v>#NUM!</v>
      </c>
      <c r="K22" s="181" t="e">
        <f t="shared" si="1"/>
        <v>#NUM!</v>
      </c>
      <c r="L22" s="181"/>
      <c r="M22" s="183">
        <f t="shared" si="2"/>
        <v>0</v>
      </c>
    </row>
    <row r="23" spans="1:19" x14ac:dyDescent="0.25">
      <c r="A23" s="101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84">
        <v>18</v>
      </c>
      <c r="I23" s="185" t="str">
        <f t="shared" si="0"/>
        <v/>
      </c>
      <c r="J23" s="184" t="e">
        <f t="shared" si="5"/>
        <v>#NUM!</v>
      </c>
      <c r="K23" s="184" t="e">
        <f t="shared" si="1"/>
        <v>#NUM!</v>
      </c>
      <c r="L23" s="184"/>
      <c r="M23" s="186">
        <f t="shared" si="2"/>
        <v>0</v>
      </c>
    </row>
    <row r="24" spans="1:19" x14ac:dyDescent="0.25">
      <c r="A24" s="97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81">
        <v>19</v>
      </c>
      <c r="I24" s="182" t="str">
        <f t="shared" si="0"/>
        <v/>
      </c>
      <c r="J24" s="181" t="e">
        <f t="shared" si="5"/>
        <v>#NUM!</v>
      </c>
      <c r="K24" s="181" t="e">
        <f t="shared" si="1"/>
        <v>#NUM!</v>
      </c>
      <c r="L24" s="181"/>
      <c r="M24" s="183">
        <f t="shared" si="2"/>
        <v>0</v>
      </c>
      <c r="R24" s="194"/>
      <c r="S24" s="195"/>
    </row>
    <row r="25" spans="1:19" x14ac:dyDescent="0.25">
      <c r="A25" s="101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84">
        <v>20</v>
      </c>
      <c r="I25" s="185" t="str">
        <f t="shared" si="0"/>
        <v/>
      </c>
      <c r="J25" s="184" t="e">
        <f t="shared" si="5"/>
        <v>#NUM!</v>
      </c>
      <c r="K25" s="184" t="e">
        <f t="shared" si="1"/>
        <v>#NUM!</v>
      </c>
      <c r="L25" s="184"/>
      <c r="M25" s="186">
        <f t="shared" si="2"/>
        <v>0</v>
      </c>
    </row>
    <row r="26" spans="1:19" x14ac:dyDescent="0.25">
      <c r="A26" s="97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81">
        <v>21</v>
      </c>
      <c r="I26" s="182" t="str">
        <f t="shared" si="0"/>
        <v/>
      </c>
      <c r="J26" s="181" t="e">
        <f t="shared" si="5"/>
        <v>#NUM!</v>
      </c>
      <c r="K26" s="181" t="e">
        <f t="shared" si="1"/>
        <v>#NUM!</v>
      </c>
      <c r="L26" s="181"/>
      <c r="M26" s="183">
        <f t="shared" si="2"/>
        <v>0</v>
      </c>
    </row>
    <row r="27" spans="1:19" x14ac:dyDescent="0.25">
      <c r="A27" s="101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84">
        <v>22</v>
      </c>
      <c r="I27" s="185" t="str">
        <f t="shared" si="0"/>
        <v/>
      </c>
      <c r="J27" s="184" t="e">
        <f t="shared" si="5"/>
        <v>#NUM!</v>
      </c>
      <c r="K27" s="184" t="e">
        <f t="shared" si="1"/>
        <v>#NUM!</v>
      </c>
      <c r="L27" s="184"/>
      <c r="M27" s="186">
        <f t="shared" si="2"/>
        <v>0</v>
      </c>
    </row>
    <row r="28" spans="1:19" x14ac:dyDescent="0.25">
      <c r="A28" s="97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81">
        <v>23</v>
      </c>
      <c r="I28" s="182" t="str">
        <f t="shared" si="0"/>
        <v/>
      </c>
      <c r="J28" s="181" t="e">
        <f t="shared" si="5"/>
        <v>#NUM!</v>
      </c>
      <c r="K28" s="181" t="e">
        <f t="shared" si="1"/>
        <v>#NUM!</v>
      </c>
      <c r="L28" s="181"/>
      <c r="M28" s="183">
        <f t="shared" si="2"/>
        <v>0</v>
      </c>
      <c r="R28" s="194"/>
      <c r="S28" s="195"/>
    </row>
    <row r="29" spans="1:19" x14ac:dyDescent="0.25">
      <c r="A29" s="101">
        <f t="shared" si="3"/>
        <v>0</v>
      </c>
      <c r="B29" s="39" t="str">
        <f t="shared" si="4"/>
        <v/>
      </c>
      <c r="C29" s="40"/>
      <c r="D29" s="40"/>
      <c r="E29" s="40"/>
      <c r="F29" s="40"/>
      <c r="G29" s="169"/>
      <c r="H29" s="184">
        <v>24</v>
      </c>
      <c r="I29" s="185" t="str">
        <f t="shared" si="0"/>
        <v/>
      </c>
      <c r="J29" s="184" t="e">
        <f t="shared" si="5"/>
        <v>#NUM!</v>
      </c>
      <c r="K29" s="184" t="e">
        <f t="shared" si="1"/>
        <v>#NUM!</v>
      </c>
      <c r="L29" s="184"/>
      <c r="M29" s="186">
        <f t="shared" si="2"/>
        <v>0</v>
      </c>
    </row>
    <row r="30" spans="1:19" x14ac:dyDescent="0.25">
      <c r="A30" s="97">
        <f t="shared" si="3"/>
        <v>0</v>
      </c>
      <c r="B30" s="33" t="str">
        <f t="shared" si="4"/>
        <v/>
      </c>
      <c r="C30" s="34"/>
      <c r="D30" s="34"/>
      <c r="E30" s="34"/>
      <c r="F30" s="34"/>
      <c r="G30" s="169"/>
      <c r="H30" s="181">
        <v>25</v>
      </c>
      <c r="I30" s="182" t="str">
        <f t="shared" si="0"/>
        <v/>
      </c>
      <c r="J30" s="181" t="e">
        <f t="shared" si="5"/>
        <v>#NUM!</v>
      </c>
      <c r="K30" s="181" t="e">
        <f t="shared" si="1"/>
        <v>#NUM!</v>
      </c>
      <c r="L30" s="181"/>
      <c r="M30" s="183">
        <f t="shared" si="2"/>
        <v>0</v>
      </c>
    </row>
    <row r="31" spans="1:19" x14ac:dyDescent="0.25">
      <c r="A31" s="101">
        <f t="shared" si="3"/>
        <v>0</v>
      </c>
      <c r="B31" s="39" t="str">
        <f t="shared" si="4"/>
        <v/>
      </c>
      <c r="C31" s="40"/>
      <c r="D31" s="40"/>
      <c r="E31" s="40"/>
      <c r="F31" s="40"/>
      <c r="G31" s="169"/>
      <c r="H31" s="184">
        <v>26</v>
      </c>
      <c r="I31" s="185" t="str">
        <f t="shared" si="0"/>
        <v/>
      </c>
      <c r="J31" s="184" t="e">
        <f t="shared" si="5"/>
        <v>#NUM!</v>
      </c>
      <c r="K31" s="184" t="e">
        <f t="shared" si="1"/>
        <v>#NUM!</v>
      </c>
      <c r="L31" s="184"/>
      <c r="M31" s="186">
        <f t="shared" si="2"/>
        <v>0</v>
      </c>
    </row>
    <row r="32" spans="1:19" x14ac:dyDescent="0.25">
      <c r="A32" s="97">
        <f t="shared" si="3"/>
        <v>0</v>
      </c>
      <c r="B32" s="33" t="str">
        <f t="shared" si="4"/>
        <v/>
      </c>
      <c r="C32" s="34"/>
      <c r="D32" s="34"/>
      <c r="E32" s="34"/>
      <c r="F32" s="34"/>
      <c r="G32" s="169"/>
      <c r="H32" s="181">
        <v>27</v>
      </c>
      <c r="I32" s="182" t="str">
        <f t="shared" si="0"/>
        <v/>
      </c>
      <c r="J32" s="181" t="e">
        <f t="shared" si="5"/>
        <v>#NUM!</v>
      </c>
      <c r="K32" s="181" t="e">
        <f t="shared" si="1"/>
        <v>#NUM!</v>
      </c>
      <c r="L32" s="181"/>
      <c r="M32" s="183">
        <f t="shared" si="2"/>
        <v>0</v>
      </c>
      <c r="R32" s="194"/>
      <c r="S32" s="195"/>
    </row>
    <row r="33" spans="1:21" x14ac:dyDescent="0.25">
      <c r="A33" s="101">
        <f t="shared" si="3"/>
        <v>0</v>
      </c>
      <c r="B33" s="39" t="str">
        <f t="shared" si="4"/>
        <v/>
      </c>
      <c r="C33" s="40"/>
      <c r="D33" s="40"/>
      <c r="E33" s="40"/>
      <c r="F33" s="40"/>
      <c r="G33" s="169"/>
      <c r="H33" s="184">
        <v>28</v>
      </c>
      <c r="I33" s="185" t="str">
        <f t="shared" si="0"/>
        <v/>
      </c>
      <c r="J33" s="184" t="e">
        <f t="shared" si="5"/>
        <v>#NUM!</v>
      </c>
      <c r="K33" s="184" t="e">
        <f t="shared" si="1"/>
        <v>#NUM!</v>
      </c>
      <c r="L33" s="184"/>
      <c r="M33" s="186">
        <f t="shared" si="2"/>
        <v>0</v>
      </c>
    </row>
    <row r="34" spans="1:21" x14ac:dyDescent="0.25">
      <c r="A34" s="97">
        <f t="shared" si="3"/>
        <v>0</v>
      </c>
      <c r="B34" s="33" t="str">
        <f t="shared" si="4"/>
        <v/>
      </c>
      <c r="C34" s="34"/>
      <c r="D34" s="34"/>
      <c r="E34" s="34"/>
      <c r="F34" s="34"/>
      <c r="G34" s="169"/>
      <c r="H34" s="181">
        <v>29</v>
      </c>
      <c r="I34" s="182" t="str">
        <f t="shared" si="0"/>
        <v/>
      </c>
      <c r="J34" s="181" t="e">
        <f t="shared" si="5"/>
        <v>#NUM!</v>
      </c>
      <c r="K34" s="181" t="e">
        <f t="shared" si="1"/>
        <v>#NUM!</v>
      </c>
      <c r="L34" s="181"/>
      <c r="M34" s="183">
        <f t="shared" si="2"/>
        <v>0</v>
      </c>
    </row>
    <row r="35" spans="1:21" x14ac:dyDescent="0.25">
      <c r="A35" s="101">
        <f t="shared" si="3"/>
        <v>0</v>
      </c>
      <c r="B35" s="39" t="str">
        <f t="shared" si="4"/>
        <v/>
      </c>
      <c r="C35" s="40"/>
      <c r="D35" s="40"/>
      <c r="E35" s="40"/>
      <c r="F35" s="40"/>
      <c r="G35" s="169"/>
      <c r="H35" s="184">
        <v>30</v>
      </c>
      <c r="I35" s="185" t="str">
        <f t="shared" si="0"/>
        <v/>
      </c>
      <c r="J35" s="184" t="e">
        <f t="shared" si="5"/>
        <v>#NUM!</v>
      </c>
      <c r="K35" s="184" t="e">
        <f t="shared" si="1"/>
        <v>#NUM!</v>
      </c>
      <c r="L35" s="184"/>
      <c r="M35" s="186">
        <f t="shared" si="2"/>
        <v>0</v>
      </c>
    </row>
    <row r="36" spans="1:21" x14ac:dyDescent="0.25">
      <c r="A36" s="97">
        <f t="shared" si="3"/>
        <v>0</v>
      </c>
      <c r="B36" s="33" t="str">
        <f t="shared" si="4"/>
        <v/>
      </c>
      <c r="C36" s="34"/>
      <c r="D36" s="34"/>
      <c r="E36" s="34"/>
      <c r="F36" s="34"/>
      <c r="G36" s="169"/>
      <c r="H36" s="181">
        <v>31</v>
      </c>
      <c r="I36" s="182" t="str">
        <f t="shared" si="0"/>
        <v/>
      </c>
      <c r="J36" s="181" t="e">
        <f t="shared" si="5"/>
        <v>#NUM!</v>
      </c>
      <c r="K36" s="181" t="e">
        <f t="shared" si="1"/>
        <v>#NUM!</v>
      </c>
      <c r="L36" s="181"/>
      <c r="M36" s="183">
        <f t="shared" si="2"/>
        <v>0</v>
      </c>
      <c r="R36" s="194"/>
      <c r="S36" s="195"/>
    </row>
    <row r="37" spans="1:21" x14ac:dyDescent="0.25">
      <c r="A37" s="101">
        <f t="shared" si="3"/>
        <v>0</v>
      </c>
      <c r="B37" s="39" t="str">
        <f t="shared" si="4"/>
        <v/>
      </c>
      <c r="C37" s="40"/>
      <c r="D37" s="40"/>
      <c r="E37" s="40"/>
      <c r="F37" s="40"/>
      <c r="G37" s="169"/>
      <c r="H37" s="184">
        <v>32</v>
      </c>
      <c r="I37" s="185" t="str">
        <f t="shared" si="0"/>
        <v/>
      </c>
      <c r="J37" s="184" t="e">
        <f t="shared" si="5"/>
        <v>#NUM!</v>
      </c>
      <c r="K37" s="184" t="e">
        <f t="shared" si="1"/>
        <v>#NUM!</v>
      </c>
      <c r="L37" s="184"/>
      <c r="M37" s="186">
        <f t="shared" si="2"/>
        <v>0</v>
      </c>
    </row>
    <row r="38" spans="1:21" x14ac:dyDescent="0.25">
      <c r="A38" s="97"/>
      <c r="B38" s="33" t="str">
        <f t="shared" si="4"/>
        <v/>
      </c>
      <c r="C38" s="34"/>
      <c r="D38" s="34"/>
      <c r="E38" s="34"/>
      <c r="F38" s="34"/>
      <c r="G38" s="169"/>
      <c r="H38" s="181">
        <v>33</v>
      </c>
      <c r="I38" s="182" t="str">
        <f t="shared" si="0"/>
        <v/>
      </c>
      <c r="J38" s="181" t="e">
        <f t="shared" si="5"/>
        <v>#NUM!</v>
      </c>
      <c r="K38" s="181" t="e">
        <f t="shared" si="1"/>
        <v>#NUM!</v>
      </c>
      <c r="L38" s="181"/>
      <c r="M38" s="183">
        <f t="shared" si="2"/>
        <v>0</v>
      </c>
    </row>
    <row r="39" spans="1:21" x14ac:dyDescent="0.25">
      <c r="A39" s="101"/>
      <c r="B39" s="39" t="str">
        <f t="shared" si="4"/>
        <v/>
      </c>
      <c r="C39" s="40"/>
      <c r="D39" s="40"/>
      <c r="E39" s="40"/>
      <c r="F39" s="40"/>
      <c r="G39" s="169"/>
      <c r="H39" s="184">
        <v>34</v>
      </c>
      <c r="I39" s="185" t="str">
        <f t="shared" si="0"/>
        <v/>
      </c>
      <c r="J39" s="184" t="e">
        <f t="shared" si="5"/>
        <v>#NUM!</v>
      </c>
      <c r="K39" s="184" t="e">
        <f t="shared" si="1"/>
        <v>#NUM!</v>
      </c>
      <c r="L39" s="184"/>
      <c r="M39" s="186">
        <f t="shared" si="2"/>
        <v>0</v>
      </c>
    </row>
    <row r="40" spans="1:21" x14ac:dyDescent="0.25">
      <c r="A40" s="97"/>
      <c r="B40" s="33" t="str">
        <f t="shared" si="4"/>
        <v/>
      </c>
      <c r="C40" s="34"/>
      <c r="D40" s="34"/>
      <c r="E40" s="34"/>
      <c r="F40" s="34"/>
      <c r="G40" s="169"/>
      <c r="H40" s="181">
        <v>35</v>
      </c>
      <c r="I40" s="182" t="str">
        <f t="shared" si="0"/>
        <v/>
      </c>
      <c r="J40" s="181" t="e">
        <f t="shared" si="5"/>
        <v>#NUM!</v>
      </c>
      <c r="K40" s="181" t="e">
        <f t="shared" si="1"/>
        <v>#NUM!</v>
      </c>
      <c r="L40" s="181"/>
      <c r="M40" s="183">
        <f t="shared" si="2"/>
        <v>0</v>
      </c>
    </row>
    <row r="41" spans="1:21" x14ac:dyDescent="0.25">
      <c r="A41" s="101"/>
      <c r="B41" s="39" t="str">
        <f t="shared" si="4"/>
        <v/>
      </c>
      <c r="C41" s="40"/>
      <c r="D41" s="40"/>
      <c r="E41" s="40"/>
      <c r="F41" s="40"/>
      <c r="G41" s="169"/>
      <c r="H41" s="184">
        <v>36</v>
      </c>
      <c r="I41" s="185" t="str">
        <f t="shared" si="0"/>
        <v/>
      </c>
      <c r="J41" s="184" t="e">
        <f t="shared" si="5"/>
        <v>#NUM!</v>
      </c>
      <c r="K41" s="184" t="e">
        <f t="shared" si="1"/>
        <v>#NUM!</v>
      </c>
      <c r="L41" s="184"/>
      <c r="M41" s="186">
        <f t="shared" si="2"/>
        <v>0</v>
      </c>
      <c r="S41" s="196"/>
    </row>
    <row r="42" spans="1:21" x14ac:dyDescent="0.25">
      <c r="A42" s="97"/>
      <c r="B42" s="33" t="str">
        <f t="shared" si="4"/>
        <v/>
      </c>
      <c r="C42" s="34"/>
      <c r="D42" s="34"/>
      <c r="E42" s="34"/>
      <c r="F42" s="34"/>
      <c r="G42" s="169"/>
      <c r="H42" s="181">
        <v>37</v>
      </c>
      <c r="I42" s="182" t="str">
        <f t="shared" si="0"/>
        <v/>
      </c>
      <c r="J42" s="181" t="e">
        <f t="shared" si="5"/>
        <v>#NUM!</v>
      </c>
      <c r="K42" s="181" t="e">
        <f t="shared" si="1"/>
        <v>#NUM!</v>
      </c>
      <c r="L42" s="181"/>
      <c r="M42" s="183">
        <f t="shared" si="2"/>
        <v>0</v>
      </c>
    </row>
    <row r="43" spans="1:21" x14ac:dyDescent="0.25">
      <c r="A43" s="101"/>
      <c r="B43" s="39" t="str">
        <f t="shared" si="4"/>
        <v/>
      </c>
      <c r="C43" s="40"/>
      <c r="D43" s="40"/>
      <c r="E43" s="40"/>
      <c r="F43" s="40"/>
      <c r="G43" s="169"/>
      <c r="H43" s="184">
        <v>38</v>
      </c>
      <c r="I43" s="185" t="str">
        <f t="shared" si="0"/>
        <v/>
      </c>
      <c r="J43" s="184" t="e">
        <f t="shared" si="5"/>
        <v>#NUM!</v>
      </c>
      <c r="K43" s="184" t="e">
        <f t="shared" si="1"/>
        <v>#NUM!</v>
      </c>
      <c r="L43" s="184"/>
      <c r="M43" s="186">
        <f t="shared" si="2"/>
        <v>0</v>
      </c>
    </row>
    <row r="44" spans="1:21" x14ac:dyDescent="0.25">
      <c r="A44" s="97"/>
      <c r="B44" s="33" t="str">
        <f t="shared" si="4"/>
        <v/>
      </c>
      <c r="C44" s="34"/>
      <c r="D44" s="34"/>
      <c r="E44" s="34"/>
      <c r="F44" s="34"/>
      <c r="G44" s="169"/>
      <c r="H44" s="181">
        <v>39</v>
      </c>
      <c r="I44" s="182" t="str">
        <f t="shared" si="0"/>
        <v/>
      </c>
      <c r="J44" s="181" t="e">
        <f t="shared" si="5"/>
        <v>#NUM!</v>
      </c>
      <c r="K44" s="181" t="e">
        <f t="shared" si="1"/>
        <v>#NUM!</v>
      </c>
      <c r="L44" s="181"/>
      <c r="M44" s="183">
        <f t="shared" si="2"/>
        <v>0</v>
      </c>
    </row>
    <row r="45" spans="1:21" x14ac:dyDescent="0.25">
      <c r="A45" s="101"/>
      <c r="B45" s="39" t="str">
        <f t="shared" si="4"/>
        <v/>
      </c>
      <c r="C45" s="40"/>
      <c r="D45" s="40"/>
      <c r="E45" s="40"/>
      <c r="F45" s="40"/>
      <c r="G45" s="169"/>
      <c r="H45" s="184">
        <v>40</v>
      </c>
      <c r="I45" s="185" t="str">
        <f t="shared" si="0"/>
        <v/>
      </c>
      <c r="J45" s="184" t="e">
        <f t="shared" si="5"/>
        <v>#NUM!</v>
      </c>
      <c r="K45" s="184" t="e">
        <f t="shared" si="1"/>
        <v>#NUM!</v>
      </c>
      <c r="L45" s="184"/>
      <c r="M45" s="186">
        <f t="shared" si="2"/>
        <v>0</v>
      </c>
    </row>
    <row r="46" spans="1:21" x14ac:dyDescent="0.25">
      <c r="A46" s="97"/>
      <c r="B46" s="33" t="str">
        <f t="shared" si="4"/>
        <v/>
      </c>
      <c r="C46" s="34"/>
      <c r="D46" s="34"/>
      <c r="E46" s="34"/>
      <c r="F46" s="34"/>
      <c r="G46" s="169"/>
      <c r="H46" s="181">
        <v>41</v>
      </c>
      <c r="I46" s="182" t="str">
        <f t="shared" si="0"/>
        <v/>
      </c>
      <c r="J46" s="181" t="e">
        <f t="shared" si="5"/>
        <v>#NUM!</v>
      </c>
      <c r="K46" s="181" t="e">
        <f t="shared" si="1"/>
        <v>#NUM!</v>
      </c>
      <c r="L46" s="181"/>
      <c r="M46" s="183">
        <f t="shared" si="2"/>
        <v>0</v>
      </c>
      <c r="R46" s="169" t="e">
        <f>LOG($H$2,2)</f>
        <v>#NUM!</v>
      </c>
      <c r="T46" s="174">
        <f>LOG(H38,2)</f>
        <v>5.0443941193584534</v>
      </c>
      <c r="U46" s="174" t="e">
        <f>R46-T46</f>
        <v>#NUM!</v>
      </c>
    </row>
    <row r="47" spans="1:21" x14ac:dyDescent="0.25">
      <c r="A47" s="101"/>
      <c r="B47" s="39" t="str">
        <f t="shared" si="4"/>
        <v/>
      </c>
      <c r="C47" s="40"/>
      <c r="D47" s="40"/>
      <c r="E47" s="40"/>
      <c r="F47" s="40"/>
      <c r="G47" s="169"/>
      <c r="H47" s="184">
        <v>42</v>
      </c>
      <c r="I47" s="185" t="str">
        <f t="shared" si="0"/>
        <v/>
      </c>
      <c r="J47" s="184" t="e">
        <f t="shared" si="5"/>
        <v>#NUM!</v>
      </c>
      <c r="K47" s="184" t="e">
        <f t="shared" si="1"/>
        <v>#NUM!</v>
      </c>
      <c r="L47" s="184"/>
      <c r="M47" s="186">
        <f t="shared" si="2"/>
        <v>0</v>
      </c>
    </row>
    <row r="48" spans="1:21" x14ac:dyDescent="0.25">
      <c r="A48" s="97"/>
      <c r="B48" s="33" t="str">
        <f t="shared" si="4"/>
        <v/>
      </c>
      <c r="C48" s="34"/>
      <c r="D48" s="34"/>
      <c r="E48" s="34"/>
      <c r="F48" s="34"/>
      <c r="G48" s="169"/>
      <c r="H48" s="181">
        <v>43</v>
      </c>
      <c r="I48" s="182" t="str">
        <f t="shared" si="0"/>
        <v/>
      </c>
      <c r="J48" s="181" t="e">
        <f t="shared" si="5"/>
        <v>#NUM!</v>
      </c>
      <c r="K48" s="181" t="e">
        <f t="shared" si="1"/>
        <v>#NUM!</v>
      </c>
      <c r="L48" s="181"/>
      <c r="M48" s="183">
        <f t="shared" si="2"/>
        <v>0</v>
      </c>
    </row>
    <row r="49" spans="1:13" x14ac:dyDescent="0.25">
      <c r="A49" s="101"/>
      <c r="B49" s="39" t="str">
        <f t="shared" si="4"/>
        <v/>
      </c>
      <c r="C49" s="40"/>
      <c r="D49" s="40"/>
      <c r="E49" s="40"/>
      <c r="F49" s="40"/>
      <c r="G49" s="169"/>
      <c r="H49" s="184">
        <v>44</v>
      </c>
      <c r="I49" s="185" t="str">
        <f t="shared" si="0"/>
        <v/>
      </c>
      <c r="J49" s="184" t="e">
        <f t="shared" si="5"/>
        <v>#NUM!</v>
      </c>
      <c r="K49" s="184" t="e">
        <f t="shared" si="1"/>
        <v>#NUM!</v>
      </c>
      <c r="L49" s="184"/>
      <c r="M49" s="186">
        <f t="shared" si="2"/>
        <v>0</v>
      </c>
    </row>
    <row r="50" spans="1:13" x14ac:dyDescent="0.25">
      <c r="A50" s="97"/>
      <c r="B50" s="33" t="str">
        <f t="shared" si="4"/>
        <v/>
      </c>
      <c r="C50" s="34"/>
      <c r="D50" s="34"/>
      <c r="E50" s="34"/>
      <c r="F50" s="34"/>
      <c r="G50" s="169"/>
      <c r="H50" s="181">
        <v>45</v>
      </c>
      <c r="I50" s="182" t="str">
        <f t="shared" si="0"/>
        <v/>
      </c>
      <c r="J50" s="181" t="e">
        <f t="shared" si="5"/>
        <v>#NUM!</v>
      </c>
      <c r="K50" s="181" t="e">
        <f t="shared" si="1"/>
        <v>#NUM!</v>
      </c>
      <c r="L50" s="181"/>
      <c r="M50" s="183">
        <f t="shared" si="2"/>
        <v>0</v>
      </c>
    </row>
    <row r="51" spans="1:13" x14ac:dyDescent="0.25">
      <c r="A51" s="101"/>
      <c r="B51" s="39" t="str">
        <f t="shared" si="4"/>
        <v/>
      </c>
      <c r="C51" s="40"/>
      <c r="D51" s="40"/>
      <c r="E51" s="40"/>
      <c r="F51" s="40"/>
      <c r="G51" s="169"/>
      <c r="H51" s="184">
        <v>46</v>
      </c>
      <c r="I51" s="185" t="str">
        <f t="shared" si="0"/>
        <v/>
      </c>
      <c r="J51" s="184" t="e">
        <f t="shared" si="5"/>
        <v>#NUM!</v>
      </c>
      <c r="K51" s="184" t="e">
        <f t="shared" si="1"/>
        <v>#NUM!</v>
      </c>
      <c r="L51" s="184"/>
      <c r="M51" s="186">
        <f t="shared" si="2"/>
        <v>0</v>
      </c>
    </row>
    <row r="52" spans="1:13" x14ac:dyDescent="0.25">
      <c r="A52" s="97"/>
      <c r="B52" s="33" t="str">
        <f t="shared" si="4"/>
        <v/>
      </c>
      <c r="C52" s="34"/>
      <c r="D52" s="34"/>
      <c r="E52" s="34"/>
      <c r="F52" s="34"/>
      <c r="G52" s="169"/>
      <c r="H52" s="181">
        <v>47</v>
      </c>
      <c r="I52" s="182" t="str">
        <f t="shared" si="0"/>
        <v/>
      </c>
      <c r="J52" s="181" t="e">
        <f t="shared" si="5"/>
        <v>#NUM!</v>
      </c>
      <c r="K52" s="181" t="e">
        <f t="shared" si="1"/>
        <v>#NUM!</v>
      </c>
      <c r="L52" s="181"/>
      <c r="M52" s="183">
        <f t="shared" si="2"/>
        <v>0</v>
      </c>
    </row>
    <row r="53" spans="1:13" x14ac:dyDescent="0.25">
      <c r="A53" s="101"/>
      <c r="B53" s="39" t="str">
        <f t="shared" si="4"/>
        <v/>
      </c>
      <c r="C53" s="40"/>
      <c r="D53" s="40"/>
      <c r="E53" s="40"/>
      <c r="F53" s="40"/>
      <c r="G53" s="169"/>
      <c r="H53" s="184">
        <v>48</v>
      </c>
      <c r="I53" s="185" t="str">
        <f t="shared" si="0"/>
        <v/>
      </c>
      <c r="J53" s="184" t="e">
        <f t="shared" si="5"/>
        <v>#NUM!</v>
      </c>
      <c r="K53" s="184" t="e">
        <f t="shared" si="1"/>
        <v>#NUM!</v>
      </c>
      <c r="L53" s="184"/>
      <c r="M53" s="186">
        <f t="shared" si="2"/>
        <v>0</v>
      </c>
    </row>
    <row r="54" spans="1:13" x14ac:dyDescent="0.25">
      <c r="A54" s="97"/>
      <c r="B54" s="33" t="str">
        <f t="shared" si="4"/>
        <v/>
      </c>
      <c r="C54" s="34"/>
      <c r="D54" s="34"/>
      <c r="E54" s="34"/>
      <c r="F54" s="34"/>
      <c r="G54" s="169"/>
      <c r="H54" s="181">
        <v>49</v>
      </c>
      <c r="I54" s="182" t="str">
        <f t="shared" si="0"/>
        <v/>
      </c>
      <c r="J54" s="181" t="e">
        <f t="shared" si="5"/>
        <v>#NUM!</v>
      </c>
      <c r="K54" s="181" t="e">
        <f t="shared" si="1"/>
        <v>#NUM!</v>
      </c>
      <c r="L54" s="181"/>
      <c r="M54" s="183">
        <f t="shared" si="2"/>
        <v>0</v>
      </c>
    </row>
    <row r="55" spans="1:13" x14ac:dyDescent="0.25">
      <c r="A55" s="101"/>
      <c r="B55" s="39" t="str">
        <f t="shared" si="4"/>
        <v/>
      </c>
      <c r="C55" s="40"/>
      <c r="D55" s="40"/>
      <c r="E55" s="40"/>
      <c r="F55" s="40"/>
      <c r="G55" s="169"/>
      <c r="H55" s="184">
        <v>50</v>
      </c>
      <c r="I55" s="185" t="str">
        <f t="shared" si="0"/>
        <v/>
      </c>
      <c r="J55" s="184" t="e">
        <f t="shared" si="5"/>
        <v>#NUM!</v>
      </c>
      <c r="K55" s="184" t="e">
        <f t="shared" si="1"/>
        <v>#NUM!</v>
      </c>
      <c r="L55" s="184"/>
      <c r="M55" s="186">
        <f t="shared" si="2"/>
        <v>0</v>
      </c>
    </row>
    <row r="56" spans="1:13" x14ac:dyDescent="0.25">
      <c r="A56" s="97"/>
      <c r="B56" s="33" t="str">
        <f t="shared" si="4"/>
        <v/>
      </c>
      <c r="C56" s="34"/>
      <c r="D56" s="34"/>
      <c r="E56" s="34"/>
      <c r="F56" s="34"/>
      <c r="G56" s="169"/>
      <c r="H56" s="181">
        <v>51</v>
      </c>
      <c r="I56" s="182" t="str">
        <f t="shared" si="0"/>
        <v/>
      </c>
      <c r="J56" s="181" t="e">
        <f t="shared" si="5"/>
        <v>#NUM!</v>
      </c>
      <c r="K56" s="181" t="e">
        <f t="shared" si="1"/>
        <v>#NUM!</v>
      </c>
      <c r="L56" s="181"/>
      <c r="M56" s="183">
        <f t="shared" si="2"/>
        <v>0</v>
      </c>
    </row>
    <row r="57" spans="1:13" x14ac:dyDescent="0.25">
      <c r="A57" s="101"/>
      <c r="B57" s="39" t="str">
        <f t="shared" si="4"/>
        <v/>
      </c>
      <c r="C57" s="40"/>
      <c r="D57" s="40"/>
      <c r="E57" s="40"/>
      <c r="F57" s="40"/>
      <c r="G57" s="169"/>
      <c r="H57" s="184">
        <v>52</v>
      </c>
      <c r="I57" s="185" t="str">
        <f t="shared" si="0"/>
        <v/>
      </c>
      <c r="J57" s="184" t="e">
        <f t="shared" si="5"/>
        <v>#NUM!</v>
      </c>
      <c r="K57" s="184" t="e">
        <f t="shared" si="1"/>
        <v>#NUM!</v>
      </c>
      <c r="L57" s="184"/>
      <c r="M57" s="186">
        <f t="shared" si="2"/>
        <v>0</v>
      </c>
    </row>
    <row r="58" spans="1:13" x14ac:dyDescent="0.25">
      <c r="A58" s="97"/>
      <c r="B58" s="33" t="str">
        <f t="shared" si="4"/>
        <v/>
      </c>
      <c r="C58" s="34"/>
      <c r="D58" s="34"/>
      <c r="E58" s="34"/>
      <c r="F58" s="34"/>
      <c r="G58" s="169"/>
      <c r="H58" s="181">
        <v>53</v>
      </c>
      <c r="I58" s="182" t="str">
        <f t="shared" si="0"/>
        <v/>
      </c>
      <c r="J58" s="181" t="e">
        <f t="shared" si="5"/>
        <v>#NUM!</v>
      </c>
      <c r="K58" s="181" t="e">
        <f t="shared" si="1"/>
        <v>#NUM!</v>
      </c>
      <c r="L58" s="181"/>
      <c r="M58" s="183">
        <f t="shared" si="2"/>
        <v>0</v>
      </c>
    </row>
    <row r="59" spans="1:13" x14ac:dyDescent="0.25">
      <c r="A59" s="101"/>
      <c r="B59" s="39" t="str">
        <f t="shared" si="4"/>
        <v/>
      </c>
      <c r="C59" s="40"/>
      <c r="D59" s="40"/>
      <c r="E59" s="40"/>
      <c r="F59" s="40"/>
      <c r="G59" s="169"/>
      <c r="H59" s="184">
        <v>54</v>
      </c>
      <c r="I59" s="185" t="str">
        <f t="shared" si="0"/>
        <v/>
      </c>
      <c r="J59" s="184" t="e">
        <f t="shared" si="5"/>
        <v>#NUM!</v>
      </c>
      <c r="K59" s="184" t="e">
        <f t="shared" si="1"/>
        <v>#NUM!</v>
      </c>
      <c r="L59" s="184"/>
      <c r="M59" s="186">
        <f t="shared" si="2"/>
        <v>0</v>
      </c>
    </row>
    <row r="60" spans="1:13" x14ac:dyDescent="0.25">
      <c r="A60" s="97"/>
      <c r="B60" s="33" t="str">
        <f t="shared" si="4"/>
        <v/>
      </c>
      <c r="C60" s="34"/>
      <c r="D60" s="34"/>
      <c r="E60" s="34"/>
      <c r="F60" s="34"/>
      <c r="G60" s="169"/>
      <c r="H60" s="181">
        <v>55</v>
      </c>
      <c r="I60" s="182" t="str">
        <f t="shared" si="0"/>
        <v/>
      </c>
      <c r="J60" s="181" t="e">
        <f t="shared" si="5"/>
        <v>#NUM!</v>
      </c>
      <c r="K60" s="181" t="e">
        <f t="shared" si="1"/>
        <v>#NUM!</v>
      </c>
      <c r="L60" s="181"/>
      <c r="M60" s="183">
        <f t="shared" si="2"/>
        <v>0</v>
      </c>
    </row>
    <row r="61" spans="1:13" x14ac:dyDescent="0.25">
      <c r="A61" s="101"/>
      <c r="B61" s="39" t="str">
        <f t="shared" si="4"/>
        <v/>
      </c>
      <c r="C61" s="40"/>
      <c r="D61" s="40"/>
      <c r="E61" s="40"/>
      <c r="F61" s="40"/>
      <c r="G61" s="169"/>
      <c r="H61" s="184">
        <v>56</v>
      </c>
      <c r="I61" s="185" t="str">
        <f t="shared" si="0"/>
        <v/>
      </c>
      <c r="J61" s="184" t="e">
        <f t="shared" si="5"/>
        <v>#NUM!</v>
      </c>
      <c r="K61" s="184" t="e">
        <f t="shared" si="1"/>
        <v>#NUM!</v>
      </c>
      <c r="L61" s="184"/>
      <c r="M61" s="186">
        <f t="shared" si="2"/>
        <v>0</v>
      </c>
    </row>
    <row r="62" spans="1:13" x14ac:dyDescent="0.25">
      <c r="A62" s="97"/>
      <c r="B62" s="33" t="str">
        <f t="shared" si="4"/>
        <v/>
      </c>
      <c r="C62" s="34"/>
      <c r="D62" s="34"/>
      <c r="E62" s="34"/>
      <c r="F62" s="34"/>
      <c r="G62" s="169"/>
      <c r="H62" s="181">
        <v>57</v>
      </c>
      <c r="I62" s="182" t="str">
        <f t="shared" si="0"/>
        <v/>
      </c>
      <c r="J62" s="181" t="e">
        <f t="shared" si="5"/>
        <v>#NUM!</v>
      </c>
      <c r="K62" s="181" t="e">
        <f t="shared" si="1"/>
        <v>#NUM!</v>
      </c>
      <c r="L62" s="181"/>
      <c r="M62" s="183">
        <f t="shared" si="2"/>
        <v>0</v>
      </c>
    </row>
    <row r="63" spans="1:13" x14ac:dyDescent="0.25">
      <c r="A63" s="101"/>
      <c r="B63" s="39" t="str">
        <f t="shared" si="4"/>
        <v/>
      </c>
      <c r="C63" s="40"/>
      <c r="D63" s="40"/>
      <c r="E63" s="40"/>
      <c r="F63" s="40"/>
      <c r="G63" s="169"/>
      <c r="H63" s="184">
        <v>58</v>
      </c>
      <c r="I63" s="185" t="str">
        <f t="shared" si="0"/>
        <v/>
      </c>
      <c r="J63" s="184" t="e">
        <f t="shared" si="5"/>
        <v>#NUM!</v>
      </c>
      <c r="K63" s="184" t="e">
        <f t="shared" si="1"/>
        <v>#NUM!</v>
      </c>
      <c r="L63" s="184"/>
      <c r="M63" s="186">
        <f t="shared" si="2"/>
        <v>0</v>
      </c>
    </row>
    <row r="64" spans="1:13" x14ac:dyDescent="0.25">
      <c r="A64" s="97"/>
      <c r="B64" s="33" t="str">
        <f t="shared" si="4"/>
        <v/>
      </c>
      <c r="C64" s="34"/>
      <c r="D64" s="34"/>
      <c r="E64" s="34"/>
      <c r="F64" s="34"/>
      <c r="G64" s="169"/>
      <c r="H64" s="181">
        <v>59</v>
      </c>
      <c r="I64" s="182" t="str">
        <f t="shared" si="0"/>
        <v/>
      </c>
      <c r="J64" s="181" t="e">
        <f t="shared" si="5"/>
        <v>#NUM!</v>
      </c>
      <c r="K64" s="181" t="e">
        <f t="shared" si="1"/>
        <v>#NUM!</v>
      </c>
      <c r="L64" s="181"/>
      <c r="M64" s="183">
        <f t="shared" si="2"/>
        <v>0</v>
      </c>
    </row>
    <row r="65" spans="1:13" x14ac:dyDescent="0.25">
      <c r="A65" s="101"/>
      <c r="B65" s="39" t="str">
        <f t="shared" si="4"/>
        <v/>
      </c>
      <c r="C65" s="40"/>
      <c r="D65" s="40"/>
      <c r="E65" s="40"/>
      <c r="F65" s="40"/>
      <c r="G65" s="169"/>
      <c r="H65" s="184">
        <v>60</v>
      </c>
      <c r="I65" s="185" t="str">
        <f t="shared" si="0"/>
        <v/>
      </c>
      <c r="J65" s="184" t="e">
        <f t="shared" si="5"/>
        <v>#NUM!</v>
      </c>
      <c r="K65" s="184" t="e">
        <f t="shared" si="1"/>
        <v>#NUM!</v>
      </c>
      <c r="L65" s="184"/>
      <c r="M65" s="186">
        <f t="shared" si="2"/>
        <v>0</v>
      </c>
    </row>
    <row r="66" spans="1:13" x14ac:dyDescent="0.25">
      <c r="A66" s="206"/>
      <c r="B66" s="33"/>
      <c r="G66" s="169"/>
      <c r="H66" s="181">
        <v>61</v>
      </c>
      <c r="I66" s="182" t="str">
        <f t="shared" si="0"/>
        <v/>
      </c>
      <c r="J66" s="181" t="e">
        <f t="shared" si="5"/>
        <v>#NUM!</v>
      </c>
      <c r="K66" s="181" t="e">
        <f t="shared" si="1"/>
        <v>#NUM!</v>
      </c>
      <c r="L66" s="181"/>
      <c r="M66" s="183">
        <f t="shared" si="2"/>
        <v>0</v>
      </c>
    </row>
    <row r="67" spans="1:13" x14ac:dyDescent="0.25">
      <c r="A67" s="206"/>
      <c r="B67" s="39"/>
      <c r="G67" s="169"/>
      <c r="H67" s="181">
        <v>62</v>
      </c>
      <c r="I67" s="182" t="str">
        <f t="shared" si="0"/>
        <v/>
      </c>
      <c r="J67" s="181" t="e">
        <f t="shared" si="5"/>
        <v>#NUM!</v>
      </c>
      <c r="K67" s="181" t="e">
        <f t="shared" si="1"/>
        <v>#NUM!</v>
      </c>
      <c r="L67" s="181"/>
      <c r="M67" s="183">
        <f t="shared" si="2"/>
        <v>0</v>
      </c>
    </row>
    <row r="68" spans="1:13" x14ac:dyDescent="0.25">
      <c r="A68" s="206"/>
      <c r="B68" s="33"/>
      <c r="G68" s="169"/>
      <c r="H68" s="181">
        <v>63</v>
      </c>
      <c r="I68" s="182" t="str">
        <f t="shared" si="0"/>
        <v/>
      </c>
      <c r="J68" s="181" t="e">
        <f t="shared" si="5"/>
        <v>#NUM!</v>
      </c>
      <c r="K68" s="181" t="e">
        <f t="shared" si="1"/>
        <v>#NUM!</v>
      </c>
      <c r="L68" s="181"/>
      <c r="M68" s="183">
        <f t="shared" si="2"/>
        <v>0</v>
      </c>
    </row>
    <row r="69" spans="1:13" x14ac:dyDescent="0.25">
      <c r="A69" s="206"/>
      <c r="B69" s="39"/>
      <c r="G69" s="169"/>
      <c r="H69" s="181">
        <v>64</v>
      </c>
      <c r="I69" s="182" t="str">
        <f t="shared" si="0"/>
        <v/>
      </c>
      <c r="J69" s="181" t="e">
        <f t="shared" si="5"/>
        <v>#NUM!</v>
      </c>
      <c r="K69" s="181" t="e">
        <f t="shared" si="1"/>
        <v>#NUM!</v>
      </c>
      <c r="L69" s="181"/>
      <c r="M69" s="183">
        <f t="shared" si="2"/>
        <v>0</v>
      </c>
    </row>
    <row r="70" spans="1:13" x14ac:dyDescent="0.25">
      <c r="A70" s="206"/>
      <c r="G70" s="169"/>
      <c r="H70" s="181">
        <v>65</v>
      </c>
      <c r="I70" s="182" t="str">
        <f t="shared" ref="I70:I133" si="6">IF(H70&lt;$H$2+1,($I$2-($I$2-1)*(LOG(H70)/LOG($H$2))),"")</f>
        <v/>
      </c>
      <c r="J70" s="181" t="e">
        <f t="shared" si="5"/>
        <v>#NUM!</v>
      </c>
      <c r="K70" s="181" t="e">
        <f t="shared" ref="K70:K133" si="7">J70*$J$2</f>
        <v>#NUM!</v>
      </c>
      <c r="L70" s="181"/>
      <c r="M70" s="183">
        <f t="shared" ref="M70:M133" si="8">IF(I70&lt;&gt;"",K70+I70+L70,0)</f>
        <v>0</v>
      </c>
    </row>
    <row r="71" spans="1:13" x14ac:dyDescent="0.25">
      <c r="A71" s="206"/>
      <c r="G71" s="169"/>
      <c r="H71" s="181">
        <v>66</v>
      </c>
      <c r="I71" s="182" t="str">
        <f t="shared" si="6"/>
        <v/>
      </c>
      <c r="J71" s="181" t="e">
        <f t="shared" ref="J71:J134" si="9">INT(LOG($H$2,2))-ROUNDUP(LOG(H71,2),0)+IF(OR($H$2=1,$H$2=2,$H$2=4,$H$2=8,$H$2=16,$H$2=32,$H$2=64,$H$2=128,$H$2=256),0,1)</f>
        <v>#NUM!</v>
      </c>
      <c r="K71" s="181" t="e">
        <f t="shared" si="7"/>
        <v>#NUM!</v>
      </c>
      <c r="L71" s="181"/>
      <c r="M71" s="183">
        <f t="shared" si="8"/>
        <v>0</v>
      </c>
    </row>
    <row r="72" spans="1:13" x14ac:dyDescent="0.25">
      <c r="A72" s="206"/>
      <c r="G72" s="169"/>
      <c r="H72" s="181">
        <v>67</v>
      </c>
      <c r="I72" s="182" t="str">
        <f t="shared" si="6"/>
        <v/>
      </c>
      <c r="J72" s="181" t="e">
        <f t="shared" si="9"/>
        <v>#NUM!</v>
      </c>
      <c r="K72" s="181" t="e">
        <f t="shared" si="7"/>
        <v>#NUM!</v>
      </c>
      <c r="L72" s="181"/>
      <c r="M72" s="183">
        <f t="shared" si="8"/>
        <v>0</v>
      </c>
    </row>
    <row r="73" spans="1:13" x14ac:dyDescent="0.25">
      <c r="A73" s="206"/>
      <c r="G73" s="169"/>
      <c r="H73" s="181">
        <v>68</v>
      </c>
      <c r="I73" s="182" t="str">
        <f t="shared" si="6"/>
        <v/>
      </c>
      <c r="J73" s="181" t="e">
        <f t="shared" si="9"/>
        <v>#NUM!</v>
      </c>
      <c r="K73" s="181" t="e">
        <f t="shared" si="7"/>
        <v>#NUM!</v>
      </c>
      <c r="L73" s="181"/>
      <c r="M73" s="183">
        <f t="shared" si="8"/>
        <v>0</v>
      </c>
    </row>
    <row r="74" spans="1:13" x14ac:dyDescent="0.25">
      <c r="A74" s="206"/>
      <c r="G74" s="169"/>
      <c r="H74" s="181">
        <v>69</v>
      </c>
      <c r="I74" s="182" t="str">
        <f t="shared" si="6"/>
        <v/>
      </c>
      <c r="J74" s="181" t="e">
        <f t="shared" si="9"/>
        <v>#NUM!</v>
      </c>
      <c r="K74" s="181" t="e">
        <f t="shared" si="7"/>
        <v>#NUM!</v>
      </c>
      <c r="L74" s="181"/>
      <c r="M74" s="183">
        <f t="shared" si="8"/>
        <v>0</v>
      </c>
    </row>
    <row r="75" spans="1:13" x14ac:dyDescent="0.25">
      <c r="A75" s="206"/>
      <c r="G75" s="169"/>
      <c r="H75" s="181">
        <v>70</v>
      </c>
      <c r="I75" s="182" t="str">
        <f t="shared" si="6"/>
        <v/>
      </c>
      <c r="J75" s="181" t="e">
        <f t="shared" si="9"/>
        <v>#NUM!</v>
      </c>
      <c r="K75" s="181" t="e">
        <f t="shared" si="7"/>
        <v>#NUM!</v>
      </c>
      <c r="L75" s="181"/>
      <c r="M75" s="183">
        <f t="shared" si="8"/>
        <v>0</v>
      </c>
    </row>
    <row r="76" spans="1:13" x14ac:dyDescent="0.25">
      <c r="A76" s="206"/>
      <c r="G76" s="169"/>
      <c r="H76" s="181">
        <v>71</v>
      </c>
      <c r="I76" s="182" t="str">
        <f t="shared" si="6"/>
        <v/>
      </c>
      <c r="J76" s="181" t="e">
        <f t="shared" si="9"/>
        <v>#NUM!</v>
      </c>
      <c r="K76" s="181" t="e">
        <f t="shared" si="7"/>
        <v>#NUM!</v>
      </c>
      <c r="L76" s="181"/>
      <c r="M76" s="183">
        <f t="shared" si="8"/>
        <v>0</v>
      </c>
    </row>
    <row r="77" spans="1:13" x14ac:dyDescent="0.25">
      <c r="A77" s="206"/>
      <c r="G77" s="169"/>
      <c r="H77" s="181">
        <v>72</v>
      </c>
      <c r="I77" s="182" t="str">
        <f t="shared" si="6"/>
        <v/>
      </c>
      <c r="J77" s="181" t="e">
        <f t="shared" si="9"/>
        <v>#NUM!</v>
      </c>
      <c r="K77" s="181" t="e">
        <f t="shared" si="7"/>
        <v>#NUM!</v>
      </c>
      <c r="L77" s="181"/>
      <c r="M77" s="183">
        <f t="shared" si="8"/>
        <v>0</v>
      </c>
    </row>
    <row r="78" spans="1:13" x14ac:dyDescent="0.25">
      <c r="A78" s="206"/>
      <c r="G78" s="169"/>
      <c r="H78" s="181">
        <v>73</v>
      </c>
      <c r="I78" s="182" t="str">
        <f t="shared" si="6"/>
        <v/>
      </c>
      <c r="J78" s="181" t="e">
        <f t="shared" si="9"/>
        <v>#NUM!</v>
      </c>
      <c r="K78" s="181" t="e">
        <f t="shared" si="7"/>
        <v>#NUM!</v>
      </c>
      <c r="L78" s="181"/>
      <c r="M78" s="183">
        <f t="shared" si="8"/>
        <v>0</v>
      </c>
    </row>
    <row r="79" spans="1:13" x14ac:dyDescent="0.25">
      <c r="A79" s="206"/>
      <c r="G79" s="169"/>
      <c r="H79" s="181">
        <v>74</v>
      </c>
      <c r="I79" s="182" t="str">
        <f t="shared" si="6"/>
        <v/>
      </c>
      <c r="J79" s="181" t="e">
        <f t="shared" si="9"/>
        <v>#NUM!</v>
      </c>
      <c r="K79" s="181" t="e">
        <f t="shared" si="7"/>
        <v>#NUM!</v>
      </c>
      <c r="L79" s="181"/>
      <c r="M79" s="183">
        <f t="shared" si="8"/>
        <v>0</v>
      </c>
    </row>
    <row r="80" spans="1:13" x14ac:dyDescent="0.25">
      <c r="A80" s="206"/>
      <c r="G80" s="169"/>
      <c r="H80" s="181">
        <v>75</v>
      </c>
      <c r="I80" s="182" t="str">
        <f t="shared" si="6"/>
        <v/>
      </c>
      <c r="J80" s="181" t="e">
        <f t="shared" si="9"/>
        <v>#NUM!</v>
      </c>
      <c r="K80" s="181" t="e">
        <f t="shared" si="7"/>
        <v>#NUM!</v>
      </c>
      <c r="L80" s="181"/>
      <c r="M80" s="183">
        <f t="shared" si="8"/>
        <v>0</v>
      </c>
    </row>
    <row r="81" spans="1:13" x14ac:dyDescent="0.25">
      <c r="A81" s="206"/>
      <c r="G81" s="169"/>
      <c r="H81" s="181">
        <v>76</v>
      </c>
      <c r="I81" s="182" t="str">
        <f t="shared" si="6"/>
        <v/>
      </c>
      <c r="J81" s="181" t="e">
        <f t="shared" si="9"/>
        <v>#NUM!</v>
      </c>
      <c r="K81" s="181" t="e">
        <f t="shared" si="7"/>
        <v>#NUM!</v>
      </c>
      <c r="L81" s="181"/>
      <c r="M81" s="183">
        <f t="shared" si="8"/>
        <v>0</v>
      </c>
    </row>
    <row r="82" spans="1:13" x14ac:dyDescent="0.25">
      <c r="A82" s="206"/>
      <c r="G82" s="169"/>
      <c r="H82" s="181">
        <v>77</v>
      </c>
      <c r="I82" s="182" t="str">
        <f t="shared" si="6"/>
        <v/>
      </c>
      <c r="J82" s="181" t="e">
        <f t="shared" si="9"/>
        <v>#NUM!</v>
      </c>
      <c r="K82" s="181" t="e">
        <f t="shared" si="7"/>
        <v>#NUM!</v>
      </c>
      <c r="L82" s="181"/>
      <c r="M82" s="183">
        <f t="shared" si="8"/>
        <v>0</v>
      </c>
    </row>
    <row r="83" spans="1:13" x14ac:dyDescent="0.25">
      <c r="A83" s="206"/>
      <c r="G83" s="169"/>
      <c r="H83" s="181">
        <v>78</v>
      </c>
      <c r="I83" s="182" t="str">
        <f t="shared" si="6"/>
        <v/>
      </c>
      <c r="J83" s="181" t="e">
        <f t="shared" si="9"/>
        <v>#NUM!</v>
      </c>
      <c r="K83" s="181" t="e">
        <f t="shared" si="7"/>
        <v>#NUM!</v>
      </c>
      <c r="L83" s="181"/>
      <c r="M83" s="183">
        <f t="shared" si="8"/>
        <v>0</v>
      </c>
    </row>
    <row r="84" spans="1:13" x14ac:dyDescent="0.25">
      <c r="A84" s="206"/>
      <c r="G84" s="169"/>
      <c r="H84" s="181">
        <v>79</v>
      </c>
      <c r="I84" s="182" t="str">
        <f t="shared" si="6"/>
        <v/>
      </c>
      <c r="J84" s="181" t="e">
        <f t="shared" si="9"/>
        <v>#NUM!</v>
      </c>
      <c r="K84" s="181" t="e">
        <f t="shared" si="7"/>
        <v>#NUM!</v>
      </c>
      <c r="L84" s="181"/>
      <c r="M84" s="183">
        <f t="shared" si="8"/>
        <v>0</v>
      </c>
    </row>
    <row r="85" spans="1:13" x14ac:dyDescent="0.25">
      <c r="A85" s="206"/>
      <c r="G85" s="169"/>
      <c r="H85" s="181">
        <v>80</v>
      </c>
      <c r="I85" s="182" t="str">
        <f t="shared" si="6"/>
        <v/>
      </c>
      <c r="J85" s="181" t="e">
        <f t="shared" si="9"/>
        <v>#NUM!</v>
      </c>
      <c r="K85" s="181" t="e">
        <f t="shared" si="7"/>
        <v>#NUM!</v>
      </c>
      <c r="L85" s="181"/>
      <c r="M85" s="183">
        <f t="shared" si="8"/>
        <v>0</v>
      </c>
    </row>
    <row r="86" spans="1:13" x14ac:dyDescent="0.25">
      <c r="A86" s="206"/>
      <c r="G86" s="169"/>
      <c r="H86" s="181">
        <v>81</v>
      </c>
      <c r="I86" s="182" t="str">
        <f t="shared" si="6"/>
        <v/>
      </c>
      <c r="J86" s="181" t="e">
        <f t="shared" si="9"/>
        <v>#NUM!</v>
      </c>
      <c r="K86" s="181" t="e">
        <f t="shared" si="7"/>
        <v>#NUM!</v>
      </c>
      <c r="L86" s="181"/>
      <c r="M86" s="183">
        <f t="shared" si="8"/>
        <v>0</v>
      </c>
    </row>
    <row r="87" spans="1:13" x14ac:dyDescent="0.25">
      <c r="A87" s="206"/>
      <c r="G87" s="169"/>
      <c r="H87" s="181">
        <v>82</v>
      </c>
      <c r="I87" s="182" t="str">
        <f t="shared" si="6"/>
        <v/>
      </c>
      <c r="J87" s="181" t="e">
        <f t="shared" si="9"/>
        <v>#NUM!</v>
      </c>
      <c r="K87" s="181" t="e">
        <f t="shared" si="7"/>
        <v>#NUM!</v>
      </c>
      <c r="L87" s="181"/>
      <c r="M87" s="183">
        <f t="shared" si="8"/>
        <v>0</v>
      </c>
    </row>
    <row r="88" spans="1:13" x14ac:dyDescent="0.25">
      <c r="A88" s="206"/>
      <c r="G88" s="169"/>
      <c r="H88" s="181">
        <v>83</v>
      </c>
      <c r="I88" s="182" t="str">
        <f t="shared" si="6"/>
        <v/>
      </c>
      <c r="J88" s="181" t="e">
        <f t="shared" si="9"/>
        <v>#NUM!</v>
      </c>
      <c r="K88" s="181" t="e">
        <f t="shared" si="7"/>
        <v>#NUM!</v>
      </c>
      <c r="L88" s="181"/>
      <c r="M88" s="183">
        <f t="shared" si="8"/>
        <v>0</v>
      </c>
    </row>
    <row r="89" spans="1:13" x14ac:dyDescent="0.25">
      <c r="A89" s="206"/>
      <c r="G89" s="169"/>
      <c r="H89" s="181">
        <v>84</v>
      </c>
      <c r="I89" s="182" t="str">
        <f t="shared" si="6"/>
        <v/>
      </c>
      <c r="J89" s="181" t="e">
        <f t="shared" si="9"/>
        <v>#NUM!</v>
      </c>
      <c r="K89" s="181" t="e">
        <f t="shared" si="7"/>
        <v>#NUM!</v>
      </c>
      <c r="L89" s="181"/>
      <c r="M89" s="183">
        <f t="shared" si="8"/>
        <v>0</v>
      </c>
    </row>
    <row r="90" spans="1:13" x14ac:dyDescent="0.25">
      <c r="A90" s="206"/>
      <c r="G90" s="169"/>
      <c r="H90" s="181">
        <v>85</v>
      </c>
      <c r="I90" s="182" t="str">
        <f t="shared" si="6"/>
        <v/>
      </c>
      <c r="J90" s="181" t="e">
        <f t="shared" si="9"/>
        <v>#NUM!</v>
      </c>
      <c r="K90" s="181" t="e">
        <f t="shared" si="7"/>
        <v>#NUM!</v>
      </c>
      <c r="L90" s="181"/>
      <c r="M90" s="183">
        <f t="shared" si="8"/>
        <v>0</v>
      </c>
    </row>
    <row r="91" spans="1:13" x14ac:dyDescent="0.25">
      <c r="A91" s="206"/>
      <c r="G91" s="169"/>
      <c r="H91" s="181">
        <v>86</v>
      </c>
      <c r="I91" s="182" t="str">
        <f t="shared" si="6"/>
        <v/>
      </c>
      <c r="J91" s="181" t="e">
        <f t="shared" si="9"/>
        <v>#NUM!</v>
      </c>
      <c r="K91" s="181" t="e">
        <f t="shared" si="7"/>
        <v>#NUM!</v>
      </c>
      <c r="L91" s="181"/>
      <c r="M91" s="183">
        <f t="shared" si="8"/>
        <v>0</v>
      </c>
    </row>
    <row r="92" spans="1:13" x14ac:dyDescent="0.25">
      <c r="A92" s="206"/>
      <c r="G92" s="169"/>
      <c r="H92" s="181">
        <v>87</v>
      </c>
      <c r="I92" s="182" t="str">
        <f t="shared" si="6"/>
        <v/>
      </c>
      <c r="J92" s="181" t="e">
        <f t="shared" si="9"/>
        <v>#NUM!</v>
      </c>
      <c r="K92" s="181" t="e">
        <f t="shared" si="7"/>
        <v>#NUM!</v>
      </c>
      <c r="L92" s="181"/>
      <c r="M92" s="183">
        <f t="shared" si="8"/>
        <v>0</v>
      </c>
    </row>
    <row r="93" spans="1:13" x14ac:dyDescent="0.25">
      <c r="A93" s="206"/>
      <c r="G93" s="169"/>
      <c r="H93" s="181">
        <v>88</v>
      </c>
      <c r="I93" s="182" t="str">
        <f t="shared" si="6"/>
        <v/>
      </c>
      <c r="J93" s="181" t="e">
        <f t="shared" si="9"/>
        <v>#NUM!</v>
      </c>
      <c r="K93" s="181" t="e">
        <f t="shared" si="7"/>
        <v>#NUM!</v>
      </c>
      <c r="L93" s="181"/>
      <c r="M93" s="183">
        <f t="shared" si="8"/>
        <v>0</v>
      </c>
    </row>
    <row r="94" spans="1:13" x14ac:dyDescent="0.25">
      <c r="A94" s="206"/>
      <c r="G94" s="169"/>
      <c r="H94" s="181">
        <v>89</v>
      </c>
      <c r="I94" s="182" t="str">
        <f t="shared" si="6"/>
        <v/>
      </c>
      <c r="J94" s="181" t="e">
        <f t="shared" si="9"/>
        <v>#NUM!</v>
      </c>
      <c r="K94" s="181" t="e">
        <f t="shared" si="7"/>
        <v>#NUM!</v>
      </c>
      <c r="L94" s="181"/>
      <c r="M94" s="183">
        <f t="shared" si="8"/>
        <v>0</v>
      </c>
    </row>
    <row r="95" spans="1:13" x14ac:dyDescent="0.25">
      <c r="A95" s="206"/>
      <c r="G95" s="169"/>
      <c r="H95" s="181">
        <v>90</v>
      </c>
      <c r="I95" s="182" t="str">
        <f t="shared" si="6"/>
        <v/>
      </c>
      <c r="J95" s="181" t="e">
        <f t="shared" si="9"/>
        <v>#NUM!</v>
      </c>
      <c r="K95" s="181" t="e">
        <f t="shared" si="7"/>
        <v>#NUM!</v>
      </c>
      <c r="L95" s="181"/>
      <c r="M95" s="183">
        <f t="shared" si="8"/>
        <v>0</v>
      </c>
    </row>
    <row r="96" spans="1:13" x14ac:dyDescent="0.25">
      <c r="A96" s="206"/>
      <c r="G96" s="169"/>
      <c r="H96" s="181">
        <v>91</v>
      </c>
      <c r="I96" s="182" t="str">
        <f t="shared" si="6"/>
        <v/>
      </c>
      <c r="J96" s="181" t="e">
        <f t="shared" si="9"/>
        <v>#NUM!</v>
      </c>
      <c r="K96" s="181" t="e">
        <f t="shared" si="7"/>
        <v>#NUM!</v>
      </c>
      <c r="L96" s="181"/>
      <c r="M96" s="183">
        <f t="shared" si="8"/>
        <v>0</v>
      </c>
    </row>
    <row r="97" spans="1:13" x14ac:dyDescent="0.25">
      <c r="A97" s="206"/>
      <c r="G97" s="169"/>
      <c r="H97" s="181">
        <v>92</v>
      </c>
      <c r="I97" s="182" t="str">
        <f t="shared" si="6"/>
        <v/>
      </c>
      <c r="J97" s="181" t="e">
        <f t="shared" si="9"/>
        <v>#NUM!</v>
      </c>
      <c r="K97" s="181" t="e">
        <f t="shared" si="7"/>
        <v>#NUM!</v>
      </c>
      <c r="L97" s="181"/>
      <c r="M97" s="183">
        <f t="shared" si="8"/>
        <v>0</v>
      </c>
    </row>
    <row r="98" spans="1:13" x14ac:dyDescent="0.25">
      <c r="A98" s="206"/>
      <c r="G98" s="169"/>
      <c r="H98" s="181">
        <v>93</v>
      </c>
      <c r="I98" s="182" t="str">
        <f t="shared" si="6"/>
        <v/>
      </c>
      <c r="J98" s="181" t="e">
        <f t="shared" si="9"/>
        <v>#NUM!</v>
      </c>
      <c r="K98" s="181" t="e">
        <f t="shared" si="7"/>
        <v>#NUM!</v>
      </c>
      <c r="L98" s="181"/>
      <c r="M98" s="183">
        <f t="shared" si="8"/>
        <v>0</v>
      </c>
    </row>
    <row r="99" spans="1:13" x14ac:dyDescent="0.25">
      <c r="A99" s="206"/>
      <c r="G99" s="169"/>
      <c r="H99" s="181">
        <v>94</v>
      </c>
      <c r="I99" s="182" t="str">
        <f t="shared" si="6"/>
        <v/>
      </c>
      <c r="J99" s="181" t="e">
        <f t="shared" si="9"/>
        <v>#NUM!</v>
      </c>
      <c r="K99" s="181" t="e">
        <f t="shared" si="7"/>
        <v>#NUM!</v>
      </c>
      <c r="L99" s="181"/>
      <c r="M99" s="183">
        <f t="shared" si="8"/>
        <v>0</v>
      </c>
    </row>
    <row r="100" spans="1:13" x14ac:dyDescent="0.25">
      <c r="A100" s="206"/>
      <c r="G100" s="169"/>
      <c r="H100" s="181">
        <v>95</v>
      </c>
      <c r="I100" s="182" t="str">
        <f t="shared" si="6"/>
        <v/>
      </c>
      <c r="J100" s="181" t="e">
        <f t="shared" si="9"/>
        <v>#NUM!</v>
      </c>
      <c r="K100" s="181" t="e">
        <f t="shared" si="7"/>
        <v>#NUM!</v>
      </c>
      <c r="L100" s="181"/>
      <c r="M100" s="183">
        <f t="shared" si="8"/>
        <v>0</v>
      </c>
    </row>
    <row r="101" spans="1:13" x14ac:dyDescent="0.25">
      <c r="A101" s="198"/>
      <c r="G101" s="169"/>
      <c r="H101" s="181">
        <v>96</v>
      </c>
      <c r="I101" s="182" t="str">
        <f t="shared" si="6"/>
        <v/>
      </c>
      <c r="J101" s="181" t="e">
        <f t="shared" si="9"/>
        <v>#NUM!</v>
      </c>
      <c r="K101" s="181" t="e">
        <f t="shared" si="7"/>
        <v>#NUM!</v>
      </c>
      <c r="L101" s="181"/>
      <c r="M101" s="183">
        <f t="shared" si="8"/>
        <v>0</v>
      </c>
    </row>
    <row r="102" spans="1:13" x14ac:dyDescent="0.25">
      <c r="A102" s="198"/>
      <c r="G102" s="169"/>
      <c r="H102" s="181">
        <v>97</v>
      </c>
      <c r="I102" s="182" t="str">
        <f t="shared" si="6"/>
        <v/>
      </c>
      <c r="J102" s="181" t="e">
        <f t="shared" si="9"/>
        <v>#NUM!</v>
      </c>
      <c r="K102" s="181" t="e">
        <f t="shared" si="7"/>
        <v>#NUM!</v>
      </c>
      <c r="L102" s="181"/>
      <c r="M102" s="183">
        <f t="shared" si="8"/>
        <v>0</v>
      </c>
    </row>
    <row r="103" spans="1:13" x14ac:dyDescent="0.25">
      <c r="A103" s="198"/>
      <c r="G103" s="169"/>
      <c r="H103" s="181">
        <v>98</v>
      </c>
      <c r="I103" s="182" t="str">
        <f t="shared" si="6"/>
        <v/>
      </c>
      <c r="J103" s="181" t="e">
        <f t="shared" si="9"/>
        <v>#NUM!</v>
      </c>
      <c r="K103" s="181" t="e">
        <f t="shared" si="7"/>
        <v>#NUM!</v>
      </c>
      <c r="L103" s="181"/>
      <c r="M103" s="183">
        <f t="shared" si="8"/>
        <v>0</v>
      </c>
    </row>
    <row r="104" spans="1:13" x14ac:dyDescent="0.25">
      <c r="A104" s="198"/>
      <c r="G104" s="169"/>
      <c r="H104" s="181">
        <v>99</v>
      </c>
      <c r="I104" s="182" t="str">
        <f t="shared" si="6"/>
        <v/>
      </c>
      <c r="J104" s="181" t="e">
        <f t="shared" si="9"/>
        <v>#NUM!</v>
      </c>
      <c r="K104" s="181" t="e">
        <f t="shared" si="7"/>
        <v>#NUM!</v>
      </c>
      <c r="L104" s="181"/>
      <c r="M104" s="183">
        <f t="shared" si="8"/>
        <v>0</v>
      </c>
    </row>
    <row r="105" spans="1:13" x14ac:dyDescent="0.25">
      <c r="A105" s="198"/>
      <c r="G105" s="169"/>
      <c r="H105" s="181">
        <v>100</v>
      </c>
      <c r="I105" s="182" t="str">
        <f t="shared" si="6"/>
        <v/>
      </c>
      <c r="J105" s="181" t="e">
        <f t="shared" si="9"/>
        <v>#NUM!</v>
      </c>
      <c r="K105" s="181" t="e">
        <f t="shared" si="7"/>
        <v>#NUM!</v>
      </c>
      <c r="L105" s="181"/>
      <c r="M105" s="183">
        <f t="shared" si="8"/>
        <v>0</v>
      </c>
    </row>
    <row r="106" spans="1:13" x14ac:dyDescent="0.25">
      <c r="A106" s="198"/>
      <c r="G106" s="169"/>
      <c r="H106" s="181">
        <v>101</v>
      </c>
      <c r="I106" s="182" t="str">
        <f t="shared" si="6"/>
        <v/>
      </c>
      <c r="J106" s="181" t="e">
        <f t="shared" si="9"/>
        <v>#NUM!</v>
      </c>
      <c r="K106" s="181" t="e">
        <f t="shared" si="7"/>
        <v>#NUM!</v>
      </c>
      <c r="L106" s="181"/>
      <c r="M106" s="183">
        <f t="shared" si="8"/>
        <v>0</v>
      </c>
    </row>
    <row r="107" spans="1:13" x14ac:dyDescent="0.25">
      <c r="A107" s="198"/>
      <c r="G107" s="169"/>
      <c r="H107" s="181">
        <v>102</v>
      </c>
      <c r="I107" s="182" t="str">
        <f t="shared" si="6"/>
        <v/>
      </c>
      <c r="J107" s="181" t="e">
        <f t="shared" si="9"/>
        <v>#NUM!</v>
      </c>
      <c r="K107" s="181" t="e">
        <f t="shared" si="7"/>
        <v>#NUM!</v>
      </c>
      <c r="L107" s="181"/>
      <c r="M107" s="183">
        <f t="shared" si="8"/>
        <v>0</v>
      </c>
    </row>
    <row r="108" spans="1:13" x14ac:dyDescent="0.25">
      <c r="A108" s="198"/>
      <c r="G108" s="169"/>
      <c r="H108" s="181">
        <v>103</v>
      </c>
      <c r="I108" s="182" t="str">
        <f t="shared" si="6"/>
        <v/>
      </c>
      <c r="J108" s="181" t="e">
        <f t="shared" si="9"/>
        <v>#NUM!</v>
      </c>
      <c r="K108" s="181" t="e">
        <f t="shared" si="7"/>
        <v>#NUM!</v>
      </c>
      <c r="L108" s="181"/>
      <c r="M108" s="183">
        <f t="shared" si="8"/>
        <v>0</v>
      </c>
    </row>
    <row r="109" spans="1:13" x14ac:dyDescent="0.25">
      <c r="A109" s="198"/>
      <c r="G109" s="169"/>
      <c r="H109" s="181">
        <v>104</v>
      </c>
      <c r="I109" s="182" t="str">
        <f t="shared" si="6"/>
        <v/>
      </c>
      <c r="J109" s="181" t="e">
        <f t="shared" si="9"/>
        <v>#NUM!</v>
      </c>
      <c r="K109" s="181" t="e">
        <f t="shared" si="7"/>
        <v>#NUM!</v>
      </c>
      <c r="L109" s="181"/>
      <c r="M109" s="183">
        <f t="shared" si="8"/>
        <v>0</v>
      </c>
    </row>
    <row r="110" spans="1:13" x14ac:dyDescent="0.25">
      <c r="A110" s="198"/>
      <c r="G110" s="169"/>
      <c r="H110" s="181">
        <v>105</v>
      </c>
      <c r="I110" s="182" t="str">
        <f t="shared" si="6"/>
        <v/>
      </c>
      <c r="J110" s="181" t="e">
        <f t="shared" si="9"/>
        <v>#NUM!</v>
      </c>
      <c r="K110" s="181" t="e">
        <f t="shared" si="7"/>
        <v>#NUM!</v>
      </c>
      <c r="L110" s="181"/>
      <c r="M110" s="183">
        <f t="shared" si="8"/>
        <v>0</v>
      </c>
    </row>
    <row r="111" spans="1:13" x14ac:dyDescent="0.25">
      <c r="A111" s="198"/>
      <c r="G111" s="169"/>
      <c r="H111" s="181">
        <v>106</v>
      </c>
      <c r="I111" s="182" t="str">
        <f t="shared" si="6"/>
        <v/>
      </c>
      <c r="J111" s="181" t="e">
        <f t="shared" si="9"/>
        <v>#NUM!</v>
      </c>
      <c r="K111" s="181" t="e">
        <f t="shared" si="7"/>
        <v>#NUM!</v>
      </c>
      <c r="L111" s="181"/>
      <c r="M111" s="183">
        <f t="shared" si="8"/>
        <v>0</v>
      </c>
    </row>
    <row r="112" spans="1:13" x14ac:dyDescent="0.25">
      <c r="A112" s="198"/>
      <c r="G112" s="169"/>
      <c r="H112" s="181">
        <v>107</v>
      </c>
      <c r="I112" s="182" t="str">
        <f t="shared" si="6"/>
        <v/>
      </c>
      <c r="J112" s="181" t="e">
        <f t="shared" si="9"/>
        <v>#NUM!</v>
      </c>
      <c r="K112" s="181" t="e">
        <f t="shared" si="7"/>
        <v>#NUM!</v>
      </c>
      <c r="L112" s="181"/>
      <c r="M112" s="183">
        <f t="shared" si="8"/>
        <v>0</v>
      </c>
    </row>
    <row r="113" spans="1:13" x14ac:dyDescent="0.25">
      <c r="A113" s="198"/>
      <c r="G113" s="169"/>
      <c r="H113" s="181">
        <v>108</v>
      </c>
      <c r="I113" s="182" t="str">
        <f t="shared" si="6"/>
        <v/>
      </c>
      <c r="J113" s="181" t="e">
        <f t="shared" si="9"/>
        <v>#NUM!</v>
      </c>
      <c r="K113" s="181" t="e">
        <f t="shared" si="7"/>
        <v>#NUM!</v>
      </c>
      <c r="L113" s="181"/>
      <c r="M113" s="183">
        <f t="shared" si="8"/>
        <v>0</v>
      </c>
    </row>
    <row r="114" spans="1:13" x14ac:dyDescent="0.25">
      <c r="A114" s="198"/>
      <c r="G114" s="169"/>
      <c r="H114" s="181">
        <v>109</v>
      </c>
      <c r="I114" s="182" t="str">
        <f t="shared" si="6"/>
        <v/>
      </c>
      <c r="J114" s="181" t="e">
        <f t="shared" si="9"/>
        <v>#NUM!</v>
      </c>
      <c r="K114" s="181" t="e">
        <f t="shared" si="7"/>
        <v>#NUM!</v>
      </c>
      <c r="L114" s="181"/>
      <c r="M114" s="183">
        <f t="shared" si="8"/>
        <v>0</v>
      </c>
    </row>
    <row r="115" spans="1:13" x14ac:dyDescent="0.25">
      <c r="A115" s="198"/>
      <c r="G115" s="169"/>
      <c r="H115" s="181">
        <v>110</v>
      </c>
      <c r="I115" s="182" t="str">
        <f t="shared" si="6"/>
        <v/>
      </c>
      <c r="J115" s="181" t="e">
        <f t="shared" si="9"/>
        <v>#NUM!</v>
      </c>
      <c r="K115" s="181" t="e">
        <f t="shared" si="7"/>
        <v>#NUM!</v>
      </c>
      <c r="L115" s="181"/>
      <c r="M115" s="183">
        <f t="shared" si="8"/>
        <v>0</v>
      </c>
    </row>
    <row r="116" spans="1:13" x14ac:dyDescent="0.25">
      <c r="A116" s="198"/>
      <c r="G116" s="169"/>
      <c r="H116" s="181">
        <v>111</v>
      </c>
      <c r="I116" s="182" t="str">
        <f t="shared" si="6"/>
        <v/>
      </c>
      <c r="J116" s="181" t="e">
        <f t="shared" si="9"/>
        <v>#NUM!</v>
      </c>
      <c r="K116" s="181" t="e">
        <f t="shared" si="7"/>
        <v>#NUM!</v>
      </c>
      <c r="L116" s="181"/>
      <c r="M116" s="183">
        <f t="shared" si="8"/>
        <v>0</v>
      </c>
    </row>
    <row r="117" spans="1:13" x14ac:dyDescent="0.25">
      <c r="A117" s="198"/>
      <c r="G117" s="169"/>
      <c r="H117" s="181">
        <v>112</v>
      </c>
      <c r="I117" s="182" t="str">
        <f t="shared" si="6"/>
        <v/>
      </c>
      <c r="J117" s="181" t="e">
        <f t="shared" si="9"/>
        <v>#NUM!</v>
      </c>
      <c r="K117" s="181" t="e">
        <f t="shared" si="7"/>
        <v>#NUM!</v>
      </c>
      <c r="L117" s="181"/>
      <c r="M117" s="183">
        <f t="shared" si="8"/>
        <v>0</v>
      </c>
    </row>
    <row r="118" spans="1:13" x14ac:dyDescent="0.25">
      <c r="A118" s="198"/>
      <c r="G118" s="169"/>
      <c r="H118" s="181">
        <v>113</v>
      </c>
      <c r="I118" s="182" t="str">
        <f t="shared" si="6"/>
        <v/>
      </c>
      <c r="J118" s="181" t="e">
        <f t="shared" si="9"/>
        <v>#NUM!</v>
      </c>
      <c r="K118" s="181" t="e">
        <f t="shared" si="7"/>
        <v>#NUM!</v>
      </c>
      <c r="L118" s="181"/>
      <c r="M118" s="183">
        <f t="shared" si="8"/>
        <v>0</v>
      </c>
    </row>
    <row r="119" spans="1:13" x14ac:dyDescent="0.25">
      <c r="A119" s="198"/>
      <c r="G119" s="169"/>
      <c r="H119" s="181">
        <v>114</v>
      </c>
      <c r="I119" s="182" t="str">
        <f t="shared" si="6"/>
        <v/>
      </c>
      <c r="J119" s="181" t="e">
        <f t="shared" si="9"/>
        <v>#NUM!</v>
      </c>
      <c r="K119" s="181" t="e">
        <f t="shared" si="7"/>
        <v>#NUM!</v>
      </c>
      <c r="L119" s="181"/>
      <c r="M119" s="183">
        <f t="shared" si="8"/>
        <v>0</v>
      </c>
    </row>
    <row r="120" spans="1:13" x14ac:dyDescent="0.25">
      <c r="A120" s="198"/>
      <c r="G120" s="169"/>
      <c r="H120" s="181">
        <v>115</v>
      </c>
      <c r="I120" s="182" t="str">
        <f t="shared" si="6"/>
        <v/>
      </c>
      <c r="J120" s="181" t="e">
        <f t="shared" si="9"/>
        <v>#NUM!</v>
      </c>
      <c r="K120" s="181" t="e">
        <f t="shared" si="7"/>
        <v>#NUM!</v>
      </c>
      <c r="L120" s="181"/>
      <c r="M120" s="183">
        <f t="shared" si="8"/>
        <v>0</v>
      </c>
    </row>
    <row r="121" spans="1:13" x14ac:dyDescent="0.25">
      <c r="A121" s="198"/>
      <c r="G121" s="169"/>
      <c r="H121" s="181">
        <v>116</v>
      </c>
      <c r="I121" s="182" t="str">
        <f t="shared" si="6"/>
        <v/>
      </c>
      <c r="J121" s="181" t="e">
        <f t="shared" si="9"/>
        <v>#NUM!</v>
      </c>
      <c r="K121" s="181" t="e">
        <f t="shared" si="7"/>
        <v>#NUM!</v>
      </c>
      <c r="L121" s="181"/>
      <c r="M121" s="183">
        <f t="shared" si="8"/>
        <v>0</v>
      </c>
    </row>
    <row r="122" spans="1:13" x14ac:dyDescent="0.25">
      <c r="A122" s="198"/>
      <c r="G122" s="169"/>
      <c r="H122" s="181">
        <v>117</v>
      </c>
      <c r="I122" s="182" t="str">
        <f t="shared" si="6"/>
        <v/>
      </c>
      <c r="J122" s="181" t="e">
        <f t="shared" si="9"/>
        <v>#NUM!</v>
      </c>
      <c r="K122" s="181" t="e">
        <f t="shared" si="7"/>
        <v>#NUM!</v>
      </c>
      <c r="L122" s="181"/>
      <c r="M122" s="183">
        <f t="shared" si="8"/>
        <v>0</v>
      </c>
    </row>
    <row r="123" spans="1:13" x14ac:dyDescent="0.25">
      <c r="A123" s="198"/>
      <c r="G123" s="169"/>
      <c r="H123" s="181">
        <v>118</v>
      </c>
      <c r="I123" s="182" t="str">
        <f t="shared" si="6"/>
        <v/>
      </c>
      <c r="J123" s="181" t="e">
        <f t="shared" si="9"/>
        <v>#NUM!</v>
      </c>
      <c r="K123" s="181" t="e">
        <f t="shared" si="7"/>
        <v>#NUM!</v>
      </c>
      <c r="L123" s="181"/>
      <c r="M123" s="183">
        <f t="shared" si="8"/>
        <v>0</v>
      </c>
    </row>
    <row r="124" spans="1:13" x14ac:dyDescent="0.25">
      <c r="A124" s="198"/>
      <c r="G124" s="169"/>
      <c r="H124" s="181">
        <v>119</v>
      </c>
      <c r="I124" s="182" t="str">
        <f t="shared" si="6"/>
        <v/>
      </c>
      <c r="J124" s="181" t="e">
        <f t="shared" si="9"/>
        <v>#NUM!</v>
      </c>
      <c r="K124" s="181" t="e">
        <f t="shared" si="7"/>
        <v>#NUM!</v>
      </c>
      <c r="L124" s="181"/>
      <c r="M124" s="183">
        <f t="shared" si="8"/>
        <v>0</v>
      </c>
    </row>
    <row r="125" spans="1:13" x14ac:dyDescent="0.25">
      <c r="A125" s="198"/>
      <c r="G125" s="169"/>
      <c r="H125" s="181">
        <v>120</v>
      </c>
      <c r="I125" s="182" t="str">
        <f t="shared" si="6"/>
        <v/>
      </c>
      <c r="J125" s="181" t="e">
        <f t="shared" si="9"/>
        <v>#NUM!</v>
      </c>
      <c r="K125" s="181" t="e">
        <f t="shared" si="7"/>
        <v>#NUM!</v>
      </c>
      <c r="L125" s="181"/>
      <c r="M125" s="183">
        <f t="shared" si="8"/>
        <v>0</v>
      </c>
    </row>
    <row r="126" spans="1:13" x14ac:dyDescent="0.25">
      <c r="A126" s="198"/>
      <c r="G126" s="169"/>
      <c r="H126" s="181">
        <v>121</v>
      </c>
      <c r="I126" s="182" t="str">
        <f t="shared" si="6"/>
        <v/>
      </c>
      <c r="J126" s="181" t="e">
        <f t="shared" si="9"/>
        <v>#NUM!</v>
      </c>
      <c r="K126" s="181" t="e">
        <f t="shared" si="7"/>
        <v>#NUM!</v>
      </c>
      <c r="L126" s="181"/>
      <c r="M126" s="183">
        <f t="shared" si="8"/>
        <v>0</v>
      </c>
    </row>
    <row r="127" spans="1:13" x14ac:dyDescent="0.25">
      <c r="A127" s="198"/>
      <c r="G127" s="169"/>
      <c r="H127" s="181">
        <v>122</v>
      </c>
      <c r="I127" s="182" t="str">
        <f t="shared" si="6"/>
        <v/>
      </c>
      <c r="J127" s="181" t="e">
        <f t="shared" si="9"/>
        <v>#NUM!</v>
      </c>
      <c r="K127" s="181" t="e">
        <f t="shared" si="7"/>
        <v>#NUM!</v>
      </c>
      <c r="L127" s="181"/>
      <c r="M127" s="183">
        <f t="shared" si="8"/>
        <v>0</v>
      </c>
    </row>
    <row r="128" spans="1:13" x14ac:dyDescent="0.25">
      <c r="A128" s="198"/>
      <c r="G128" s="169"/>
      <c r="H128" s="181">
        <v>123</v>
      </c>
      <c r="I128" s="182" t="str">
        <f t="shared" si="6"/>
        <v/>
      </c>
      <c r="J128" s="181" t="e">
        <f t="shared" si="9"/>
        <v>#NUM!</v>
      </c>
      <c r="K128" s="181" t="e">
        <f t="shared" si="7"/>
        <v>#NUM!</v>
      </c>
      <c r="L128" s="181"/>
      <c r="M128" s="183">
        <f t="shared" si="8"/>
        <v>0</v>
      </c>
    </row>
    <row r="129" spans="1:13" x14ac:dyDescent="0.25">
      <c r="A129" s="198"/>
      <c r="G129" s="169"/>
      <c r="H129" s="181">
        <v>124</v>
      </c>
      <c r="I129" s="182" t="str">
        <f t="shared" si="6"/>
        <v/>
      </c>
      <c r="J129" s="181" t="e">
        <f t="shared" si="9"/>
        <v>#NUM!</v>
      </c>
      <c r="K129" s="181" t="e">
        <f t="shared" si="7"/>
        <v>#NUM!</v>
      </c>
      <c r="L129" s="181"/>
      <c r="M129" s="183">
        <f t="shared" si="8"/>
        <v>0</v>
      </c>
    </row>
    <row r="130" spans="1:13" x14ac:dyDescent="0.25">
      <c r="A130" s="198"/>
      <c r="G130" s="169"/>
      <c r="H130" s="181">
        <v>125</v>
      </c>
      <c r="I130" s="182" t="str">
        <f t="shared" si="6"/>
        <v/>
      </c>
      <c r="J130" s="181" t="e">
        <f t="shared" si="9"/>
        <v>#NUM!</v>
      </c>
      <c r="K130" s="181" t="e">
        <f t="shared" si="7"/>
        <v>#NUM!</v>
      </c>
      <c r="L130" s="181"/>
      <c r="M130" s="183">
        <f t="shared" si="8"/>
        <v>0</v>
      </c>
    </row>
    <row r="131" spans="1:13" x14ac:dyDescent="0.25">
      <c r="A131" s="198"/>
      <c r="G131" s="169"/>
      <c r="H131" s="181">
        <v>126</v>
      </c>
      <c r="I131" s="182" t="str">
        <f t="shared" si="6"/>
        <v/>
      </c>
      <c r="J131" s="181" t="e">
        <f t="shared" si="9"/>
        <v>#NUM!</v>
      </c>
      <c r="K131" s="181" t="e">
        <f t="shared" si="7"/>
        <v>#NUM!</v>
      </c>
      <c r="L131" s="181"/>
      <c r="M131" s="183">
        <f t="shared" si="8"/>
        <v>0</v>
      </c>
    </row>
    <row r="132" spans="1:13" x14ac:dyDescent="0.25">
      <c r="A132" s="198"/>
      <c r="G132" s="169"/>
      <c r="H132" s="181">
        <v>127</v>
      </c>
      <c r="I132" s="182" t="str">
        <f t="shared" si="6"/>
        <v/>
      </c>
      <c r="J132" s="181" t="e">
        <f t="shared" si="9"/>
        <v>#NUM!</v>
      </c>
      <c r="K132" s="181" t="e">
        <f t="shared" si="7"/>
        <v>#NUM!</v>
      </c>
      <c r="L132" s="181"/>
      <c r="M132" s="183">
        <f t="shared" si="8"/>
        <v>0</v>
      </c>
    </row>
    <row r="133" spans="1:13" x14ac:dyDescent="0.25">
      <c r="A133" s="198"/>
      <c r="G133" s="169"/>
      <c r="H133" s="181">
        <v>128</v>
      </c>
      <c r="I133" s="182" t="str">
        <f t="shared" si="6"/>
        <v/>
      </c>
      <c r="J133" s="181" t="e">
        <f t="shared" si="9"/>
        <v>#NUM!</v>
      </c>
      <c r="K133" s="181" t="e">
        <f t="shared" si="7"/>
        <v>#NUM!</v>
      </c>
      <c r="L133" s="181"/>
      <c r="M133" s="183">
        <f t="shared" si="8"/>
        <v>0</v>
      </c>
    </row>
    <row r="134" spans="1:13" x14ac:dyDescent="0.25">
      <c r="A134" s="198"/>
      <c r="G134" s="169"/>
      <c r="H134" s="181">
        <v>129</v>
      </c>
      <c r="I134" s="182" t="str">
        <f t="shared" ref="I134:I197" si="10">IF(H134&lt;$H$2+1,($I$2-($I$2-1)*(LOG(H134)/LOG($H$2))),"")</f>
        <v/>
      </c>
      <c r="J134" s="181" t="e">
        <f t="shared" si="9"/>
        <v>#NUM!</v>
      </c>
      <c r="K134" s="181" t="e">
        <f t="shared" ref="K134:K197" si="11">J134*$J$2</f>
        <v>#NUM!</v>
      </c>
      <c r="L134" s="181"/>
      <c r="M134" s="183">
        <f t="shared" ref="M134:M197" si="12">IF(I134&lt;&gt;"",K134+I134+L134,0)</f>
        <v>0</v>
      </c>
    </row>
    <row r="135" spans="1:13" x14ac:dyDescent="0.25">
      <c r="A135" s="198"/>
      <c r="G135" s="169"/>
      <c r="H135" s="181">
        <v>130</v>
      </c>
      <c r="I135" s="182" t="str">
        <f t="shared" si="10"/>
        <v/>
      </c>
      <c r="J135" s="181" t="e">
        <f t="shared" ref="J135:J198" si="13">INT(LOG($H$2,2))-ROUNDUP(LOG(H135,2),0)+IF(OR($H$2=1,$H$2=2,$H$2=4,$H$2=8,$H$2=16,$H$2=32,$H$2=64,$H$2=128,$H$2=256),0,1)</f>
        <v>#NUM!</v>
      </c>
      <c r="K135" s="181" t="e">
        <f t="shared" si="11"/>
        <v>#NUM!</v>
      </c>
      <c r="L135" s="181"/>
      <c r="M135" s="183">
        <f t="shared" si="12"/>
        <v>0</v>
      </c>
    </row>
    <row r="136" spans="1:13" x14ac:dyDescent="0.25">
      <c r="A136" s="198"/>
      <c r="G136" s="169"/>
      <c r="H136" s="181">
        <v>131</v>
      </c>
      <c r="I136" s="182" t="str">
        <f t="shared" si="10"/>
        <v/>
      </c>
      <c r="J136" s="181" t="e">
        <f t="shared" si="13"/>
        <v>#NUM!</v>
      </c>
      <c r="K136" s="181" t="e">
        <f t="shared" si="11"/>
        <v>#NUM!</v>
      </c>
      <c r="L136" s="181"/>
      <c r="M136" s="183">
        <f t="shared" si="12"/>
        <v>0</v>
      </c>
    </row>
    <row r="137" spans="1:13" x14ac:dyDescent="0.25">
      <c r="A137" s="198"/>
      <c r="G137" s="169"/>
      <c r="H137" s="181">
        <v>132</v>
      </c>
      <c r="I137" s="182" t="str">
        <f t="shared" si="10"/>
        <v/>
      </c>
      <c r="J137" s="181" t="e">
        <f t="shared" si="13"/>
        <v>#NUM!</v>
      </c>
      <c r="K137" s="181" t="e">
        <f t="shared" si="11"/>
        <v>#NUM!</v>
      </c>
      <c r="L137" s="181"/>
      <c r="M137" s="183">
        <f t="shared" si="12"/>
        <v>0</v>
      </c>
    </row>
    <row r="138" spans="1:13" x14ac:dyDescent="0.25">
      <c r="A138" s="198"/>
      <c r="G138" s="169"/>
      <c r="H138" s="181">
        <v>133</v>
      </c>
      <c r="I138" s="182" t="str">
        <f t="shared" si="10"/>
        <v/>
      </c>
      <c r="J138" s="181" t="e">
        <f t="shared" si="13"/>
        <v>#NUM!</v>
      </c>
      <c r="K138" s="181" t="e">
        <f t="shared" si="11"/>
        <v>#NUM!</v>
      </c>
      <c r="L138" s="181"/>
      <c r="M138" s="183">
        <f t="shared" si="12"/>
        <v>0</v>
      </c>
    </row>
    <row r="139" spans="1:13" x14ac:dyDescent="0.25">
      <c r="A139" s="198"/>
      <c r="G139" s="169"/>
      <c r="H139" s="181">
        <v>134</v>
      </c>
      <c r="I139" s="182" t="str">
        <f t="shared" si="10"/>
        <v/>
      </c>
      <c r="J139" s="181" t="e">
        <f t="shared" si="13"/>
        <v>#NUM!</v>
      </c>
      <c r="K139" s="181" t="e">
        <f t="shared" si="11"/>
        <v>#NUM!</v>
      </c>
      <c r="L139" s="181"/>
      <c r="M139" s="183">
        <f t="shared" si="12"/>
        <v>0</v>
      </c>
    </row>
    <row r="140" spans="1:13" x14ac:dyDescent="0.25">
      <c r="A140" s="198"/>
      <c r="G140" s="169"/>
      <c r="H140" s="181">
        <v>135</v>
      </c>
      <c r="I140" s="182" t="str">
        <f t="shared" si="10"/>
        <v/>
      </c>
      <c r="J140" s="181" t="e">
        <f t="shared" si="13"/>
        <v>#NUM!</v>
      </c>
      <c r="K140" s="181" t="e">
        <f t="shared" si="11"/>
        <v>#NUM!</v>
      </c>
      <c r="L140" s="181"/>
      <c r="M140" s="183">
        <f t="shared" si="12"/>
        <v>0</v>
      </c>
    </row>
    <row r="141" spans="1:13" x14ac:dyDescent="0.25">
      <c r="A141" s="198"/>
      <c r="G141" s="169"/>
      <c r="H141" s="181">
        <v>136</v>
      </c>
      <c r="I141" s="182" t="str">
        <f t="shared" si="10"/>
        <v/>
      </c>
      <c r="J141" s="181" t="e">
        <f t="shared" si="13"/>
        <v>#NUM!</v>
      </c>
      <c r="K141" s="181" t="e">
        <f t="shared" si="11"/>
        <v>#NUM!</v>
      </c>
      <c r="L141" s="181"/>
      <c r="M141" s="183">
        <f t="shared" si="12"/>
        <v>0</v>
      </c>
    </row>
    <row r="142" spans="1:13" x14ac:dyDescent="0.25">
      <c r="A142" s="198"/>
      <c r="G142" s="169"/>
      <c r="H142" s="181">
        <v>137</v>
      </c>
      <c r="I142" s="182" t="str">
        <f t="shared" si="10"/>
        <v/>
      </c>
      <c r="J142" s="181" t="e">
        <f t="shared" si="13"/>
        <v>#NUM!</v>
      </c>
      <c r="K142" s="181" t="e">
        <f t="shared" si="11"/>
        <v>#NUM!</v>
      </c>
      <c r="L142" s="181"/>
      <c r="M142" s="183">
        <f t="shared" si="12"/>
        <v>0</v>
      </c>
    </row>
    <row r="143" spans="1:13" x14ac:dyDescent="0.25">
      <c r="A143" s="198"/>
      <c r="G143" s="169"/>
      <c r="H143" s="181">
        <v>138</v>
      </c>
      <c r="I143" s="182" t="str">
        <f t="shared" si="10"/>
        <v/>
      </c>
      <c r="J143" s="181" t="e">
        <f t="shared" si="13"/>
        <v>#NUM!</v>
      </c>
      <c r="K143" s="181" t="e">
        <f t="shared" si="11"/>
        <v>#NUM!</v>
      </c>
      <c r="L143" s="181"/>
      <c r="M143" s="183">
        <f t="shared" si="12"/>
        <v>0</v>
      </c>
    </row>
    <row r="144" spans="1:13" x14ac:dyDescent="0.25">
      <c r="A144" s="198"/>
      <c r="G144" s="169"/>
      <c r="H144" s="181">
        <v>139</v>
      </c>
      <c r="I144" s="182" t="str">
        <f t="shared" si="10"/>
        <v/>
      </c>
      <c r="J144" s="181" t="e">
        <f t="shared" si="13"/>
        <v>#NUM!</v>
      </c>
      <c r="K144" s="181" t="e">
        <f t="shared" si="11"/>
        <v>#NUM!</v>
      </c>
      <c r="L144" s="181"/>
      <c r="M144" s="183">
        <f t="shared" si="12"/>
        <v>0</v>
      </c>
    </row>
    <row r="145" spans="1:13" x14ac:dyDescent="0.25">
      <c r="A145" s="198"/>
      <c r="G145" s="169"/>
      <c r="H145" s="181">
        <v>140</v>
      </c>
      <c r="I145" s="182" t="str">
        <f t="shared" si="10"/>
        <v/>
      </c>
      <c r="J145" s="181" t="e">
        <f t="shared" si="13"/>
        <v>#NUM!</v>
      </c>
      <c r="K145" s="181" t="e">
        <f t="shared" si="11"/>
        <v>#NUM!</v>
      </c>
      <c r="L145" s="181"/>
      <c r="M145" s="183">
        <f t="shared" si="12"/>
        <v>0</v>
      </c>
    </row>
    <row r="146" spans="1:13" x14ac:dyDescent="0.25">
      <c r="A146" s="198"/>
      <c r="G146" s="169"/>
      <c r="H146" s="181">
        <v>141</v>
      </c>
      <c r="I146" s="182" t="str">
        <f t="shared" si="10"/>
        <v/>
      </c>
      <c r="J146" s="181" t="e">
        <f t="shared" si="13"/>
        <v>#NUM!</v>
      </c>
      <c r="K146" s="181" t="e">
        <f t="shared" si="11"/>
        <v>#NUM!</v>
      </c>
      <c r="L146" s="181"/>
      <c r="M146" s="183">
        <f t="shared" si="12"/>
        <v>0</v>
      </c>
    </row>
    <row r="147" spans="1:13" x14ac:dyDescent="0.25">
      <c r="A147" s="198"/>
      <c r="G147" s="169"/>
      <c r="H147" s="181">
        <v>142</v>
      </c>
      <c r="I147" s="182" t="str">
        <f t="shared" si="10"/>
        <v/>
      </c>
      <c r="J147" s="181" t="e">
        <f t="shared" si="13"/>
        <v>#NUM!</v>
      </c>
      <c r="K147" s="181" t="e">
        <f t="shared" si="11"/>
        <v>#NUM!</v>
      </c>
      <c r="L147" s="181"/>
      <c r="M147" s="183">
        <f t="shared" si="12"/>
        <v>0</v>
      </c>
    </row>
    <row r="148" spans="1:13" x14ac:dyDescent="0.25">
      <c r="A148" s="198"/>
      <c r="G148" s="169"/>
      <c r="H148" s="181">
        <v>143</v>
      </c>
      <c r="I148" s="182" t="str">
        <f t="shared" si="10"/>
        <v/>
      </c>
      <c r="J148" s="181" t="e">
        <f t="shared" si="13"/>
        <v>#NUM!</v>
      </c>
      <c r="K148" s="181" t="e">
        <f t="shared" si="11"/>
        <v>#NUM!</v>
      </c>
      <c r="L148" s="181"/>
      <c r="M148" s="183">
        <f t="shared" si="12"/>
        <v>0</v>
      </c>
    </row>
    <row r="149" spans="1:13" x14ac:dyDescent="0.25">
      <c r="A149" s="198"/>
      <c r="G149" s="169"/>
      <c r="H149" s="181">
        <v>144</v>
      </c>
      <c r="I149" s="182" t="str">
        <f t="shared" si="10"/>
        <v/>
      </c>
      <c r="J149" s="181" t="e">
        <f t="shared" si="13"/>
        <v>#NUM!</v>
      </c>
      <c r="K149" s="181" t="e">
        <f t="shared" si="11"/>
        <v>#NUM!</v>
      </c>
      <c r="L149" s="181"/>
      <c r="M149" s="183">
        <f t="shared" si="12"/>
        <v>0</v>
      </c>
    </row>
    <row r="150" spans="1:13" x14ac:dyDescent="0.25">
      <c r="A150" s="198"/>
      <c r="G150" s="169"/>
      <c r="H150" s="181">
        <v>145</v>
      </c>
      <c r="I150" s="182" t="str">
        <f t="shared" si="10"/>
        <v/>
      </c>
      <c r="J150" s="181" t="e">
        <f t="shared" si="13"/>
        <v>#NUM!</v>
      </c>
      <c r="K150" s="181" t="e">
        <f t="shared" si="11"/>
        <v>#NUM!</v>
      </c>
      <c r="L150" s="181"/>
      <c r="M150" s="183">
        <f t="shared" si="12"/>
        <v>0</v>
      </c>
    </row>
    <row r="151" spans="1:13" x14ac:dyDescent="0.25">
      <c r="A151" s="198"/>
      <c r="G151" s="169"/>
      <c r="H151" s="181">
        <v>146</v>
      </c>
      <c r="I151" s="182" t="str">
        <f t="shared" si="10"/>
        <v/>
      </c>
      <c r="J151" s="181" t="e">
        <f t="shared" si="13"/>
        <v>#NUM!</v>
      </c>
      <c r="K151" s="181" t="e">
        <f t="shared" si="11"/>
        <v>#NUM!</v>
      </c>
      <c r="L151" s="181"/>
      <c r="M151" s="183">
        <f t="shared" si="12"/>
        <v>0</v>
      </c>
    </row>
    <row r="152" spans="1:13" x14ac:dyDescent="0.25">
      <c r="A152" s="198"/>
      <c r="G152" s="169"/>
      <c r="H152" s="181">
        <v>147</v>
      </c>
      <c r="I152" s="182" t="str">
        <f t="shared" si="10"/>
        <v/>
      </c>
      <c r="J152" s="181" t="e">
        <f t="shared" si="13"/>
        <v>#NUM!</v>
      </c>
      <c r="K152" s="181" t="e">
        <f t="shared" si="11"/>
        <v>#NUM!</v>
      </c>
      <c r="L152" s="181"/>
      <c r="M152" s="183">
        <f t="shared" si="12"/>
        <v>0</v>
      </c>
    </row>
    <row r="153" spans="1:13" x14ac:dyDescent="0.25">
      <c r="A153" s="198"/>
      <c r="G153" s="169"/>
      <c r="H153" s="181">
        <v>148</v>
      </c>
      <c r="I153" s="182" t="str">
        <f t="shared" si="10"/>
        <v/>
      </c>
      <c r="J153" s="181" t="e">
        <f t="shared" si="13"/>
        <v>#NUM!</v>
      </c>
      <c r="K153" s="181" t="e">
        <f t="shared" si="11"/>
        <v>#NUM!</v>
      </c>
      <c r="L153" s="181"/>
      <c r="M153" s="183">
        <f t="shared" si="12"/>
        <v>0</v>
      </c>
    </row>
    <row r="154" spans="1:13" x14ac:dyDescent="0.25">
      <c r="A154" s="198"/>
      <c r="G154" s="169"/>
      <c r="H154" s="181">
        <v>149</v>
      </c>
      <c r="I154" s="182" t="str">
        <f t="shared" si="10"/>
        <v/>
      </c>
      <c r="J154" s="181" t="e">
        <f t="shared" si="13"/>
        <v>#NUM!</v>
      </c>
      <c r="K154" s="181" t="e">
        <f t="shared" si="11"/>
        <v>#NUM!</v>
      </c>
      <c r="L154" s="181"/>
      <c r="M154" s="183">
        <f t="shared" si="12"/>
        <v>0</v>
      </c>
    </row>
    <row r="155" spans="1:13" x14ac:dyDescent="0.25">
      <c r="A155" s="198"/>
      <c r="G155" s="169"/>
      <c r="H155" s="181">
        <v>150</v>
      </c>
      <c r="I155" s="182" t="str">
        <f t="shared" si="10"/>
        <v/>
      </c>
      <c r="J155" s="181" t="e">
        <f t="shared" si="13"/>
        <v>#NUM!</v>
      </c>
      <c r="K155" s="181" t="e">
        <f t="shared" si="11"/>
        <v>#NUM!</v>
      </c>
      <c r="L155" s="181"/>
      <c r="M155" s="183">
        <f t="shared" si="12"/>
        <v>0</v>
      </c>
    </row>
    <row r="156" spans="1:13" x14ac:dyDescent="0.25">
      <c r="A156" s="198"/>
      <c r="G156" s="169"/>
      <c r="H156" s="181">
        <v>151</v>
      </c>
      <c r="I156" s="182" t="str">
        <f t="shared" si="10"/>
        <v/>
      </c>
      <c r="J156" s="181" t="e">
        <f t="shared" si="13"/>
        <v>#NUM!</v>
      </c>
      <c r="K156" s="181" t="e">
        <f t="shared" si="11"/>
        <v>#NUM!</v>
      </c>
      <c r="L156" s="181"/>
      <c r="M156" s="183">
        <f t="shared" si="12"/>
        <v>0</v>
      </c>
    </row>
    <row r="157" spans="1:13" x14ac:dyDescent="0.25">
      <c r="A157" s="198"/>
      <c r="G157" s="169"/>
      <c r="H157" s="181">
        <v>152</v>
      </c>
      <c r="I157" s="182" t="str">
        <f t="shared" si="10"/>
        <v/>
      </c>
      <c r="J157" s="181" t="e">
        <f t="shared" si="13"/>
        <v>#NUM!</v>
      </c>
      <c r="K157" s="181" t="e">
        <f t="shared" si="11"/>
        <v>#NUM!</v>
      </c>
      <c r="L157" s="181"/>
      <c r="M157" s="183">
        <f t="shared" si="12"/>
        <v>0</v>
      </c>
    </row>
    <row r="158" spans="1:13" x14ac:dyDescent="0.25">
      <c r="A158" s="198"/>
      <c r="G158" s="169"/>
      <c r="H158" s="181">
        <v>153</v>
      </c>
      <c r="I158" s="182" t="str">
        <f t="shared" si="10"/>
        <v/>
      </c>
      <c r="J158" s="181" t="e">
        <f t="shared" si="13"/>
        <v>#NUM!</v>
      </c>
      <c r="K158" s="181" t="e">
        <f t="shared" si="11"/>
        <v>#NUM!</v>
      </c>
      <c r="L158" s="181"/>
      <c r="M158" s="183">
        <f t="shared" si="12"/>
        <v>0</v>
      </c>
    </row>
    <row r="159" spans="1:13" x14ac:dyDescent="0.25">
      <c r="A159" s="198"/>
      <c r="G159" s="169"/>
      <c r="H159" s="181">
        <v>154</v>
      </c>
      <c r="I159" s="182" t="str">
        <f t="shared" si="10"/>
        <v/>
      </c>
      <c r="J159" s="181" t="e">
        <f t="shared" si="13"/>
        <v>#NUM!</v>
      </c>
      <c r="K159" s="181" t="e">
        <f t="shared" si="11"/>
        <v>#NUM!</v>
      </c>
      <c r="L159" s="181"/>
      <c r="M159" s="183">
        <f t="shared" si="12"/>
        <v>0</v>
      </c>
    </row>
    <row r="160" spans="1:13" x14ac:dyDescent="0.25">
      <c r="A160" s="198"/>
      <c r="G160" s="169"/>
      <c r="H160" s="181">
        <v>155</v>
      </c>
      <c r="I160" s="182" t="str">
        <f t="shared" si="10"/>
        <v/>
      </c>
      <c r="J160" s="181" t="e">
        <f t="shared" si="13"/>
        <v>#NUM!</v>
      </c>
      <c r="K160" s="181" t="e">
        <f t="shared" si="11"/>
        <v>#NUM!</v>
      </c>
      <c r="L160" s="181"/>
      <c r="M160" s="183">
        <f t="shared" si="12"/>
        <v>0</v>
      </c>
    </row>
    <row r="161" spans="1:13" x14ac:dyDescent="0.25">
      <c r="A161" s="198"/>
      <c r="G161" s="169"/>
      <c r="H161" s="181">
        <v>156</v>
      </c>
      <c r="I161" s="182" t="str">
        <f t="shared" si="10"/>
        <v/>
      </c>
      <c r="J161" s="181" t="e">
        <f t="shared" si="13"/>
        <v>#NUM!</v>
      </c>
      <c r="K161" s="181" t="e">
        <f t="shared" si="11"/>
        <v>#NUM!</v>
      </c>
      <c r="L161" s="181"/>
      <c r="M161" s="183">
        <f t="shared" si="12"/>
        <v>0</v>
      </c>
    </row>
    <row r="162" spans="1:13" x14ac:dyDescent="0.25">
      <c r="A162" s="198"/>
      <c r="G162" s="169"/>
      <c r="H162" s="181">
        <v>157</v>
      </c>
      <c r="I162" s="182" t="str">
        <f t="shared" si="10"/>
        <v/>
      </c>
      <c r="J162" s="181" t="e">
        <f t="shared" si="13"/>
        <v>#NUM!</v>
      </c>
      <c r="K162" s="181" t="e">
        <f t="shared" si="11"/>
        <v>#NUM!</v>
      </c>
      <c r="L162" s="181"/>
      <c r="M162" s="183">
        <f t="shared" si="12"/>
        <v>0</v>
      </c>
    </row>
    <row r="163" spans="1:13" x14ac:dyDescent="0.25">
      <c r="A163" s="198"/>
      <c r="G163" s="169"/>
      <c r="H163" s="181">
        <v>158</v>
      </c>
      <c r="I163" s="182" t="str">
        <f t="shared" si="10"/>
        <v/>
      </c>
      <c r="J163" s="181" t="e">
        <f t="shared" si="13"/>
        <v>#NUM!</v>
      </c>
      <c r="K163" s="181" t="e">
        <f t="shared" si="11"/>
        <v>#NUM!</v>
      </c>
      <c r="L163" s="181"/>
      <c r="M163" s="183">
        <f t="shared" si="12"/>
        <v>0</v>
      </c>
    </row>
    <row r="164" spans="1:13" x14ac:dyDescent="0.25">
      <c r="A164" s="198"/>
      <c r="G164" s="169"/>
      <c r="H164" s="181">
        <v>159</v>
      </c>
      <c r="I164" s="182" t="str">
        <f t="shared" si="10"/>
        <v/>
      </c>
      <c r="J164" s="181" t="e">
        <f t="shared" si="13"/>
        <v>#NUM!</v>
      </c>
      <c r="K164" s="181" t="e">
        <f t="shared" si="11"/>
        <v>#NUM!</v>
      </c>
      <c r="L164" s="181"/>
      <c r="M164" s="183">
        <f t="shared" si="12"/>
        <v>0</v>
      </c>
    </row>
    <row r="165" spans="1:13" x14ac:dyDescent="0.25">
      <c r="A165" s="198"/>
      <c r="G165" s="169"/>
      <c r="H165" s="181">
        <v>160</v>
      </c>
      <c r="I165" s="182" t="str">
        <f t="shared" si="10"/>
        <v/>
      </c>
      <c r="J165" s="181" t="e">
        <f t="shared" si="13"/>
        <v>#NUM!</v>
      </c>
      <c r="K165" s="181" t="e">
        <f t="shared" si="11"/>
        <v>#NUM!</v>
      </c>
      <c r="L165" s="181"/>
      <c r="M165" s="183">
        <f t="shared" si="12"/>
        <v>0</v>
      </c>
    </row>
    <row r="166" spans="1:13" x14ac:dyDescent="0.25">
      <c r="A166" s="198"/>
      <c r="G166" s="169"/>
      <c r="H166" s="181">
        <v>161</v>
      </c>
      <c r="I166" s="182" t="str">
        <f t="shared" si="10"/>
        <v/>
      </c>
      <c r="J166" s="181" t="e">
        <f t="shared" si="13"/>
        <v>#NUM!</v>
      </c>
      <c r="K166" s="181" t="e">
        <f t="shared" si="11"/>
        <v>#NUM!</v>
      </c>
      <c r="L166" s="181"/>
      <c r="M166" s="183">
        <f t="shared" si="12"/>
        <v>0</v>
      </c>
    </row>
    <row r="167" spans="1:13" x14ac:dyDescent="0.25">
      <c r="A167" s="198"/>
      <c r="G167" s="169"/>
      <c r="H167" s="181">
        <v>162</v>
      </c>
      <c r="I167" s="182" t="str">
        <f t="shared" si="10"/>
        <v/>
      </c>
      <c r="J167" s="181" t="e">
        <f t="shared" si="13"/>
        <v>#NUM!</v>
      </c>
      <c r="K167" s="181" t="e">
        <f t="shared" si="11"/>
        <v>#NUM!</v>
      </c>
      <c r="L167" s="181"/>
      <c r="M167" s="183">
        <f t="shared" si="12"/>
        <v>0</v>
      </c>
    </row>
    <row r="168" spans="1:13" x14ac:dyDescent="0.25">
      <c r="A168" s="198"/>
      <c r="G168" s="169"/>
      <c r="H168" s="181">
        <v>163</v>
      </c>
      <c r="I168" s="182" t="str">
        <f t="shared" si="10"/>
        <v/>
      </c>
      <c r="J168" s="181" t="e">
        <f t="shared" si="13"/>
        <v>#NUM!</v>
      </c>
      <c r="K168" s="181" t="e">
        <f t="shared" si="11"/>
        <v>#NUM!</v>
      </c>
      <c r="L168" s="181"/>
      <c r="M168" s="183">
        <f t="shared" si="12"/>
        <v>0</v>
      </c>
    </row>
    <row r="169" spans="1:13" x14ac:dyDescent="0.25">
      <c r="A169" s="198"/>
      <c r="C169" s="197" t="s">
        <v>54</v>
      </c>
      <c r="G169" s="169"/>
      <c r="H169" s="181">
        <v>164</v>
      </c>
      <c r="I169" s="182" t="str">
        <f t="shared" si="10"/>
        <v/>
      </c>
      <c r="J169" s="181" t="e">
        <f t="shared" si="13"/>
        <v>#NUM!</v>
      </c>
      <c r="K169" s="181" t="e">
        <f t="shared" si="11"/>
        <v>#NUM!</v>
      </c>
      <c r="L169" s="181"/>
      <c r="M169" s="183">
        <f t="shared" si="12"/>
        <v>0</v>
      </c>
    </row>
    <row r="170" spans="1:13" x14ac:dyDescent="0.25">
      <c r="A170" s="198"/>
      <c r="G170" s="169"/>
      <c r="H170" s="181">
        <v>165</v>
      </c>
      <c r="I170" s="182" t="str">
        <f t="shared" si="10"/>
        <v/>
      </c>
      <c r="J170" s="181" t="e">
        <f t="shared" si="13"/>
        <v>#NUM!</v>
      </c>
      <c r="K170" s="181" t="e">
        <f t="shared" si="11"/>
        <v>#NUM!</v>
      </c>
      <c r="L170" s="181"/>
      <c r="M170" s="183">
        <f t="shared" si="12"/>
        <v>0</v>
      </c>
    </row>
    <row r="171" spans="1:13" x14ac:dyDescent="0.25">
      <c r="A171" s="198"/>
      <c r="G171" s="169"/>
      <c r="H171" s="181">
        <v>166</v>
      </c>
      <c r="I171" s="182" t="str">
        <f t="shared" si="10"/>
        <v/>
      </c>
      <c r="J171" s="181" t="e">
        <f t="shared" si="13"/>
        <v>#NUM!</v>
      </c>
      <c r="K171" s="181" t="e">
        <f t="shared" si="11"/>
        <v>#NUM!</v>
      </c>
      <c r="L171" s="181"/>
      <c r="M171" s="183">
        <f t="shared" si="12"/>
        <v>0</v>
      </c>
    </row>
    <row r="172" spans="1:13" x14ac:dyDescent="0.25">
      <c r="A172" s="198"/>
      <c r="G172" s="169"/>
      <c r="H172" s="181">
        <v>167</v>
      </c>
      <c r="I172" s="182" t="str">
        <f t="shared" si="10"/>
        <v/>
      </c>
      <c r="J172" s="181" t="e">
        <f t="shared" si="13"/>
        <v>#NUM!</v>
      </c>
      <c r="K172" s="181" t="e">
        <f t="shared" si="11"/>
        <v>#NUM!</v>
      </c>
      <c r="L172" s="181"/>
      <c r="M172" s="183">
        <f t="shared" si="12"/>
        <v>0</v>
      </c>
    </row>
    <row r="173" spans="1:13" x14ac:dyDescent="0.25">
      <c r="A173" s="198"/>
      <c r="G173" s="169"/>
      <c r="H173" s="181">
        <v>168</v>
      </c>
      <c r="I173" s="182" t="str">
        <f t="shared" si="10"/>
        <v/>
      </c>
      <c r="J173" s="181" t="e">
        <f t="shared" si="13"/>
        <v>#NUM!</v>
      </c>
      <c r="K173" s="181" t="e">
        <f t="shared" si="11"/>
        <v>#NUM!</v>
      </c>
      <c r="L173" s="181"/>
      <c r="M173" s="183">
        <f t="shared" si="12"/>
        <v>0</v>
      </c>
    </row>
    <row r="174" spans="1:13" x14ac:dyDescent="0.25">
      <c r="A174" s="198"/>
      <c r="G174" s="169"/>
      <c r="H174" s="181">
        <v>169</v>
      </c>
      <c r="I174" s="182" t="str">
        <f t="shared" si="10"/>
        <v/>
      </c>
      <c r="J174" s="181" t="e">
        <f t="shared" si="13"/>
        <v>#NUM!</v>
      </c>
      <c r="K174" s="181" t="e">
        <f t="shared" si="11"/>
        <v>#NUM!</v>
      </c>
      <c r="L174" s="181"/>
      <c r="M174" s="183">
        <f t="shared" si="12"/>
        <v>0</v>
      </c>
    </row>
    <row r="175" spans="1:13" x14ac:dyDescent="0.25">
      <c r="A175" s="198"/>
      <c r="G175" s="169"/>
      <c r="H175" s="181">
        <v>170</v>
      </c>
      <c r="I175" s="182" t="str">
        <f t="shared" si="10"/>
        <v/>
      </c>
      <c r="J175" s="181" t="e">
        <f t="shared" si="13"/>
        <v>#NUM!</v>
      </c>
      <c r="K175" s="181" t="e">
        <f t="shared" si="11"/>
        <v>#NUM!</v>
      </c>
      <c r="L175" s="181"/>
      <c r="M175" s="183">
        <f t="shared" si="12"/>
        <v>0</v>
      </c>
    </row>
    <row r="176" spans="1:13" x14ac:dyDescent="0.25">
      <c r="A176" s="198"/>
      <c r="G176" s="169"/>
      <c r="H176" s="181">
        <v>171</v>
      </c>
      <c r="I176" s="182" t="str">
        <f t="shared" si="10"/>
        <v/>
      </c>
      <c r="J176" s="181" t="e">
        <f t="shared" si="13"/>
        <v>#NUM!</v>
      </c>
      <c r="K176" s="181" t="e">
        <f t="shared" si="11"/>
        <v>#NUM!</v>
      </c>
      <c r="L176" s="181"/>
      <c r="M176" s="183">
        <f t="shared" si="12"/>
        <v>0</v>
      </c>
    </row>
    <row r="177" spans="1:13" x14ac:dyDescent="0.25">
      <c r="A177" s="198"/>
      <c r="G177" s="169"/>
      <c r="H177" s="181">
        <v>172</v>
      </c>
      <c r="I177" s="182" t="str">
        <f t="shared" si="10"/>
        <v/>
      </c>
      <c r="J177" s="181" t="e">
        <f t="shared" si="13"/>
        <v>#NUM!</v>
      </c>
      <c r="K177" s="181" t="e">
        <f t="shared" si="11"/>
        <v>#NUM!</v>
      </c>
      <c r="L177" s="181"/>
      <c r="M177" s="183">
        <f t="shared" si="12"/>
        <v>0</v>
      </c>
    </row>
    <row r="178" spans="1:13" x14ac:dyDescent="0.25">
      <c r="A178" s="198"/>
      <c r="G178" s="169"/>
      <c r="H178" s="181">
        <v>173</v>
      </c>
      <c r="I178" s="182" t="str">
        <f t="shared" si="10"/>
        <v/>
      </c>
      <c r="J178" s="181" t="e">
        <f t="shared" si="13"/>
        <v>#NUM!</v>
      </c>
      <c r="K178" s="181" t="e">
        <f t="shared" si="11"/>
        <v>#NUM!</v>
      </c>
      <c r="L178" s="181"/>
      <c r="M178" s="183">
        <f t="shared" si="12"/>
        <v>0</v>
      </c>
    </row>
    <row r="179" spans="1:13" x14ac:dyDescent="0.25">
      <c r="A179" s="198"/>
      <c r="G179" s="169"/>
      <c r="H179" s="181">
        <v>174</v>
      </c>
      <c r="I179" s="182" t="str">
        <f t="shared" si="10"/>
        <v/>
      </c>
      <c r="J179" s="181" t="e">
        <f t="shared" si="13"/>
        <v>#NUM!</v>
      </c>
      <c r="K179" s="181" t="e">
        <f t="shared" si="11"/>
        <v>#NUM!</v>
      </c>
      <c r="L179" s="181"/>
      <c r="M179" s="183">
        <f t="shared" si="12"/>
        <v>0</v>
      </c>
    </row>
    <row r="180" spans="1:13" x14ac:dyDescent="0.25">
      <c r="A180" s="198"/>
      <c r="G180" s="169"/>
      <c r="H180" s="181">
        <v>175</v>
      </c>
      <c r="I180" s="182" t="str">
        <f t="shared" si="10"/>
        <v/>
      </c>
      <c r="J180" s="181" t="e">
        <f t="shared" si="13"/>
        <v>#NUM!</v>
      </c>
      <c r="K180" s="181" t="e">
        <f t="shared" si="11"/>
        <v>#NUM!</v>
      </c>
      <c r="L180" s="181"/>
      <c r="M180" s="183">
        <f t="shared" si="12"/>
        <v>0</v>
      </c>
    </row>
    <row r="181" spans="1:13" x14ac:dyDescent="0.25">
      <c r="A181" s="198"/>
      <c r="G181" s="169"/>
      <c r="H181" s="181">
        <v>176</v>
      </c>
      <c r="I181" s="182" t="str">
        <f t="shared" si="10"/>
        <v/>
      </c>
      <c r="J181" s="181" t="e">
        <f t="shared" si="13"/>
        <v>#NUM!</v>
      </c>
      <c r="K181" s="181" t="e">
        <f t="shared" si="11"/>
        <v>#NUM!</v>
      </c>
      <c r="L181" s="181"/>
      <c r="M181" s="183">
        <f t="shared" si="12"/>
        <v>0</v>
      </c>
    </row>
    <row r="182" spans="1:13" x14ac:dyDescent="0.25">
      <c r="A182" s="198"/>
      <c r="G182" s="169"/>
      <c r="H182" s="181">
        <v>177</v>
      </c>
      <c r="I182" s="182" t="str">
        <f t="shared" si="10"/>
        <v/>
      </c>
      <c r="J182" s="181" t="e">
        <f t="shared" si="13"/>
        <v>#NUM!</v>
      </c>
      <c r="K182" s="181" t="e">
        <f t="shared" si="11"/>
        <v>#NUM!</v>
      </c>
      <c r="L182" s="181"/>
      <c r="M182" s="183">
        <f t="shared" si="12"/>
        <v>0</v>
      </c>
    </row>
    <row r="183" spans="1:13" x14ac:dyDescent="0.25">
      <c r="A183" s="198"/>
      <c r="G183" s="169"/>
      <c r="H183" s="181">
        <v>178</v>
      </c>
      <c r="I183" s="182" t="str">
        <f t="shared" si="10"/>
        <v/>
      </c>
      <c r="J183" s="181" t="e">
        <f t="shared" si="13"/>
        <v>#NUM!</v>
      </c>
      <c r="K183" s="181" t="e">
        <f t="shared" si="11"/>
        <v>#NUM!</v>
      </c>
      <c r="L183" s="181"/>
      <c r="M183" s="183">
        <f t="shared" si="12"/>
        <v>0</v>
      </c>
    </row>
    <row r="184" spans="1:13" x14ac:dyDescent="0.25">
      <c r="A184" s="198"/>
      <c r="G184" s="169"/>
      <c r="H184" s="181">
        <v>179</v>
      </c>
      <c r="I184" s="182" t="str">
        <f t="shared" si="10"/>
        <v/>
      </c>
      <c r="J184" s="181" t="e">
        <f t="shared" si="13"/>
        <v>#NUM!</v>
      </c>
      <c r="K184" s="181" t="e">
        <f t="shared" si="11"/>
        <v>#NUM!</v>
      </c>
      <c r="L184" s="181"/>
      <c r="M184" s="183">
        <f t="shared" si="12"/>
        <v>0</v>
      </c>
    </row>
    <row r="185" spans="1:13" x14ac:dyDescent="0.25">
      <c r="A185" s="198"/>
      <c r="G185" s="169"/>
      <c r="H185" s="181">
        <v>180</v>
      </c>
      <c r="I185" s="182" t="str">
        <f t="shared" si="10"/>
        <v/>
      </c>
      <c r="J185" s="181" t="e">
        <f t="shared" si="13"/>
        <v>#NUM!</v>
      </c>
      <c r="K185" s="181" t="e">
        <f t="shared" si="11"/>
        <v>#NUM!</v>
      </c>
      <c r="L185" s="181"/>
      <c r="M185" s="183">
        <f t="shared" si="12"/>
        <v>0</v>
      </c>
    </row>
    <row r="186" spans="1:13" x14ac:dyDescent="0.25">
      <c r="A186" s="198"/>
      <c r="G186" s="169"/>
      <c r="H186" s="181">
        <v>181</v>
      </c>
      <c r="I186" s="182" t="str">
        <f t="shared" si="10"/>
        <v/>
      </c>
      <c r="J186" s="181" t="e">
        <f t="shared" si="13"/>
        <v>#NUM!</v>
      </c>
      <c r="K186" s="181" t="e">
        <f t="shared" si="11"/>
        <v>#NUM!</v>
      </c>
      <c r="L186" s="181"/>
      <c r="M186" s="183">
        <f t="shared" si="12"/>
        <v>0</v>
      </c>
    </row>
    <row r="187" spans="1:13" x14ac:dyDescent="0.25">
      <c r="A187" s="198"/>
      <c r="G187" s="169"/>
      <c r="H187" s="181">
        <v>182</v>
      </c>
      <c r="I187" s="182" t="str">
        <f t="shared" si="10"/>
        <v/>
      </c>
      <c r="J187" s="181" t="e">
        <f t="shared" si="13"/>
        <v>#NUM!</v>
      </c>
      <c r="K187" s="181" t="e">
        <f t="shared" si="11"/>
        <v>#NUM!</v>
      </c>
      <c r="L187" s="181"/>
      <c r="M187" s="183">
        <f t="shared" si="12"/>
        <v>0</v>
      </c>
    </row>
    <row r="188" spans="1:13" x14ac:dyDescent="0.25">
      <c r="A188" s="198"/>
      <c r="G188" s="169"/>
      <c r="H188" s="181">
        <v>183</v>
      </c>
      <c r="I188" s="182" t="str">
        <f t="shared" si="10"/>
        <v/>
      </c>
      <c r="J188" s="181" t="e">
        <f t="shared" si="13"/>
        <v>#NUM!</v>
      </c>
      <c r="K188" s="181" t="e">
        <f t="shared" si="11"/>
        <v>#NUM!</v>
      </c>
      <c r="L188" s="181"/>
      <c r="M188" s="183">
        <f t="shared" si="12"/>
        <v>0</v>
      </c>
    </row>
    <row r="189" spans="1:13" x14ac:dyDescent="0.25">
      <c r="A189" s="198"/>
      <c r="G189" s="169"/>
      <c r="H189" s="181">
        <v>184</v>
      </c>
      <c r="I189" s="182" t="str">
        <f t="shared" si="10"/>
        <v/>
      </c>
      <c r="J189" s="181" t="e">
        <f t="shared" si="13"/>
        <v>#NUM!</v>
      </c>
      <c r="K189" s="181" t="e">
        <f t="shared" si="11"/>
        <v>#NUM!</v>
      </c>
      <c r="L189" s="181"/>
      <c r="M189" s="183">
        <f t="shared" si="12"/>
        <v>0</v>
      </c>
    </row>
    <row r="190" spans="1:13" x14ac:dyDescent="0.25">
      <c r="A190" s="198"/>
      <c r="G190" s="169"/>
      <c r="H190" s="181">
        <v>185</v>
      </c>
      <c r="I190" s="182" t="str">
        <f t="shared" si="10"/>
        <v/>
      </c>
      <c r="J190" s="181" t="e">
        <f t="shared" si="13"/>
        <v>#NUM!</v>
      </c>
      <c r="K190" s="181" t="e">
        <f t="shared" si="11"/>
        <v>#NUM!</v>
      </c>
      <c r="L190" s="181"/>
      <c r="M190" s="183">
        <f t="shared" si="12"/>
        <v>0</v>
      </c>
    </row>
    <row r="191" spans="1:13" x14ac:dyDescent="0.25">
      <c r="A191" s="198"/>
      <c r="G191" s="169"/>
      <c r="H191" s="181">
        <v>186</v>
      </c>
      <c r="I191" s="182" t="str">
        <f t="shared" si="10"/>
        <v/>
      </c>
      <c r="J191" s="181" t="e">
        <f t="shared" si="13"/>
        <v>#NUM!</v>
      </c>
      <c r="K191" s="181" t="e">
        <f t="shared" si="11"/>
        <v>#NUM!</v>
      </c>
      <c r="L191" s="181"/>
      <c r="M191" s="183">
        <f t="shared" si="12"/>
        <v>0</v>
      </c>
    </row>
    <row r="192" spans="1:13" x14ac:dyDescent="0.25">
      <c r="A192" s="198"/>
      <c r="G192" s="169"/>
      <c r="H192" s="181">
        <v>187</v>
      </c>
      <c r="I192" s="182" t="str">
        <f t="shared" si="10"/>
        <v/>
      </c>
      <c r="J192" s="181" t="e">
        <f t="shared" si="13"/>
        <v>#NUM!</v>
      </c>
      <c r="K192" s="181" t="e">
        <f t="shared" si="11"/>
        <v>#NUM!</v>
      </c>
      <c r="L192" s="181"/>
      <c r="M192" s="183">
        <f t="shared" si="12"/>
        <v>0</v>
      </c>
    </row>
    <row r="193" spans="1:13" x14ac:dyDescent="0.25">
      <c r="A193" s="198"/>
      <c r="G193" s="169"/>
      <c r="H193" s="181">
        <v>188</v>
      </c>
      <c r="I193" s="182" t="str">
        <f t="shared" si="10"/>
        <v/>
      </c>
      <c r="J193" s="181" t="e">
        <f t="shared" si="13"/>
        <v>#NUM!</v>
      </c>
      <c r="K193" s="181" t="e">
        <f t="shared" si="11"/>
        <v>#NUM!</v>
      </c>
      <c r="L193" s="181"/>
      <c r="M193" s="183">
        <f t="shared" si="12"/>
        <v>0</v>
      </c>
    </row>
    <row r="194" spans="1:13" x14ac:dyDescent="0.25">
      <c r="A194" s="198"/>
      <c r="G194" s="169"/>
      <c r="H194" s="181">
        <v>189</v>
      </c>
      <c r="I194" s="182" t="str">
        <f t="shared" si="10"/>
        <v/>
      </c>
      <c r="J194" s="181" t="e">
        <f t="shared" si="13"/>
        <v>#NUM!</v>
      </c>
      <c r="K194" s="181" t="e">
        <f t="shared" si="11"/>
        <v>#NUM!</v>
      </c>
      <c r="L194" s="181"/>
      <c r="M194" s="183">
        <f t="shared" si="12"/>
        <v>0</v>
      </c>
    </row>
    <row r="195" spans="1:13" x14ac:dyDescent="0.25">
      <c r="A195" s="198"/>
      <c r="G195" s="169"/>
      <c r="H195" s="181">
        <v>190</v>
      </c>
      <c r="I195" s="182" t="str">
        <f t="shared" si="10"/>
        <v/>
      </c>
      <c r="J195" s="181" t="e">
        <f t="shared" si="13"/>
        <v>#NUM!</v>
      </c>
      <c r="K195" s="181" t="e">
        <f t="shared" si="11"/>
        <v>#NUM!</v>
      </c>
      <c r="L195" s="181"/>
      <c r="M195" s="183">
        <f t="shared" si="12"/>
        <v>0</v>
      </c>
    </row>
    <row r="196" spans="1:13" x14ac:dyDescent="0.25">
      <c r="A196" s="198"/>
      <c r="G196" s="169"/>
      <c r="H196" s="181">
        <v>191</v>
      </c>
      <c r="I196" s="182" t="str">
        <f t="shared" si="10"/>
        <v/>
      </c>
      <c r="J196" s="181" t="e">
        <f t="shared" si="13"/>
        <v>#NUM!</v>
      </c>
      <c r="K196" s="181" t="e">
        <f t="shared" si="11"/>
        <v>#NUM!</v>
      </c>
      <c r="L196" s="181"/>
      <c r="M196" s="183">
        <f t="shared" si="12"/>
        <v>0</v>
      </c>
    </row>
    <row r="197" spans="1:13" x14ac:dyDescent="0.25">
      <c r="A197" s="198"/>
      <c r="G197" s="169"/>
      <c r="H197" s="181">
        <v>192</v>
      </c>
      <c r="I197" s="182" t="str">
        <f t="shared" si="10"/>
        <v/>
      </c>
      <c r="J197" s="181" t="e">
        <f t="shared" si="13"/>
        <v>#NUM!</v>
      </c>
      <c r="K197" s="181" t="e">
        <f t="shared" si="11"/>
        <v>#NUM!</v>
      </c>
      <c r="L197" s="181"/>
      <c r="M197" s="183">
        <f t="shared" si="12"/>
        <v>0</v>
      </c>
    </row>
    <row r="198" spans="1:13" x14ac:dyDescent="0.25">
      <c r="A198" s="198"/>
      <c r="G198" s="169"/>
      <c r="H198" s="181">
        <v>193</v>
      </c>
      <c r="I198" s="182" t="str">
        <f t="shared" ref="I198:I261" si="14">IF(H198&lt;$H$2+1,($I$2-($I$2-1)*(LOG(H198)/LOG($H$2))),"")</f>
        <v/>
      </c>
      <c r="J198" s="181" t="e">
        <f t="shared" si="13"/>
        <v>#NUM!</v>
      </c>
      <c r="K198" s="181" t="e">
        <f t="shared" ref="K198:K261" si="15">J198*$J$2</f>
        <v>#NUM!</v>
      </c>
      <c r="L198" s="181"/>
      <c r="M198" s="183">
        <f t="shared" ref="M198:M261" si="16">IF(I198&lt;&gt;"",K198+I198+L198,0)</f>
        <v>0</v>
      </c>
    </row>
    <row r="199" spans="1:13" x14ac:dyDescent="0.25">
      <c r="A199" s="198"/>
      <c r="G199" s="169"/>
      <c r="H199" s="181">
        <v>194</v>
      </c>
      <c r="I199" s="182" t="str">
        <f t="shared" si="14"/>
        <v/>
      </c>
      <c r="J199" s="181" t="e">
        <f t="shared" ref="J199:J262" si="17">INT(LOG($H$2,2))-ROUNDUP(LOG(H199,2),0)+IF(OR($H$2=1,$H$2=2,$H$2=4,$H$2=8,$H$2=16,$H$2=32,$H$2=64,$H$2=128,$H$2=256),0,1)</f>
        <v>#NUM!</v>
      </c>
      <c r="K199" s="181" t="e">
        <f t="shared" si="15"/>
        <v>#NUM!</v>
      </c>
      <c r="L199" s="181"/>
      <c r="M199" s="183">
        <f t="shared" si="16"/>
        <v>0</v>
      </c>
    </row>
    <row r="200" spans="1:13" x14ac:dyDescent="0.25">
      <c r="A200" s="198"/>
      <c r="G200" s="169"/>
      <c r="H200" s="181">
        <v>195</v>
      </c>
      <c r="I200" s="182" t="str">
        <f t="shared" si="14"/>
        <v/>
      </c>
      <c r="J200" s="181" t="e">
        <f t="shared" si="17"/>
        <v>#NUM!</v>
      </c>
      <c r="K200" s="181" t="e">
        <f t="shared" si="15"/>
        <v>#NUM!</v>
      </c>
      <c r="L200" s="181"/>
      <c r="M200" s="183">
        <f t="shared" si="16"/>
        <v>0</v>
      </c>
    </row>
    <row r="201" spans="1:13" x14ac:dyDescent="0.25">
      <c r="A201" s="198"/>
      <c r="G201" s="169"/>
      <c r="H201" s="181">
        <v>196</v>
      </c>
      <c r="I201" s="182" t="str">
        <f t="shared" si="14"/>
        <v/>
      </c>
      <c r="J201" s="181" t="e">
        <f t="shared" si="17"/>
        <v>#NUM!</v>
      </c>
      <c r="K201" s="181" t="e">
        <f t="shared" si="15"/>
        <v>#NUM!</v>
      </c>
      <c r="L201" s="181"/>
      <c r="M201" s="183">
        <f t="shared" si="16"/>
        <v>0</v>
      </c>
    </row>
    <row r="202" spans="1:13" x14ac:dyDescent="0.25">
      <c r="A202" s="198"/>
      <c r="G202" s="169"/>
      <c r="H202" s="181">
        <v>197</v>
      </c>
      <c r="I202" s="182" t="str">
        <f t="shared" si="14"/>
        <v/>
      </c>
      <c r="J202" s="181" t="e">
        <f t="shared" si="17"/>
        <v>#NUM!</v>
      </c>
      <c r="K202" s="181" t="e">
        <f t="shared" si="15"/>
        <v>#NUM!</v>
      </c>
      <c r="L202" s="181"/>
      <c r="M202" s="183">
        <f t="shared" si="16"/>
        <v>0</v>
      </c>
    </row>
    <row r="203" spans="1:13" x14ac:dyDescent="0.25">
      <c r="A203" s="198"/>
      <c r="G203" s="169"/>
      <c r="H203" s="181">
        <v>198</v>
      </c>
      <c r="I203" s="182" t="str">
        <f t="shared" si="14"/>
        <v/>
      </c>
      <c r="J203" s="181" t="e">
        <f t="shared" si="17"/>
        <v>#NUM!</v>
      </c>
      <c r="K203" s="181" t="e">
        <f t="shared" si="15"/>
        <v>#NUM!</v>
      </c>
      <c r="L203" s="181"/>
      <c r="M203" s="183">
        <f t="shared" si="16"/>
        <v>0</v>
      </c>
    </row>
    <row r="204" spans="1:13" x14ac:dyDescent="0.25">
      <c r="A204" s="198"/>
      <c r="G204" s="169"/>
      <c r="H204" s="181">
        <v>199</v>
      </c>
      <c r="I204" s="182" t="str">
        <f t="shared" si="14"/>
        <v/>
      </c>
      <c r="J204" s="181" t="e">
        <f t="shared" si="17"/>
        <v>#NUM!</v>
      </c>
      <c r="K204" s="181" t="e">
        <f t="shared" si="15"/>
        <v>#NUM!</v>
      </c>
      <c r="L204" s="181"/>
      <c r="M204" s="183">
        <f t="shared" si="16"/>
        <v>0</v>
      </c>
    </row>
    <row r="205" spans="1:13" x14ac:dyDescent="0.25">
      <c r="A205" s="198"/>
      <c r="G205" s="169"/>
      <c r="H205" s="181">
        <v>200</v>
      </c>
      <c r="I205" s="182" t="str">
        <f t="shared" si="14"/>
        <v/>
      </c>
      <c r="J205" s="181" t="e">
        <f t="shared" si="17"/>
        <v>#NUM!</v>
      </c>
      <c r="K205" s="181" t="e">
        <f t="shared" si="15"/>
        <v>#NUM!</v>
      </c>
      <c r="L205" s="181"/>
      <c r="M205" s="183">
        <f t="shared" si="16"/>
        <v>0</v>
      </c>
    </row>
    <row r="206" spans="1:13" x14ac:dyDescent="0.25">
      <c r="A206" s="198"/>
      <c r="G206" s="169"/>
      <c r="H206" s="181">
        <v>201</v>
      </c>
      <c r="I206" s="182" t="str">
        <f t="shared" si="14"/>
        <v/>
      </c>
      <c r="J206" s="181" t="e">
        <f t="shared" si="17"/>
        <v>#NUM!</v>
      </c>
      <c r="K206" s="181" t="e">
        <f t="shared" si="15"/>
        <v>#NUM!</v>
      </c>
      <c r="L206" s="181"/>
      <c r="M206" s="183">
        <f t="shared" si="16"/>
        <v>0</v>
      </c>
    </row>
    <row r="207" spans="1:13" x14ac:dyDescent="0.25">
      <c r="A207" s="198"/>
      <c r="G207" s="169"/>
      <c r="H207" s="181">
        <v>202</v>
      </c>
      <c r="I207" s="182" t="str">
        <f t="shared" si="14"/>
        <v/>
      </c>
      <c r="J207" s="181" t="e">
        <f t="shared" si="17"/>
        <v>#NUM!</v>
      </c>
      <c r="K207" s="181" t="e">
        <f t="shared" si="15"/>
        <v>#NUM!</v>
      </c>
      <c r="L207" s="181"/>
      <c r="M207" s="183">
        <f t="shared" si="16"/>
        <v>0</v>
      </c>
    </row>
    <row r="208" spans="1:13" x14ac:dyDescent="0.25">
      <c r="A208" s="198"/>
      <c r="G208" s="169"/>
      <c r="H208" s="181">
        <v>203</v>
      </c>
      <c r="I208" s="182" t="str">
        <f t="shared" si="14"/>
        <v/>
      </c>
      <c r="J208" s="181" t="e">
        <f t="shared" si="17"/>
        <v>#NUM!</v>
      </c>
      <c r="K208" s="181" t="e">
        <f t="shared" si="15"/>
        <v>#NUM!</v>
      </c>
      <c r="L208" s="181"/>
      <c r="M208" s="183">
        <f t="shared" si="16"/>
        <v>0</v>
      </c>
    </row>
    <row r="209" spans="1:13" x14ac:dyDescent="0.25">
      <c r="A209" s="198"/>
      <c r="G209" s="169"/>
      <c r="H209" s="181">
        <v>204</v>
      </c>
      <c r="I209" s="182" t="str">
        <f t="shared" si="14"/>
        <v/>
      </c>
      <c r="J209" s="181" t="e">
        <f t="shared" si="17"/>
        <v>#NUM!</v>
      </c>
      <c r="K209" s="181" t="e">
        <f t="shared" si="15"/>
        <v>#NUM!</v>
      </c>
      <c r="L209" s="181"/>
      <c r="M209" s="183">
        <f t="shared" si="16"/>
        <v>0</v>
      </c>
    </row>
    <row r="210" spans="1:13" x14ac:dyDescent="0.25">
      <c r="A210" s="198"/>
      <c r="G210" s="169"/>
      <c r="H210" s="181">
        <v>205</v>
      </c>
      <c r="I210" s="182" t="str">
        <f t="shared" si="14"/>
        <v/>
      </c>
      <c r="J210" s="181" t="e">
        <f t="shared" si="17"/>
        <v>#NUM!</v>
      </c>
      <c r="K210" s="181" t="e">
        <f t="shared" si="15"/>
        <v>#NUM!</v>
      </c>
      <c r="L210" s="181"/>
      <c r="M210" s="183">
        <f t="shared" si="16"/>
        <v>0</v>
      </c>
    </row>
    <row r="211" spans="1:13" x14ac:dyDescent="0.25">
      <c r="A211" s="198"/>
      <c r="G211" s="169"/>
      <c r="H211" s="181">
        <v>206</v>
      </c>
      <c r="I211" s="182" t="str">
        <f t="shared" si="14"/>
        <v/>
      </c>
      <c r="J211" s="181" t="e">
        <f t="shared" si="17"/>
        <v>#NUM!</v>
      </c>
      <c r="K211" s="181" t="e">
        <f t="shared" si="15"/>
        <v>#NUM!</v>
      </c>
      <c r="L211" s="181"/>
      <c r="M211" s="183">
        <f t="shared" si="16"/>
        <v>0</v>
      </c>
    </row>
    <row r="212" spans="1:13" x14ac:dyDescent="0.25">
      <c r="A212" s="198"/>
      <c r="G212" s="169"/>
      <c r="H212" s="181">
        <v>207</v>
      </c>
      <c r="I212" s="182" t="str">
        <f t="shared" si="14"/>
        <v/>
      </c>
      <c r="J212" s="181" t="e">
        <f t="shared" si="17"/>
        <v>#NUM!</v>
      </c>
      <c r="K212" s="181" t="e">
        <f t="shared" si="15"/>
        <v>#NUM!</v>
      </c>
      <c r="L212" s="181"/>
      <c r="M212" s="183">
        <f t="shared" si="16"/>
        <v>0</v>
      </c>
    </row>
    <row r="213" spans="1:13" x14ac:dyDescent="0.25">
      <c r="A213" s="198"/>
      <c r="G213" s="169"/>
      <c r="H213" s="181">
        <v>208</v>
      </c>
      <c r="I213" s="182" t="str">
        <f t="shared" si="14"/>
        <v/>
      </c>
      <c r="J213" s="181" t="e">
        <f t="shared" si="17"/>
        <v>#NUM!</v>
      </c>
      <c r="K213" s="181" t="e">
        <f t="shared" si="15"/>
        <v>#NUM!</v>
      </c>
      <c r="L213" s="181"/>
      <c r="M213" s="183">
        <f t="shared" si="16"/>
        <v>0</v>
      </c>
    </row>
    <row r="214" spans="1:13" x14ac:dyDescent="0.25">
      <c r="A214" s="198"/>
      <c r="G214" s="169"/>
      <c r="H214" s="181">
        <v>209</v>
      </c>
      <c r="I214" s="182" t="str">
        <f t="shared" si="14"/>
        <v/>
      </c>
      <c r="J214" s="181" t="e">
        <f t="shared" si="17"/>
        <v>#NUM!</v>
      </c>
      <c r="K214" s="181" t="e">
        <f t="shared" si="15"/>
        <v>#NUM!</v>
      </c>
      <c r="L214" s="181"/>
      <c r="M214" s="183">
        <f t="shared" si="16"/>
        <v>0</v>
      </c>
    </row>
    <row r="215" spans="1:13" x14ac:dyDescent="0.25">
      <c r="A215" s="198"/>
      <c r="G215" s="169"/>
      <c r="H215" s="181">
        <v>210</v>
      </c>
      <c r="I215" s="182" t="str">
        <f t="shared" si="14"/>
        <v/>
      </c>
      <c r="J215" s="181" t="e">
        <f t="shared" si="17"/>
        <v>#NUM!</v>
      </c>
      <c r="K215" s="181" t="e">
        <f t="shared" si="15"/>
        <v>#NUM!</v>
      </c>
      <c r="L215" s="181"/>
      <c r="M215" s="183">
        <f t="shared" si="16"/>
        <v>0</v>
      </c>
    </row>
    <row r="216" spans="1:13" x14ac:dyDescent="0.25">
      <c r="A216" s="198"/>
      <c r="G216" s="169"/>
      <c r="H216" s="181">
        <v>211</v>
      </c>
      <c r="I216" s="182" t="str">
        <f t="shared" si="14"/>
        <v/>
      </c>
      <c r="J216" s="181" t="e">
        <f t="shared" si="17"/>
        <v>#NUM!</v>
      </c>
      <c r="K216" s="181" t="e">
        <f t="shared" si="15"/>
        <v>#NUM!</v>
      </c>
      <c r="L216" s="181"/>
      <c r="M216" s="183">
        <f t="shared" si="16"/>
        <v>0</v>
      </c>
    </row>
    <row r="217" spans="1:13" x14ac:dyDescent="0.25">
      <c r="A217" s="198"/>
      <c r="G217" s="169"/>
      <c r="H217" s="181">
        <v>212</v>
      </c>
      <c r="I217" s="182" t="str">
        <f t="shared" si="14"/>
        <v/>
      </c>
      <c r="J217" s="181" t="e">
        <f t="shared" si="17"/>
        <v>#NUM!</v>
      </c>
      <c r="K217" s="181" t="e">
        <f t="shared" si="15"/>
        <v>#NUM!</v>
      </c>
      <c r="L217" s="181"/>
      <c r="M217" s="183">
        <f t="shared" si="16"/>
        <v>0</v>
      </c>
    </row>
    <row r="218" spans="1:13" x14ac:dyDescent="0.25">
      <c r="A218" s="198"/>
      <c r="G218" s="169"/>
      <c r="H218" s="181">
        <v>213</v>
      </c>
      <c r="I218" s="182" t="str">
        <f t="shared" si="14"/>
        <v/>
      </c>
      <c r="J218" s="181" t="e">
        <f t="shared" si="17"/>
        <v>#NUM!</v>
      </c>
      <c r="K218" s="181" t="e">
        <f t="shared" si="15"/>
        <v>#NUM!</v>
      </c>
      <c r="L218" s="181"/>
      <c r="M218" s="183">
        <f t="shared" si="16"/>
        <v>0</v>
      </c>
    </row>
    <row r="219" spans="1:13" x14ac:dyDescent="0.25">
      <c r="A219" s="198"/>
      <c r="G219" s="169"/>
      <c r="H219" s="181">
        <v>214</v>
      </c>
      <c r="I219" s="182" t="str">
        <f t="shared" si="14"/>
        <v/>
      </c>
      <c r="J219" s="181" t="e">
        <f t="shared" si="17"/>
        <v>#NUM!</v>
      </c>
      <c r="K219" s="181" t="e">
        <f t="shared" si="15"/>
        <v>#NUM!</v>
      </c>
      <c r="L219" s="181"/>
      <c r="M219" s="183">
        <f t="shared" si="16"/>
        <v>0</v>
      </c>
    </row>
    <row r="220" spans="1:13" x14ac:dyDescent="0.25">
      <c r="A220" s="198"/>
      <c r="G220" s="169"/>
      <c r="H220" s="181">
        <v>215</v>
      </c>
      <c r="I220" s="182" t="str">
        <f t="shared" si="14"/>
        <v/>
      </c>
      <c r="J220" s="181" t="e">
        <f t="shared" si="17"/>
        <v>#NUM!</v>
      </c>
      <c r="K220" s="181" t="e">
        <f t="shared" si="15"/>
        <v>#NUM!</v>
      </c>
      <c r="L220" s="181"/>
      <c r="M220" s="183">
        <f t="shared" si="16"/>
        <v>0</v>
      </c>
    </row>
    <row r="221" spans="1:13" x14ac:dyDescent="0.25">
      <c r="A221" s="198"/>
      <c r="G221" s="169"/>
      <c r="H221" s="181">
        <v>216</v>
      </c>
      <c r="I221" s="182" t="str">
        <f t="shared" si="14"/>
        <v/>
      </c>
      <c r="J221" s="181" t="e">
        <f t="shared" si="17"/>
        <v>#NUM!</v>
      </c>
      <c r="K221" s="181" t="e">
        <f t="shared" si="15"/>
        <v>#NUM!</v>
      </c>
      <c r="L221" s="181"/>
      <c r="M221" s="183">
        <f t="shared" si="16"/>
        <v>0</v>
      </c>
    </row>
    <row r="222" spans="1:13" x14ac:dyDescent="0.25">
      <c r="A222" s="198"/>
      <c r="G222" s="169"/>
      <c r="H222" s="181">
        <v>217</v>
      </c>
      <c r="I222" s="182" t="str">
        <f t="shared" si="14"/>
        <v/>
      </c>
      <c r="J222" s="181" t="e">
        <f t="shared" si="17"/>
        <v>#NUM!</v>
      </c>
      <c r="K222" s="181" t="e">
        <f t="shared" si="15"/>
        <v>#NUM!</v>
      </c>
      <c r="L222" s="181"/>
      <c r="M222" s="183">
        <f t="shared" si="16"/>
        <v>0</v>
      </c>
    </row>
    <row r="223" spans="1:13" x14ac:dyDescent="0.25">
      <c r="A223" s="198"/>
      <c r="G223" s="169"/>
      <c r="H223" s="181">
        <v>218</v>
      </c>
      <c r="I223" s="182" t="str">
        <f t="shared" si="14"/>
        <v/>
      </c>
      <c r="J223" s="181" t="e">
        <f t="shared" si="17"/>
        <v>#NUM!</v>
      </c>
      <c r="K223" s="181" t="e">
        <f t="shared" si="15"/>
        <v>#NUM!</v>
      </c>
      <c r="L223" s="181"/>
      <c r="M223" s="183">
        <f t="shared" si="16"/>
        <v>0</v>
      </c>
    </row>
    <row r="224" spans="1:13" x14ac:dyDescent="0.25">
      <c r="A224" s="198"/>
      <c r="G224" s="169"/>
      <c r="H224" s="181">
        <v>219</v>
      </c>
      <c r="I224" s="182" t="str">
        <f t="shared" si="14"/>
        <v/>
      </c>
      <c r="J224" s="181" t="e">
        <f t="shared" si="17"/>
        <v>#NUM!</v>
      </c>
      <c r="K224" s="181" t="e">
        <f t="shared" si="15"/>
        <v>#NUM!</v>
      </c>
      <c r="L224" s="181"/>
      <c r="M224" s="183">
        <f t="shared" si="16"/>
        <v>0</v>
      </c>
    </row>
    <row r="225" spans="1:13" x14ac:dyDescent="0.25">
      <c r="A225" s="198"/>
      <c r="G225" s="169"/>
      <c r="H225" s="181">
        <v>220</v>
      </c>
      <c r="I225" s="182" t="str">
        <f t="shared" si="14"/>
        <v/>
      </c>
      <c r="J225" s="181" t="e">
        <f t="shared" si="17"/>
        <v>#NUM!</v>
      </c>
      <c r="K225" s="181" t="e">
        <f t="shared" si="15"/>
        <v>#NUM!</v>
      </c>
      <c r="L225" s="181"/>
      <c r="M225" s="183">
        <f t="shared" si="16"/>
        <v>0</v>
      </c>
    </row>
    <row r="226" spans="1:13" x14ac:dyDescent="0.25">
      <c r="A226" s="198"/>
      <c r="G226" s="169"/>
      <c r="H226" s="181">
        <v>221</v>
      </c>
      <c r="I226" s="182" t="str">
        <f t="shared" si="14"/>
        <v/>
      </c>
      <c r="J226" s="181" t="e">
        <f t="shared" si="17"/>
        <v>#NUM!</v>
      </c>
      <c r="K226" s="181" t="e">
        <f t="shared" si="15"/>
        <v>#NUM!</v>
      </c>
      <c r="L226" s="181"/>
      <c r="M226" s="183">
        <f t="shared" si="16"/>
        <v>0</v>
      </c>
    </row>
    <row r="227" spans="1:13" x14ac:dyDescent="0.25">
      <c r="A227" s="198"/>
      <c r="G227" s="169"/>
      <c r="H227" s="181">
        <v>222</v>
      </c>
      <c r="I227" s="182" t="str">
        <f t="shared" si="14"/>
        <v/>
      </c>
      <c r="J227" s="181" t="e">
        <f t="shared" si="17"/>
        <v>#NUM!</v>
      </c>
      <c r="K227" s="181" t="e">
        <f t="shared" si="15"/>
        <v>#NUM!</v>
      </c>
      <c r="L227" s="181"/>
      <c r="M227" s="183">
        <f t="shared" si="16"/>
        <v>0</v>
      </c>
    </row>
    <row r="228" spans="1:13" x14ac:dyDescent="0.25">
      <c r="A228" s="198"/>
      <c r="G228" s="169"/>
      <c r="H228" s="181">
        <v>223</v>
      </c>
      <c r="I228" s="182" t="str">
        <f t="shared" si="14"/>
        <v/>
      </c>
      <c r="J228" s="181" t="e">
        <f t="shared" si="17"/>
        <v>#NUM!</v>
      </c>
      <c r="K228" s="181" t="e">
        <f t="shared" si="15"/>
        <v>#NUM!</v>
      </c>
      <c r="L228" s="181"/>
      <c r="M228" s="183">
        <f t="shared" si="16"/>
        <v>0</v>
      </c>
    </row>
    <row r="229" spans="1:13" x14ac:dyDescent="0.25">
      <c r="A229" s="198"/>
      <c r="G229" s="169"/>
      <c r="H229" s="181">
        <v>224</v>
      </c>
      <c r="I229" s="182" t="str">
        <f t="shared" si="14"/>
        <v/>
      </c>
      <c r="J229" s="181" t="e">
        <f t="shared" si="17"/>
        <v>#NUM!</v>
      </c>
      <c r="K229" s="181" t="e">
        <f t="shared" si="15"/>
        <v>#NUM!</v>
      </c>
      <c r="L229" s="181"/>
      <c r="M229" s="183">
        <f t="shared" si="16"/>
        <v>0</v>
      </c>
    </row>
    <row r="230" spans="1:13" x14ac:dyDescent="0.25">
      <c r="A230" s="198"/>
      <c r="G230" s="169"/>
      <c r="H230" s="181">
        <v>225</v>
      </c>
      <c r="I230" s="182" t="str">
        <f t="shared" si="14"/>
        <v/>
      </c>
      <c r="J230" s="181" t="e">
        <f t="shared" si="17"/>
        <v>#NUM!</v>
      </c>
      <c r="K230" s="181" t="e">
        <f t="shared" si="15"/>
        <v>#NUM!</v>
      </c>
      <c r="L230" s="181"/>
      <c r="M230" s="183">
        <f t="shared" si="16"/>
        <v>0</v>
      </c>
    </row>
    <row r="231" spans="1:13" x14ac:dyDescent="0.25">
      <c r="A231" s="198"/>
      <c r="G231" s="169"/>
      <c r="H231" s="181">
        <v>226</v>
      </c>
      <c r="I231" s="182" t="str">
        <f t="shared" si="14"/>
        <v/>
      </c>
      <c r="J231" s="181" t="e">
        <f t="shared" si="17"/>
        <v>#NUM!</v>
      </c>
      <c r="K231" s="181" t="e">
        <f t="shared" si="15"/>
        <v>#NUM!</v>
      </c>
      <c r="L231" s="181"/>
      <c r="M231" s="183">
        <f t="shared" si="16"/>
        <v>0</v>
      </c>
    </row>
    <row r="232" spans="1:13" x14ac:dyDescent="0.25">
      <c r="A232" s="198"/>
      <c r="G232" s="169"/>
      <c r="H232" s="181">
        <v>227</v>
      </c>
      <c r="I232" s="182" t="str">
        <f t="shared" si="14"/>
        <v/>
      </c>
      <c r="J232" s="181" t="e">
        <f t="shared" si="17"/>
        <v>#NUM!</v>
      </c>
      <c r="K232" s="181" t="e">
        <f t="shared" si="15"/>
        <v>#NUM!</v>
      </c>
      <c r="L232" s="181"/>
      <c r="M232" s="183">
        <f t="shared" si="16"/>
        <v>0</v>
      </c>
    </row>
    <row r="233" spans="1:13" x14ac:dyDescent="0.25">
      <c r="A233" s="198"/>
      <c r="G233" s="169"/>
      <c r="H233" s="181">
        <v>228</v>
      </c>
      <c r="I233" s="182" t="str">
        <f t="shared" si="14"/>
        <v/>
      </c>
      <c r="J233" s="181" t="e">
        <f t="shared" si="17"/>
        <v>#NUM!</v>
      </c>
      <c r="K233" s="181" t="e">
        <f t="shared" si="15"/>
        <v>#NUM!</v>
      </c>
      <c r="L233" s="181"/>
      <c r="M233" s="183">
        <f t="shared" si="16"/>
        <v>0</v>
      </c>
    </row>
    <row r="234" spans="1:13" x14ac:dyDescent="0.25">
      <c r="A234" s="198"/>
      <c r="G234" s="169"/>
      <c r="H234" s="181">
        <v>229</v>
      </c>
      <c r="I234" s="182" t="str">
        <f t="shared" si="14"/>
        <v/>
      </c>
      <c r="J234" s="181" t="e">
        <f t="shared" si="17"/>
        <v>#NUM!</v>
      </c>
      <c r="K234" s="181" t="e">
        <f t="shared" si="15"/>
        <v>#NUM!</v>
      </c>
      <c r="L234" s="181"/>
      <c r="M234" s="183">
        <f t="shared" si="16"/>
        <v>0</v>
      </c>
    </row>
    <row r="235" spans="1:13" x14ac:dyDescent="0.25">
      <c r="A235" s="198"/>
      <c r="G235" s="169"/>
      <c r="H235" s="181">
        <v>230</v>
      </c>
      <c r="I235" s="182" t="str">
        <f t="shared" si="14"/>
        <v/>
      </c>
      <c r="J235" s="181" t="e">
        <f t="shared" si="17"/>
        <v>#NUM!</v>
      </c>
      <c r="K235" s="181" t="e">
        <f t="shared" si="15"/>
        <v>#NUM!</v>
      </c>
      <c r="L235" s="181"/>
      <c r="M235" s="183">
        <f t="shared" si="16"/>
        <v>0</v>
      </c>
    </row>
    <row r="236" spans="1:13" x14ac:dyDescent="0.25">
      <c r="A236" s="198"/>
      <c r="G236" s="169"/>
      <c r="H236" s="181">
        <v>231</v>
      </c>
      <c r="I236" s="182" t="str">
        <f t="shared" si="14"/>
        <v/>
      </c>
      <c r="J236" s="181" t="e">
        <f t="shared" si="17"/>
        <v>#NUM!</v>
      </c>
      <c r="K236" s="181" t="e">
        <f t="shared" si="15"/>
        <v>#NUM!</v>
      </c>
      <c r="L236" s="181"/>
      <c r="M236" s="183">
        <f t="shared" si="16"/>
        <v>0</v>
      </c>
    </row>
    <row r="237" spans="1:13" x14ac:dyDescent="0.25">
      <c r="A237" s="198"/>
      <c r="G237" s="169"/>
      <c r="H237" s="181">
        <v>232</v>
      </c>
      <c r="I237" s="182" t="str">
        <f t="shared" si="14"/>
        <v/>
      </c>
      <c r="J237" s="181" t="e">
        <f t="shared" si="17"/>
        <v>#NUM!</v>
      </c>
      <c r="K237" s="181" t="e">
        <f t="shared" si="15"/>
        <v>#NUM!</v>
      </c>
      <c r="L237" s="181"/>
      <c r="M237" s="183">
        <f t="shared" si="16"/>
        <v>0</v>
      </c>
    </row>
    <row r="238" spans="1:13" x14ac:dyDescent="0.25">
      <c r="A238" s="198"/>
      <c r="G238" s="169"/>
      <c r="H238" s="181">
        <v>233</v>
      </c>
      <c r="I238" s="182" t="str">
        <f t="shared" si="14"/>
        <v/>
      </c>
      <c r="J238" s="181" t="e">
        <f t="shared" si="17"/>
        <v>#NUM!</v>
      </c>
      <c r="K238" s="181" t="e">
        <f t="shared" si="15"/>
        <v>#NUM!</v>
      </c>
      <c r="L238" s="181"/>
      <c r="M238" s="183">
        <f t="shared" si="16"/>
        <v>0</v>
      </c>
    </row>
    <row r="239" spans="1:13" x14ac:dyDescent="0.25">
      <c r="A239" s="198"/>
      <c r="G239" s="169"/>
      <c r="H239" s="181">
        <v>234</v>
      </c>
      <c r="I239" s="182" t="str">
        <f t="shared" si="14"/>
        <v/>
      </c>
      <c r="J239" s="181" t="e">
        <f t="shared" si="17"/>
        <v>#NUM!</v>
      </c>
      <c r="K239" s="181" t="e">
        <f t="shared" si="15"/>
        <v>#NUM!</v>
      </c>
      <c r="L239" s="181"/>
      <c r="M239" s="183">
        <f t="shared" si="16"/>
        <v>0</v>
      </c>
    </row>
    <row r="240" spans="1:13" x14ac:dyDescent="0.25">
      <c r="A240" s="198"/>
      <c r="G240" s="169"/>
      <c r="H240" s="181">
        <v>235</v>
      </c>
      <c r="I240" s="182" t="str">
        <f t="shared" si="14"/>
        <v/>
      </c>
      <c r="J240" s="181" t="e">
        <f t="shared" si="17"/>
        <v>#NUM!</v>
      </c>
      <c r="K240" s="181" t="e">
        <f t="shared" si="15"/>
        <v>#NUM!</v>
      </c>
      <c r="L240" s="181"/>
      <c r="M240" s="183">
        <f t="shared" si="16"/>
        <v>0</v>
      </c>
    </row>
    <row r="241" spans="1:13" x14ac:dyDescent="0.25">
      <c r="A241" s="198"/>
      <c r="G241" s="169"/>
      <c r="H241" s="181">
        <v>236</v>
      </c>
      <c r="I241" s="182" t="str">
        <f t="shared" si="14"/>
        <v/>
      </c>
      <c r="J241" s="181" t="e">
        <f t="shared" si="17"/>
        <v>#NUM!</v>
      </c>
      <c r="K241" s="181" t="e">
        <f t="shared" si="15"/>
        <v>#NUM!</v>
      </c>
      <c r="L241" s="181"/>
      <c r="M241" s="183">
        <f t="shared" si="16"/>
        <v>0</v>
      </c>
    </row>
    <row r="242" spans="1:13" x14ac:dyDescent="0.25">
      <c r="A242" s="198"/>
      <c r="G242" s="169"/>
      <c r="H242" s="181">
        <v>237</v>
      </c>
      <c r="I242" s="182" t="str">
        <f t="shared" si="14"/>
        <v/>
      </c>
      <c r="J242" s="181" t="e">
        <f t="shared" si="17"/>
        <v>#NUM!</v>
      </c>
      <c r="K242" s="181" t="e">
        <f t="shared" si="15"/>
        <v>#NUM!</v>
      </c>
      <c r="L242" s="181"/>
      <c r="M242" s="183">
        <f t="shared" si="16"/>
        <v>0</v>
      </c>
    </row>
    <row r="243" spans="1:13" x14ac:dyDescent="0.25">
      <c r="A243" s="198"/>
      <c r="G243" s="169"/>
      <c r="H243" s="181">
        <v>238</v>
      </c>
      <c r="I243" s="182" t="str">
        <f t="shared" si="14"/>
        <v/>
      </c>
      <c r="J243" s="181" t="e">
        <f t="shared" si="17"/>
        <v>#NUM!</v>
      </c>
      <c r="K243" s="181" t="e">
        <f t="shared" si="15"/>
        <v>#NUM!</v>
      </c>
      <c r="L243" s="181"/>
      <c r="M243" s="183">
        <f t="shared" si="16"/>
        <v>0</v>
      </c>
    </row>
    <row r="244" spans="1:13" x14ac:dyDescent="0.25">
      <c r="A244" s="198"/>
      <c r="G244" s="169"/>
      <c r="H244" s="181">
        <v>239</v>
      </c>
      <c r="I244" s="182" t="str">
        <f t="shared" si="14"/>
        <v/>
      </c>
      <c r="J244" s="181" t="e">
        <f t="shared" si="17"/>
        <v>#NUM!</v>
      </c>
      <c r="K244" s="181" t="e">
        <f t="shared" si="15"/>
        <v>#NUM!</v>
      </c>
      <c r="L244" s="181"/>
      <c r="M244" s="183">
        <f t="shared" si="16"/>
        <v>0</v>
      </c>
    </row>
    <row r="245" spans="1:13" x14ac:dyDescent="0.25">
      <c r="A245" s="198"/>
      <c r="G245" s="169"/>
      <c r="H245" s="181">
        <v>240</v>
      </c>
      <c r="I245" s="182" t="str">
        <f t="shared" si="14"/>
        <v/>
      </c>
      <c r="J245" s="181" t="e">
        <f t="shared" si="17"/>
        <v>#NUM!</v>
      </c>
      <c r="K245" s="181" t="e">
        <f t="shared" si="15"/>
        <v>#NUM!</v>
      </c>
      <c r="L245" s="181"/>
      <c r="M245" s="183">
        <f t="shared" si="16"/>
        <v>0</v>
      </c>
    </row>
    <row r="246" spans="1:13" x14ac:dyDescent="0.25">
      <c r="A246" s="198"/>
      <c r="G246" s="169"/>
      <c r="H246" s="181">
        <v>241</v>
      </c>
      <c r="I246" s="182" t="str">
        <f t="shared" si="14"/>
        <v/>
      </c>
      <c r="J246" s="181" t="e">
        <f t="shared" si="17"/>
        <v>#NUM!</v>
      </c>
      <c r="K246" s="181" t="e">
        <f t="shared" si="15"/>
        <v>#NUM!</v>
      </c>
      <c r="L246" s="181"/>
      <c r="M246" s="183">
        <f t="shared" si="16"/>
        <v>0</v>
      </c>
    </row>
    <row r="247" spans="1:13" x14ac:dyDescent="0.25">
      <c r="A247" s="198"/>
      <c r="G247" s="169"/>
      <c r="H247" s="181">
        <v>242</v>
      </c>
      <c r="I247" s="182" t="str">
        <f t="shared" si="14"/>
        <v/>
      </c>
      <c r="J247" s="181" t="e">
        <f t="shared" si="17"/>
        <v>#NUM!</v>
      </c>
      <c r="K247" s="181" t="e">
        <f t="shared" si="15"/>
        <v>#NUM!</v>
      </c>
      <c r="L247" s="181"/>
      <c r="M247" s="183">
        <f t="shared" si="16"/>
        <v>0</v>
      </c>
    </row>
    <row r="248" spans="1:13" x14ac:dyDescent="0.25">
      <c r="A248" s="198"/>
      <c r="G248" s="169"/>
      <c r="H248" s="181">
        <v>243</v>
      </c>
      <c r="I248" s="182" t="str">
        <f t="shared" si="14"/>
        <v/>
      </c>
      <c r="J248" s="181" t="e">
        <f t="shared" si="17"/>
        <v>#NUM!</v>
      </c>
      <c r="K248" s="181" t="e">
        <f t="shared" si="15"/>
        <v>#NUM!</v>
      </c>
      <c r="L248" s="181"/>
      <c r="M248" s="183">
        <f t="shared" si="16"/>
        <v>0</v>
      </c>
    </row>
    <row r="249" spans="1:13" x14ac:dyDescent="0.25">
      <c r="A249" s="198"/>
      <c r="G249" s="169"/>
      <c r="H249" s="181">
        <v>244</v>
      </c>
      <c r="I249" s="182" t="str">
        <f t="shared" si="14"/>
        <v/>
      </c>
      <c r="J249" s="181" t="e">
        <f t="shared" si="17"/>
        <v>#NUM!</v>
      </c>
      <c r="K249" s="181" t="e">
        <f t="shared" si="15"/>
        <v>#NUM!</v>
      </c>
      <c r="L249" s="181"/>
      <c r="M249" s="183">
        <f t="shared" si="16"/>
        <v>0</v>
      </c>
    </row>
    <row r="250" spans="1:13" x14ac:dyDescent="0.25">
      <c r="A250" s="198"/>
      <c r="G250" s="169"/>
      <c r="H250" s="181">
        <v>245</v>
      </c>
      <c r="I250" s="182" t="str">
        <f t="shared" si="14"/>
        <v/>
      </c>
      <c r="J250" s="181" t="e">
        <f t="shared" si="17"/>
        <v>#NUM!</v>
      </c>
      <c r="K250" s="181" t="e">
        <f t="shared" si="15"/>
        <v>#NUM!</v>
      </c>
      <c r="L250" s="181"/>
      <c r="M250" s="183">
        <f t="shared" si="16"/>
        <v>0</v>
      </c>
    </row>
    <row r="251" spans="1:13" x14ac:dyDescent="0.25">
      <c r="A251" s="198"/>
      <c r="G251" s="169"/>
      <c r="H251" s="181">
        <v>246</v>
      </c>
      <c r="I251" s="182" t="str">
        <f t="shared" si="14"/>
        <v/>
      </c>
      <c r="J251" s="181" t="e">
        <f t="shared" si="17"/>
        <v>#NUM!</v>
      </c>
      <c r="K251" s="181" t="e">
        <f t="shared" si="15"/>
        <v>#NUM!</v>
      </c>
      <c r="L251" s="181"/>
      <c r="M251" s="183">
        <f t="shared" si="16"/>
        <v>0</v>
      </c>
    </row>
    <row r="252" spans="1:13" x14ac:dyDescent="0.25">
      <c r="A252" s="198"/>
      <c r="G252" s="169"/>
      <c r="H252" s="181">
        <v>247</v>
      </c>
      <c r="I252" s="182" t="str">
        <f t="shared" si="14"/>
        <v/>
      </c>
      <c r="J252" s="181" t="e">
        <f t="shared" si="17"/>
        <v>#NUM!</v>
      </c>
      <c r="K252" s="181" t="e">
        <f t="shared" si="15"/>
        <v>#NUM!</v>
      </c>
      <c r="L252" s="181"/>
      <c r="M252" s="183">
        <f t="shared" si="16"/>
        <v>0</v>
      </c>
    </row>
    <row r="253" spans="1:13" x14ac:dyDescent="0.25">
      <c r="A253" s="198"/>
      <c r="G253" s="169"/>
      <c r="H253" s="181">
        <v>248</v>
      </c>
      <c r="I253" s="182" t="str">
        <f t="shared" si="14"/>
        <v/>
      </c>
      <c r="J253" s="181" t="e">
        <f t="shared" si="17"/>
        <v>#NUM!</v>
      </c>
      <c r="K253" s="181" t="e">
        <f t="shared" si="15"/>
        <v>#NUM!</v>
      </c>
      <c r="L253" s="181"/>
      <c r="M253" s="183">
        <f t="shared" si="16"/>
        <v>0</v>
      </c>
    </row>
    <row r="254" spans="1:13" x14ac:dyDescent="0.25">
      <c r="A254" s="198"/>
      <c r="G254" s="169"/>
      <c r="H254" s="181">
        <v>249</v>
      </c>
      <c r="I254" s="182" t="str">
        <f t="shared" si="14"/>
        <v/>
      </c>
      <c r="J254" s="181" t="e">
        <f t="shared" si="17"/>
        <v>#NUM!</v>
      </c>
      <c r="K254" s="181" t="e">
        <f t="shared" si="15"/>
        <v>#NUM!</v>
      </c>
      <c r="L254" s="181"/>
      <c r="M254" s="183">
        <f t="shared" si="16"/>
        <v>0</v>
      </c>
    </row>
    <row r="255" spans="1:13" x14ac:dyDescent="0.25">
      <c r="A255" s="198"/>
      <c r="G255" s="169"/>
      <c r="H255" s="181">
        <v>250</v>
      </c>
      <c r="I255" s="182" t="str">
        <f t="shared" si="14"/>
        <v/>
      </c>
      <c r="J255" s="181" t="e">
        <f t="shared" si="17"/>
        <v>#NUM!</v>
      </c>
      <c r="K255" s="181" t="e">
        <f t="shared" si="15"/>
        <v>#NUM!</v>
      </c>
      <c r="L255" s="181"/>
      <c r="M255" s="183">
        <f t="shared" si="16"/>
        <v>0</v>
      </c>
    </row>
    <row r="256" spans="1:13" x14ac:dyDescent="0.25">
      <c r="A256" s="198"/>
      <c r="G256" s="169"/>
      <c r="H256" s="181">
        <v>251</v>
      </c>
      <c r="I256" s="182" t="str">
        <f t="shared" si="14"/>
        <v/>
      </c>
      <c r="J256" s="181" t="e">
        <f t="shared" si="17"/>
        <v>#NUM!</v>
      </c>
      <c r="K256" s="181" t="e">
        <f t="shared" si="15"/>
        <v>#NUM!</v>
      </c>
      <c r="L256" s="181"/>
      <c r="M256" s="183">
        <f t="shared" si="16"/>
        <v>0</v>
      </c>
    </row>
    <row r="257" spans="1:13" x14ac:dyDescent="0.25">
      <c r="A257" s="198"/>
      <c r="G257" s="169"/>
      <c r="H257" s="181">
        <v>252</v>
      </c>
      <c r="I257" s="182" t="str">
        <f t="shared" si="14"/>
        <v/>
      </c>
      <c r="J257" s="181" t="e">
        <f t="shared" si="17"/>
        <v>#NUM!</v>
      </c>
      <c r="K257" s="181" t="e">
        <f t="shared" si="15"/>
        <v>#NUM!</v>
      </c>
      <c r="L257" s="181"/>
      <c r="M257" s="183">
        <f t="shared" si="16"/>
        <v>0</v>
      </c>
    </row>
    <row r="258" spans="1:13" x14ac:dyDescent="0.25">
      <c r="A258" s="198"/>
      <c r="G258" s="169"/>
      <c r="H258" s="181">
        <v>253</v>
      </c>
      <c r="I258" s="182" t="str">
        <f t="shared" si="14"/>
        <v/>
      </c>
      <c r="J258" s="181" t="e">
        <f t="shared" si="17"/>
        <v>#NUM!</v>
      </c>
      <c r="K258" s="181" t="e">
        <f t="shared" si="15"/>
        <v>#NUM!</v>
      </c>
      <c r="L258" s="181"/>
      <c r="M258" s="183">
        <f t="shared" si="16"/>
        <v>0</v>
      </c>
    </row>
    <row r="259" spans="1:13" x14ac:dyDescent="0.25">
      <c r="A259" s="198"/>
      <c r="G259" s="169"/>
      <c r="H259" s="181">
        <v>254</v>
      </c>
      <c r="I259" s="182" t="str">
        <f t="shared" si="14"/>
        <v/>
      </c>
      <c r="J259" s="181" t="e">
        <f t="shared" si="17"/>
        <v>#NUM!</v>
      </c>
      <c r="K259" s="181" t="e">
        <f t="shared" si="15"/>
        <v>#NUM!</v>
      </c>
      <c r="L259" s="181"/>
      <c r="M259" s="183">
        <f t="shared" si="16"/>
        <v>0</v>
      </c>
    </row>
    <row r="260" spans="1:13" x14ac:dyDescent="0.25">
      <c r="A260" s="198"/>
      <c r="G260" s="169"/>
      <c r="H260" s="181">
        <v>255</v>
      </c>
      <c r="I260" s="182" t="str">
        <f t="shared" si="14"/>
        <v/>
      </c>
      <c r="J260" s="181" t="e">
        <f t="shared" si="17"/>
        <v>#NUM!</v>
      </c>
      <c r="K260" s="181" t="e">
        <f t="shared" si="15"/>
        <v>#NUM!</v>
      </c>
      <c r="L260" s="181"/>
      <c r="M260" s="183">
        <f t="shared" si="16"/>
        <v>0</v>
      </c>
    </row>
    <row r="261" spans="1:13" x14ac:dyDescent="0.25">
      <c r="A261" s="198"/>
      <c r="G261" s="169"/>
      <c r="H261" s="181">
        <v>256</v>
      </c>
      <c r="I261" s="182" t="str">
        <f t="shared" si="14"/>
        <v/>
      </c>
      <c r="J261" s="181" t="e">
        <f t="shared" si="17"/>
        <v>#NUM!</v>
      </c>
      <c r="K261" s="181" t="e">
        <f t="shared" si="15"/>
        <v>#NUM!</v>
      </c>
      <c r="L261" s="181"/>
      <c r="M261" s="183">
        <f t="shared" si="16"/>
        <v>0</v>
      </c>
    </row>
    <row r="262" spans="1:13" x14ac:dyDescent="0.25">
      <c r="A262" s="198"/>
      <c r="G262" s="169"/>
      <c r="H262" s="181">
        <v>257</v>
      </c>
      <c r="I262" s="182" t="str">
        <f t="shared" ref="I262:I305" si="18">IF(H262&lt;$H$2+1,($I$2-($I$2-1)*(LOG(H262)/LOG($H$2))),"")</f>
        <v/>
      </c>
      <c r="J262" s="181" t="e">
        <f t="shared" si="17"/>
        <v>#NUM!</v>
      </c>
      <c r="K262" s="181" t="e">
        <f t="shared" ref="K262:K305" si="19">J262*$J$2</f>
        <v>#NUM!</v>
      </c>
      <c r="L262" s="181"/>
      <c r="M262" s="183">
        <f t="shared" ref="M262:M305" si="20">IF(I262&lt;&gt;"",K262+I262+L262,0)</f>
        <v>0</v>
      </c>
    </row>
    <row r="263" spans="1:13" x14ac:dyDescent="0.25">
      <c r="A263" s="198"/>
      <c r="G263" s="169"/>
      <c r="H263" s="181">
        <v>258</v>
      </c>
      <c r="I263" s="182" t="str">
        <f t="shared" si="18"/>
        <v/>
      </c>
      <c r="J263" s="181" t="e">
        <f t="shared" ref="J263:J326" si="21">INT(LOG($H$2,2))-ROUNDUP(LOG(H263,2),0)+IF(OR($H$2=1,$H$2=2,$H$2=4,$H$2=8,$H$2=16,$H$2=32,$H$2=64,$H$2=128,$H$2=256),0,1)</f>
        <v>#NUM!</v>
      </c>
      <c r="K263" s="181" t="e">
        <f t="shared" si="19"/>
        <v>#NUM!</v>
      </c>
      <c r="L263" s="181"/>
      <c r="M263" s="183">
        <f t="shared" si="20"/>
        <v>0</v>
      </c>
    </row>
    <row r="264" spans="1:13" x14ac:dyDescent="0.25">
      <c r="A264" s="198"/>
      <c r="G264" s="169"/>
      <c r="H264" s="181">
        <v>259</v>
      </c>
      <c r="I264" s="182" t="str">
        <f t="shared" si="18"/>
        <v/>
      </c>
      <c r="J264" s="181" t="e">
        <f t="shared" si="21"/>
        <v>#NUM!</v>
      </c>
      <c r="K264" s="181" t="e">
        <f t="shared" si="19"/>
        <v>#NUM!</v>
      </c>
      <c r="L264" s="181"/>
      <c r="M264" s="183">
        <f t="shared" si="20"/>
        <v>0</v>
      </c>
    </row>
    <row r="265" spans="1:13" x14ac:dyDescent="0.25">
      <c r="A265" s="198"/>
      <c r="G265" s="169"/>
      <c r="H265" s="181">
        <v>260</v>
      </c>
      <c r="I265" s="182" t="str">
        <f t="shared" si="18"/>
        <v/>
      </c>
      <c r="J265" s="181" t="e">
        <f t="shared" si="21"/>
        <v>#NUM!</v>
      </c>
      <c r="K265" s="181" t="e">
        <f t="shared" si="19"/>
        <v>#NUM!</v>
      </c>
      <c r="L265" s="181"/>
      <c r="M265" s="183">
        <f t="shared" si="20"/>
        <v>0</v>
      </c>
    </row>
    <row r="266" spans="1:13" x14ac:dyDescent="0.25">
      <c r="A266" s="198"/>
      <c r="G266" s="169"/>
      <c r="H266" s="181">
        <v>261</v>
      </c>
      <c r="I266" s="182" t="str">
        <f t="shared" si="18"/>
        <v/>
      </c>
      <c r="J266" s="181" t="e">
        <f t="shared" si="21"/>
        <v>#NUM!</v>
      </c>
      <c r="K266" s="181" t="e">
        <f t="shared" si="19"/>
        <v>#NUM!</v>
      </c>
      <c r="L266" s="181"/>
      <c r="M266" s="183">
        <f t="shared" si="20"/>
        <v>0</v>
      </c>
    </row>
    <row r="267" spans="1:13" x14ac:dyDescent="0.25">
      <c r="A267" s="198"/>
      <c r="G267" s="169"/>
      <c r="H267" s="181">
        <v>262</v>
      </c>
      <c r="I267" s="182" t="str">
        <f t="shared" si="18"/>
        <v/>
      </c>
      <c r="J267" s="181" t="e">
        <f t="shared" si="21"/>
        <v>#NUM!</v>
      </c>
      <c r="K267" s="181" t="e">
        <f t="shared" si="19"/>
        <v>#NUM!</v>
      </c>
      <c r="L267" s="181"/>
      <c r="M267" s="183">
        <f t="shared" si="20"/>
        <v>0</v>
      </c>
    </row>
    <row r="268" spans="1:13" x14ac:dyDescent="0.25">
      <c r="A268" s="198"/>
      <c r="G268" s="169"/>
      <c r="H268" s="181">
        <v>263</v>
      </c>
      <c r="I268" s="182" t="str">
        <f t="shared" si="18"/>
        <v/>
      </c>
      <c r="J268" s="181" t="e">
        <f t="shared" si="21"/>
        <v>#NUM!</v>
      </c>
      <c r="K268" s="181" t="e">
        <f t="shared" si="19"/>
        <v>#NUM!</v>
      </c>
      <c r="L268" s="181"/>
      <c r="M268" s="183">
        <f t="shared" si="20"/>
        <v>0</v>
      </c>
    </row>
    <row r="269" spans="1:13" x14ac:dyDescent="0.25">
      <c r="A269" s="198"/>
      <c r="G269" s="169"/>
      <c r="H269" s="181">
        <v>264</v>
      </c>
      <c r="I269" s="182" t="str">
        <f t="shared" si="18"/>
        <v/>
      </c>
      <c r="J269" s="181" t="e">
        <f t="shared" si="21"/>
        <v>#NUM!</v>
      </c>
      <c r="K269" s="181" t="e">
        <f t="shared" si="19"/>
        <v>#NUM!</v>
      </c>
      <c r="L269" s="181"/>
      <c r="M269" s="183">
        <f t="shared" si="20"/>
        <v>0</v>
      </c>
    </row>
    <row r="270" spans="1:13" x14ac:dyDescent="0.25">
      <c r="A270" s="198"/>
      <c r="G270" s="169"/>
      <c r="H270" s="181">
        <v>265</v>
      </c>
      <c r="I270" s="182" t="str">
        <f t="shared" si="18"/>
        <v/>
      </c>
      <c r="J270" s="181" t="e">
        <f t="shared" si="21"/>
        <v>#NUM!</v>
      </c>
      <c r="K270" s="181" t="e">
        <f t="shared" si="19"/>
        <v>#NUM!</v>
      </c>
      <c r="L270" s="181"/>
      <c r="M270" s="183">
        <f t="shared" si="20"/>
        <v>0</v>
      </c>
    </row>
    <row r="271" spans="1:13" x14ac:dyDescent="0.25">
      <c r="A271" s="198"/>
      <c r="G271" s="169"/>
      <c r="H271" s="181">
        <v>266</v>
      </c>
      <c r="I271" s="182" t="str">
        <f t="shared" si="18"/>
        <v/>
      </c>
      <c r="J271" s="181" t="e">
        <f t="shared" si="21"/>
        <v>#NUM!</v>
      </c>
      <c r="K271" s="181" t="e">
        <f t="shared" si="19"/>
        <v>#NUM!</v>
      </c>
      <c r="L271" s="181"/>
      <c r="M271" s="183">
        <f t="shared" si="20"/>
        <v>0</v>
      </c>
    </row>
    <row r="272" spans="1:13" x14ac:dyDescent="0.25">
      <c r="A272" s="198"/>
      <c r="G272" s="169"/>
      <c r="H272" s="181">
        <v>267</v>
      </c>
      <c r="I272" s="182" t="str">
        <f t="shared" si="18"/>
        <v/>
      </c>
      <c r="J272" s="181" t="e">
        <f t="shared" si="21"/>
        <v>#NUM!</v>
      </c>
      <c r="K272" s="181" t="e">
        <f t="shared" si="19"/>
        <v>#NUM!</v>
      </c>
      <c r="L272" s="181"/>
      <c r="M272" s="183">
        <f t="shared" si="20"/>
        <v>0</v>
      </c>
    </row>
    <row r="273" spans="1:13" x14ac:dyDescent="0.25">
      <c r="A273" s="198"/>
      <c r="G273" s="169"/>
      <c r="H273" s="181">
        <v>268</v>
      </c>
      <c r="I273" s="182" t="str">
        <f t="shared" si="18"/>
        <v/>
      </c>
      <c r="J273" s="181" t="e">
        <f t="shared" si="21"/>
        <v>#NUM!</v>
      </c>
      <c r="K273" s="181" t="e">
        <f t="shared" si="19"/>
        <v>#NUM!</v>
      </c>
      <c r="L273" s="181"/>
      <c r="M273" s="183">
        <f t="shared" si="20"/>
        <v>0</v>
      </c>
    </row>
    <row r="274" spans="1:13" x14ac:dyDescent="0.25">
      <c r="A274" s="198"/>
      <c r="G274" s="169"/>
      <c r="H274" s="181">
        <v>269</v>
      </c>
      <c r="I274" s="182" t="str">
        <f t="shared" si="18"/>
        <v/>
      </c>
      <c r="J274" s="181" t="e">
        <f t="shared" si="21"/>
        <v>#NUM!</v>
      </c>
      <c r="K274" s="181" t="e">
        <f t="shared" si="19"/>
        <v>#NUM!</v>
      </c>
      <c r="L274" s="181"/>
      <c r="M274" s="183">
        <f t="shared" si="20"/>
        <v>0</v>
      </c>
    </row>
    <row r="275" spans="1:13" x14ac:dyDescent="0.25">
      <c r="A275" s="198"/>
      <c r="G275" s="169"/>
      <c r="H275" s="181">
        <v>270</v>
      </c>
      <c r="I275" s="182" t="str">
        <f t="shared" si="18"/>
        <v/>
      </c>
      <c r="J275" s="181" t="e">
        <f t="shared" si="21"/>
        <v>#NUM!</v>
      </c>
      <c r="K275" s="181" t="e">
        <f t="shared" si="19"/>
        <v>#NUM!</v>
      </c>
      <c r="L275" s="181"/>
      <c r="M275" s="183">
        <f t="shared" si="20"/>
        <v>0</v>
      </c>
    </row>
    <row r="276" spans="1:13" x14ac:dyDescent="0.25">
      <c r="A276" s="198"/>
      <c r="G276" s="169"/>
      <c r="H276" s="181">
        <v>271</v>
      </c>
      <c r="I276" s="182" t="str">
        <f t="shared" si="18"/>
        <v/>
      </c>
      <c r="J276" s="181" t="e">
        <f t="shared" si="21"/>
        <v>#NUM!</v>
      </c>
      <c r="K276" s="181" t="e">
        <f t="shared" si="19"/>
        <v>#NUM!</v>
      </c>
      <c r="L276" s="181"/>
      <c r="M276" s="183">
        <f t="shared" si="20"/>
        <v>0</v>
      </c>
    </row>
    <row r="277" spans="1:13" x14ac:dyDescent="0.25">
      <c r="A277" s="198"/>
      <c r="G277" s="169"/>
      <c r="H277" s="181">
        <v>272</v>
      </c>
      <c r="I277" s="182" t="str">
        <f t="shared" si="18"/>
        <v/>
      </c>
      <c r="J277" s="181" t="e">
        <f t="shared" si="21"/>
        <v>#NUM!</v>
      </c>
      <c r="K277" s="181" t="e">
        <f t="shared" si="19"/>
        <v>#NUM!</v>
      </c>
      <c r="L277" s="181"/>
      <c r="M277" s="183">
        <f t="shared" si="20"/>
        <v>0</v>
      </c>
    </row>
    <row r="278" spans="1:13" x14ac:dyDescent="0.25">
      <c r="A278" s="198"/>
      <c r="G278" s="169"/>
      <c r="H278" s="181">
        <v>273</v>
      </c>
      <c r="I278" s="182" t="str">
        <f t="shared" si="18"/>
        <v/>
      </c>
      <c r="J278" s="181" t="e">
        <f t="shared" si="21"/>
        <v>#NUM!</v>
      </c>
      <c r="K278" s="181" t="e">
        <f t="shared" si="19"/>
        <v>#NUM!</v>
      </c>
      <c r="L278" s="181"/>
      <c r="M278" s="183">
        <f t="shared" si="20"/>
        <v>0</v>
      </c>
    </row>
    <row r="279" spans="1:13" x14ac:dyDescent="0.25">
      <c r="A279" s="198"/>
      <c r="G279" s="169"/>
      <c r="H279" s="181">
        <v>274</v>
      </c>
      <c r="I279" s="182" t="str">
        <f t="shared" si="18"/>
        <v/>
      </c>
      <c r="J279" s="181" t="e">
        <f t="shared" si="21"/>
        <v>#NUM!</v>
      </c>
      <c r="K279" s="181" t="e">
        <f t="shared" si="19"/>
        <v>#NUM!</v>
      </c>
      <c r="L279" s="181"/>
      <c r="M279" s="183">
        <f t="shared" si="20"/>
        <v>0</v>
      </c>
    </row>
    <row r="280" spans="1:13" x14ac:dyDescent="0.25">
      <c r="A280" s="198"/>
      <c r="G280" s="169"/>
      <c r="H280" s="181">
        <v>275</v>
      </c>
      <c r="I280" s="182" t="str">
        <f t="shared" si="18"/>
        <v/>
      </c>
      <c r="J280" s="181" t="e">
        <f t="shared" si="21"/>
        <v>#NUM!</v>
      </c>
      <c r="K280" s="181" t="e">
        <f t="shared" si="19"/>
        <v>#NUM!</v>
      </c>
      <c r="L280" s="181"/>
      <c r="M280" s="183">
        <f t="shared" si="20"/>
        <v>0</v>
      </c>
    </row>
    <row r="281" spans="1:13" x14ac:dyDescent="0.25">
      <c r="A281" s="198"/>
      <c r="G281" s="169"/>
      <c r="H281" s="181">
        <v>276</v>
      </c>
      <c r="I281" s="182" t="str">
        <f t="shared" si="18"/>
        <v/>
      </c>
      <c r="J281" s="181" t="e">
        <f t="shared" si="21"/>
        <v>#NUM!</v>
      </c>
      <c r="K281" s="181" t="e">
        <f t="shared" si="19"/>
        <v>#NUM!</v>
      </c>
      <c r="L281" s="181"/>
      <c r="M281" s="183">
        <f t="shared" si="20"/>
        <v>0</v>
      </c>
    </row>
    <row r="282" spans="1:13" x14ac:dyDescent="0.25">
      <c r="A282" s="198"/>
      <c r="G282" s="169"/>
      <c r="H282" s="181">
        <v>277</v>
      </c>
      <c r="I282" s="182" t="str">
        <f t="shared" si="18"/>
        <v/>
      </c>
      <c r="J282" s="181" t="e">
        <f t="shared" si="21"/>
        <v>#NUM!</v>
      </c>
      <c r="K282" s="181" t="e">
        <f t="shared" si="19"/>
        <v>#NUM!</v>
      </c>
      <c r="L282" s="181"/>
      <c r="M282" s="183">
        <f t="shared" si="20"/>
        <v>0</v>
      </c>
    </row>
    <row r="283" spans="1:13" x14ac:dyDescent="0.25">
      <c r="A283" s="198"/>
      <c r="G283" s="169"/>
      <c r="H283" s="181">
        <v>278</v>
      </c>
      <c r="I283" s="182" t="str">
        <f t="shared" si="18"/>
        <v/>
      </c>
      <c r="J283" s="181" t="e">
        <f t="shared" si="21"/>
        <v>#NUM!</v>
      </c>
      <c r="K283" s="181" t="e">
        <f t="shared" si="19"/>
        <v>#NUM!</v>
      </c>
      <c r="L283" s="181"/>
      <c r="M283" s="183">
        <f t="shared" si="20"/>
        <v>0</v>
      </c>
    </row>
    <row r="284" spans="1:13" x14ac:dyDescent="0.25">
      <c r="A284" s="198"/>
      <c r="G284" s="169"/>
      <c r="H284" s="181">
        <v>279</v>
      </c>
      <c r="I284" s="182" t="str">
        <f t="shared" si="18"/>
        <v/>
      </c>
      <c r="J284" s="181" t="e">
        <f t="shared" si="21"/>
        <v>#NUM!</v>
      </c>
      <c r="K284" s="181" t="e">
        <f t="shared" si="19"/>
        <v>#NUM!</v>
      </c>
      <c r="L284" s="181"/>
      <c r="M284" s="183">
        <f t="shared" si="20"/>
        <v>0</v>
      </c>
    </row>
    <row r="285" spans="1:13" x14ac:dyDescent="0.25">
      <c r="A285" s="198"/>
      <c r="G285" s="169"/>
      <c r="H285" s="181">
        <v>280</v>
      </c>
      <c r="I285" s="182" t="str">
        <f t="shared" si="18"/>
        <v/>
      </c>
      <c r="J285" s="181" t="e">
        <f t="shared" si="21"/>
        <v>#NUM!</v>
      </c>
      <c r="K285" s="181" t="e">
        <f t="shared" si="19"/>
        <v>#NUM!</v>
      </c>
      <c r="L285" s="181"/>
      <c r="M285" s="183">
        <f t="shared" si="20"/>
        <v>0</v>
      </c>
    </row>
    <row r="286" spans="1:13" x14ac:dyDescent="0.25">
      <c r="A286" s="198"/>
      <c r="G286" s="169"/>
      <c r="H286" s="181">
        <v>281</v>
      </c>
      <c r="I286" s="182" t="str">
        <f t="shared" si="18"/>
        <v/>
      </c>
      <c r="J286" s="181" t="e">
        <f t="shared" si="21"/>
        <v>#NUM!</v>
      </c>
      <c r="K286" s="181" t="e">
        <f t="shared" si="19"/>
        <v>#NUM!</v>
      </c>
      <c r="L286" s="181"/>
      <c r="M286" s="183">
        <f t="shared" si="20"/>
        <v>0</v>
      </c>
    </row>
    <row r="287" spans="1:13" x14ac:dyDescent="0.25">
      <c r="A287" s="198"/>
      <c r="G287" s="169"/>
      <c r="H287" s="181">
        <v>282</v>
      </c>
      <c r="I287" s="182" t="str">
        <f t="shared" si="18"/>
        <v/>
      </c>
      <c r="J287" s="181" t="e">
        <f t="shared" si="21"/>
        <v>#NUM!</v>
      </c>
      <c r="K287" s="181" t="e">
        <f t="shared" si="19"/>
        <v>#NUM!</v>
      </c>
      <c r="L287" s="181"/>
      <c r="M287" s="183">
        <f t="shared" si="20"/>
        <v>0</v>
      </c>
    </row>
    <row r="288" spans="1:13" x14ac:dyDescent="0.25">
      <c r="A288" s="198"/>
      <c r="G288" s="169"/>
      <c r="H288" s="181">
        <v>283</v>
      </c>
      <c r="I288" s="182" t="str">
        <f t="shared" si="18"/>
        <v/>
      </c>
      <c r="J288" s="181" t="e">
        <f t="shared" si="21"/>
        <v>#NUM!</v>
      </c>
      <c r="K288" s="181" t="e">
        <f t="shared" si="19"/>
        <v>#NUM!</v>
      </c>
      <c r="L288" s="181"/>
      <c r="M288" s="183">
        <f t="shared" si="20"/>
        <v>0</v>
      </c>
    </row>
    <row r="289" spans="1:13" x14ac:dyDescent="0.25">
      <c r="A289" s="198"/>
      <c r="G289" s="169"/>
      <c r="H289" s="181">
        <v>284</v>
      </c>
      <c r="I289" s="182" t="str">
        <f t="shared" si="18"/>
        <v/>
      </c>
      <c r="J289" s="181" t="e">
        <f t="shared" si="21"/>
        <v>#NUM!</v>
      </c>
      <c r="K289" s="181" t="e">
        <f t="shared" si="19"/>
        <v>#NUM!</v>
      </c>
      <c r="L289" s="181"/>
      <c r="M289" s="183">
        <f t="shared" si="20"/>
        <v>0</v>
      </c>
    </row>
    <row r="290" spans="1:13" x14ac:dyDescent="0.25">
      <c r="A290" s="198"/>
      <c r="G290" s="169"/>
      <c r="H290" s="181">
        <v>285</v>
      </c>
      <c r="I290" s="182" t="str">
        <f t="shared" si="18"/>
        <v/>
      </c>
      <c r="J290" s="181" t="e">
        <f t="shared" si="21"/>
        <v>#NUM!</v>
      </c>
      <c r="K290" s="181" t="e">
        <f t="shared" si="19"/>
        <v>#NUM!</v>
      </c>
      <c r="L290" s="181"/>
      <c r="M290" s="183">
        <f t="shared" si="20"/>
        <v>0</v>
      </c>
    </row>
    <row r="291" spans="1:13" x14ac:dyDescent="0.25">
      <c r="A291" s="198"/>
      <c r="G291" s="169"/>
      <c r="H291" s="181">
        <v>286</v>
      </c>
      <c r="I291" s="182" t="str">
        <f t="shared" si="18"/>
        <v/>
      </c>
      <c r="J291" s="181" t="e">
        <f t="shared" si="21"/>
        <v>#NUM!</v>
      </c>
      <c r="K291" s="181" t="e">
        <f t="shared" si="19"/>
        <v>#NUM!</v>
      </c>
      <c r="L291" s="181"/>
      <c r="M291" s="183">
        <f t="shared" si="20"/>
        <v>0</v>
      </c>
    </row>
    <row r="292" spans="1:13" x14ac:dyDescent="0.25">
      <c r="A292" s="198"/>
      <c r="G292" s="169"/>
      <c r="H292" s="181">
        <v>287</v>
      </c>
      <c r="I292" s="182" t="str">
        <f t="shared" si="18"/>
        <v/>
      </c>
      <c r="J292" s="181" t="e">
        <f t="shared" si="21"/>
        <v>#NUM!</v>
      </c>
      <c r="K292" s="181" t="e">
        <f t="shared" si="19"/>
        <v>#NUM!</v>
      </c>
      <c r="L292" s="181"/>
      <c r="M292" s="183">
        <f t="shared" si="20"/>
        <v>0</v>
      </c>
    </row>
    <row r="293" spans="1:13" x14ac:dyDescent="0.25">
      <c r="A293" s="198"/>
      <c r="G293" s="169"/>
      <c r="H293" s="181">
        <v>288</v>
      </c>
      <c r="I293" s="182" t="str">
        <f t="shared" si="18"/>
        <v/>
      </c>
      <c r="J293" s="181" t="e">
        <f t="shared" si="21"/>
        <v>#NUM!</v>
      </c>
      <c r="K293" s="181" t="e">
        <f t="shared" si="19"/>
        <v>#NUM!</v>
      </c>
      <c r="L293" s="181"/>
      <c r="M293" s="183">
        <f t="shared" si="20"/>
        <v>0</v>
      </c>
    </row>
    <row r="294" spans="1:13" x14ac:dyDescent="0.25">
      <c r="A294" s="198"/>
      <c r="G294" s="169"/>
      <c r="H294" s="181">
        <v>289</v>
      </c>
      <c r="I294" s="182" t="str">
        <f t="shared" si="18"/>
        <v/>
      </c>
      <c r="J294" s="181" t="e">
        <f t="shared" si="21"/>
        <v>#NUM!</v>
      </c>
      <c r="K294" s="181" t="e">
        <f t="shared" si="19"/>
        <v>#NUM!</v>
      </c>
      <c r="L294" s="181"/>
      <c r="M294" s="183">
        <f t="shared" si="20"/>
        <v>0</v>
      </c>
    </row>
    <row r="295" spans="1:13" x14ac:dyDescent="0.25">
      <c r="A295" s="198"/>
      <c r="G295" s="169"/>
      <c r="H295" s="181">
        <v>290</v>
      </c>
      <c r="I295" s="182" t="str">
        <f t="shared" si="18"/>
        <v/>
      </c>
      <c r="J295" s="181" t="e">
        <f t="shared" si="21"/>
        <v>#NUM!</v>
      </c>
      <c r="K295" s="181" t="e">
        <f t="shared" si="19"/>
        <v>#NUM!</v>
      </c>
      <c r="L295" s="181"/>
      <c r="M295" s="183">
        <f t="shared" si="20"/>
        <v>0</v>
      </c>
    </row>
    <row r="296" spans="1:13" x14ac:dyDescent="0.25">
      <c r="A296" s="198"/>
      <c r="G296" s="169"/>
      <c r="H296" s="181">
        <v>291</v>
      </c>
      <c r="I296" s="182" t="str">
        <f t="shared" si="18"/>
        <v/>
      </c>
      <c r="J296" s="181" t="e">
        <f t="shared" si="21"/>
        <v>#NUM!</v>
      </c>
      <c r="K296" s="181" t="e">
        <f t="shared" si="19"/>
        <v>#NUM!</v>
      </c>
      <c r="L296" s="181"/>
      <c r="M296" s="183">
        <f t="shared" si="20"/>
        <v>0</v>
      </c>
    </row>
    <row r="297" spans="1:13" x14ac:dyDescent="0.25">
      <c r="A297" s="198"/>
      <c r="G297" s="169"/>
      <c r="H297" s="181">
        <v>292</v>
      </c>
      <c r="I297" s="182" t="str">
        <f t="shared" si="18"/>
        <v/>
      </c>
      <c r="J297" s="181" t="e">
        <f t="shared" si="21"/>
        <v>#NUM!</v>
      </c>
      <c r="K297" s="181" t="e">
        <f t="shared" si="19"/>
        <v>#NUM!</v>
      </c>
      <c r="L297" s="181"/>
      <c r="M297" s="183">
        <f t="shared" si="20"/>
        <v>0</v>
      </c>
    </row>
    <row r="298" spans="1:13" x14ac:dyDescent="0.25">
      <c r="A298" s="198"/>
      <c r="G298" s="169"/>
      <c r="H298" s="181">
        <v>293</v>
      </c>
      <c r="I298" s="182" t="str">
        <f t="shared" si="18"/>
        <v/>
      </c>
      <c r="J298" s="181" t="e">
        <f t="shared" si="21"/>
        <v>#NUM!</v>
      </c>
      <c r="K298" s="181" t="e">
        <f t="shared" si="19"/>
        <v>#NUM!</v>
      </c>
      <c r="L298" s="181"/>
      <c r="M298" s="183">
        <f t="shared" si="20"/>
        <v>0</v>
      </c>
    </row>
    <row r="299" spans="1:13" x14ac:dyDescent="0.25">
      <c r="A299" s="198"/>
      <c r="G299" s="169"/>
      <c r="H299" s="181">
        <v>294</v>
      </c>
      <c r="I299" s="182" t="str">
        <f t="shared" si="18"/>
        <v/>
      </c>
      <c r="J299" s="181" t="e">
        <f t="shared" si="21"/>
        <v>#NUM!</v>
      </c>
      <c r="K299" s="181" t="e">
        <f t="shared" si="19"/>
        <v>#NUM!</v>
      </c>
      <c r="L299" s="181"/>
      <c r="M299" s="183">
        <f t="shared" si="20"/>
        <v>0</v>
      </c>
    </row>
    <row r="300" spans="1:13" x14ac:dyDescent="0.25">
      <c r="A300" s="198"/>
      <c r="G300" s="169"/>
      <c r="H300" s="181">
        <v>295</v>
      </c>
      <c r="I300" s="182" t="str">
        <f t="shared" si="18"/>
        <v/>
      </c>
      <c r="J300" s="181" t="e">
        <f t="shared" si="21"/>
        <v>#NUM!</v>
      </c>
      <c r="K300" s="181" t="e">
        <f t="shared" si="19"/>
        <v>#NUM!</v>
      </c>
      <c r="L300" s="181"/>
      <c r="M300" s="183">
        <f t="shared" si="20"/>
        <v>0</v>
      </c>
    </row>
    <row r="301" spans="1:13" x14ac:dyDescent="0.25">
      <c r="A301" s="198"/>
      <c r="G301" s="169"/>
      <c r="H301" s="181">
        <v>296</v>
      </c>
      <c r="I301" s="182" t="str">
        <f t="shared" si="18"/>
        <v/>
      </c>
      <c r="J301" s="181" t="e">
        <f t="shared" si="21"/>
        <v>#NUM!</v>
      </c>
      <c r="K301" s="181" t="e">
        <f t="shared" si="19"/>
        <v>#NUM!</v>
      </c>
      <c r="L301" s="181"/>
      <c r="M301" s="183">
        <f t="shared" si="20"/>
        <v>0</v>
      </c>
    </row>
    <row r="302" spans="1:13" x14ac:dyDescent="0.25">
      <c r="A302" s="198"/>
      <c r="G302" s="169"/>
      <c r="H302" s="181">
        <v>297</v>
      </c>
      <c r="I302" s="182" t="str">
        <f t="shared" si="18"/>
        <v/>
      </c>
      <c r="J302" s="181" t="e">
        <f t="shared" si="21"/>
        <v>#NUM!</v>
      </c>
      <c r="K302" s="181" t="e">
        <f t="shared" si="19"/>
        <v>#NUM!</v>
      </c>
      <c r="L302" s="181"/>
      <c r="M302" s="183">
        <f t="shared" si="20"/>
        <v>0</v>
      </c>
    </row>
    <row r="303" spans="1:13" x14ac:dyDescent="0.25">
      <c r="A303" s="198"/>
      <c r="G303" s="169"/>
      <c r="H303" s="181">
        <v>298</v>
      </c>
      <c r="I303" s="182" t="str">
        <f t="shared" si="18"/>
        <v/>
      </c>
      <c r="J303" s="181" t="e">
        <f t="shared" si="21"/>
        <v>#NUM!</v>
      </c>
      <c r="K303" s="181" t="e">
        <f t="shared" si="19"/>
        <v>#NUM!</v>
      </c>
      <c r="L303" s="181"/>
      <c r="M303" s="183">
        <f t="shared" si="20"/>
        <v>0</v>
      </c>
    </row>
    <row r="304" spans="1:13" x14ac:dyDescent="0.25">
      <c r="A304" s="198"/>
      <c r="G304" s="169"/>
      <c r="H304" s="181">
        <v>299</v>
      </c>
      <c r="I304" s="182" t="str">
        <f t="shared" si="18"/>
        <v/>
      </c>
      <c r="J304" s="181" t="e">
        <f t="shared" si="21"/>
        <v>#NUM!</v>
      </c>
      <c r="K304" s="181" t="e">
        <f t="shared" si="19"/>
        <v>#NUM!</v>
      </c>
      <c r="L304" s="181"/>
      <c r="M304" s="183">
        <f t="shared" si="20"/>
        <v>0</v>
      </c>
    </row>
    <row r="305" spans="1:16" x14ac:dyDescent="0.25">
      <c r="A305" s="198"/>
      <c r="G305" s="169"/>
      <c r="H305" s="181">
        <v>300</v>
      </c>
      <c r="I305" s="182" t="str">
        <f t="shared" si="18"/>
        <v/>
      </c>
      <c r="J305" s="181" t="e">
        <f t="shared" si="21"/>
        <v>#NUM!</v>
      </c>
      <c r="K305" s="181" t="e">
        <f t="shared" si="19"/>
        <v>#NUM!</v>
      </c>
      <c r="L305" s="181"/>
      <c r="M305" s="183">
        <f t="shared" si="20"/>
        <v>0</v>
      </c>
    </row>
    <row r="306" spans="1:16" x14ac:dyDescent="0.25">
      <c r="A306" s="199"/>
      <c r="J306" s="200" t="e">
        <f t="shared" si="21"/>
        <v>#NUM!</v>
      </c>
    </row>
    <row r="307" spans="1:16" x14ac:dyDescent="0.25">
      <c r="J307" s="200" t="e">
        <f t="shared" si="21"/>
        <v>#NUM!</v>
      </c>
    </row>
    <row r="308" spans="1:16" x14ac:dyDescent="0.25">
      <c r="J308" s="200" t="e">
        <f t="shared" si="21"/>
        <v>#NUM!</v>
      </c>
    </row>
    <row r="309" spans="1:16" x14ac:dyDescent="0.25">
      <c r="J309" s="200" t="e">
        <f t="shared" si="21"/>
        <v>#NUM!</v>
      </c>
    </row>
    <row r="310" spans="1:16" x14ac:dyDescent="0.25">
      <c r="J310" s="200" t="e">
        <f t="shared" si="21"/>
        <v>#NUM!</v>
      </c>
    </row>
    <row r="311" spans="1:16" x14ac:dyDescent="0.25">
      <c r="J311" s="200" t="e">
        <f t="shared" si="21"/>
        <v>#NUM!</v>
      </c>
    </row>
    <row r="312" spans="1:16" x14ac:dyDescent="0.25">
      <c r="J312" s="200" t="e">
        <f t="shared" si="21"/>
        <v>#NUM!</v>
      </c>
    </row>
    <row r="313" spans="1:16" x14ac:dyDescent="0.25">
      <c r="J313" s="200" t="e">
        <f t="shared" si="21"/>
        <v>#NUM!</v>
      </c>
    </row>
    <row r="314" spans="1:16" x14ac:dyDescent="0.25">
      <c r="J314" s="200" t="e">
        <f t="shared" si="21"/>
        <v>#NUM!</v>
      </c>
      <c r="L314" s="202"/>
      <c r="P314" s="192"/>
    </row>
    <row r="315" spans="1:16" x14ac:dyDescent="0.25">
      <c r="J315" s="200" t="e">
        <f t="shared" si="21"/>
        <v>#NUM!</v>
      </c>
      <c r="L315" s="202"/>
      <c r="P315" s="192"/>
    </row>
    <row r="316" spans="1:16" x14ac:dyDescent="0.25">
      <c r="J316" s="200" t="e">
        <f t="shared" si="21"/>
        <v>#NUM!</v>
      </c>
      <c r="L316" s="202"/>
      <c r="P316" s="192"/>
    </row>
    <row r="317" spans="1:16" x14ac:dyDescent="0.25">
      <c r="J317" s="200" t="e">
        <f t="shared" si="21"/>
        <v>#NUM!</v>
      </c>
      <c r="L317" s="202"/>
      <c r="P317" s="192"/>
    </row>
    <row r="318" spans="1:16" x14ac:dyDescent="0.25">
      <c r="J318" s="200" t="e">
        <f t="shared" si="21"/>
        <v>#NUM!</v>
      </c>
    </row>
    <row r="319" spans="1:16" x14ac:dyDescent="0.25">
      <c r="J319" s="200" t="e">
        <f t="shared" si="21"/>
        <v>#NUM!</v>
      </c>
    </row>
    <row r="320" spans="1:16" x14ac:dyDescent="0.25">
      <c r="J320" s="200" t="e">
        <f t="shared" si="21"/>
        <v>#NUM!</v>
      </c>
    </row>
    <row r="321" spans="10:10" x14ac:dyDescent="0.25">
      <c r="J321" s="200" t="e">
        <f t="shared" si="21"/>
        <v>#NUM!</v>
      </c>
    </row>
    <row r="322" spans="10:10" x14ac:dyDescent="0.25">
      <c r="J322" s="200" t="e">
        <f t="shared" si="21"/>
        <v>#NUM!</v>
      </c>
    </row>
    <row r="323" spans="10:10" x14ac:dyDescent="0.25">
      <c r="J323" s="200" t="e">
        <f t="shared" si="21"/>
        <v>#NUM!</v>
      </c>
    </row>
    <row r="324" spans="10:10" x14ac:dyDescent="0.25">
      <c r="J324" s="200" t="e">
        <f t="shared" si="21"/>
        <v>#NUM!</v>
      </c>
    </row>
    <row r="325" spans="10:10" x14ac:dyDescent="0.25">
      <c r="J325" s="200" t="e">
        <f t="shared" si="21"/>
        <v>#NUM!</v>
      </c>
    </row>
    <row r="326" spans="10:10" x14ac:dyDescent="0.25">
      <c r="J326" s="200" t="e">
        <f t="shared" si="21"/>
        <v>#NUM!</v>
      </c>
    </row>
    <row r="327" spans="10:10" x14ac:dyDescent="0.25">
      <c r="J327" s="200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200" t="e">
        <f t="shared" si="22"/>
        <v>#NUM!</v>
      </c>
    </row>
    <row r="329" spans="10:10" x14ac:dyDescent="0.25">
      <c r="J329" s="200" t="e">
        <f t="shared" si="22"/>
        <v>#NUM!</v>
      </c>
    </row>
    <row r="330" spans="10:10" x14ac:dyDescent="0.25">
      <c r="J330" s="200" t="e">
        <f t="shared" si="22"/>
        <v>#NUM!</v>
      </c>
    </row>
    <row r="331" spans="10:10" x14ac:dyDescent="0.25">
      <c r="J331" s="200" t="e">
        <f t="shared" si="22"/>
        <v>#NUM!</v>
      </c>
    </row>
    <row r="332" spans="10:10" x14ac:dyDescent="0.25">
      <c r="J332" s="200" t="e">
        <f t="shared" si="22"/>
        <v>#NUM!</v>
      </c>
    </row>
    <row r="333" spans="10:10" x14ac:dyDescent="0.25">
      <c r="J333" s="200" t="e">
        <f t="shared" si="22"/>
        <v>#NUM!</v>
      </c>
    </row>
    <row r="334" spans="10:10" x14ac:dyDescent="0.25">
      <c r="J334" s="200" t="e">
        <f t="shared" si="22"/>
        <v>#NUM!</v>
      </c>
    </row>
    <row r="335" spans="10:10" x14ac:dyDescent="0.25">
      <c r="J335" s="200" t="e">
        <f t="shared" si="22"/>
        <v>#NUM!</v>
      </c>
    </row>
    <row r="336" spans="10:10" x14ac:dyDescent="0.25">
      <c r="J336" s="200" t="e">
        <f t="shared" si="22"/>
        <v>#NUM!</v>
      </c>
    </row>
    <row r="337" spans="10:10" x14ac:dyDescent="0.25">
      <c r="J337" s="200" t="e">
        <f t="shared" si="22"/>
        <v>#NUM!</v>
      </c>
    </row>
    <row r="338" spans="10:10" x14ac:dyDescent="0.25">
      <c r="J338" s="200" t="e">
        <f t="shared" si="22"/>
        <v>#NUM!</v>
      </c>
    </row>
    <row r="339" spans="10:10" x14ac:dyDescent="0.25">
      <c r="J339" s="200" t="e">
        <f t="shared" si="22"/>
        <v>#NUM!</v>
      </c>
    </row>
    <row r="340" spans="10:10" x14ac:dyDescent="0.25">
      <c r="J340" s="200" t="e">
        <f t="shared" si="22"/>
        <v>#NUM!</v>
      </c>
    </row>
    <row r="341" spans="10:10" x14ac:dyDescent="0.25">
      <c r="J341" s="200" t="e">
        <f t="shared" si="22"/>
        <v>#NUM!</v>
      </c>
    </row>
    <row r="342" spans="10:10" x14ac:dyDescent="0.25">
      <c r="J342" s="200" t="e">
        <f t="shared" si="22"/>
        <v>#NUM!</v>
      </c>
    </row>
    <row r="343" spans="10:10" x14ac:dyDescent="0.25">
      <c r="J343" s="200" t="e">
        <f t="shared" si="22"/>
        <v>#NUM!</v>
      </c>
    </row>
    <row r="344" spans="10:10" x14ac:dyDescent="0.25">
      <c r="J344" s="200" t="e">
        <f t="shared" si="22"/>
        <v>#NUM!</v>
      </c>
    </row>
    <row r="345" spans="10:10" x14ac:dyDescent="0.25">
      <c r="J345" s="200" t="e">
        <f t="shared" si="22"/>
        <v>#NUM!</v>
      </c>
    </row>
    <row r="346" spans="10:10" x14ac:dyDescent="0.25">
      <c r="J346" s="200" t="e">
        <f t="shared" si="22"/>
        <v>#NUM!</v>
      </c>
    </row>
    <row r="347" spans="10:10" x14ac:dyDescent="0.25">
      <c r="J347" s="200" t="e">
        <f t="shared" si="22"/>
        <v>#NUM!</v>
      </c>
    </row>
    <row r="348" spans="10:10" x14ac:dyDescent="0.25">
      <c r="J348" s="200" t="e">
        <f t="shared" si="22"/>
        <v>#NUM!</v>
      </c>
    </row>
    <row r="349" spans="10:10" x14ac:dyDescent="0.25">
      <c r="J349" s="200" t="e">
        <f t="shared" si="22"/>
        <v>#NUM!</v>
      </c>
    </row>
    <row r="350" spans="10:10" x14ac:dyDescent="0.25">
      <c r="J350" s="200" t="e">
        <f t="shared" si="22"/>
        <v>#NUM!</v>
      </c>
    </row>
    <row r="351" spans="10:10" x14ac:dyDescent="0.25">
      <c r="J351" s="200" t="e">
        <f t="shared" si="22"/>
        <v>#NUM!</v>
      </c>
    </row>
    <row r="352" spans="10:10" x14ac:dyDescent="0.25">
      <c r="J352" s="200" t="e">
        <f t="shared" si="22"/>
        <v>#NUM!</v>
      </c>
    </row>
    <row r="353" spans="10:10" x14ac:dyDescent="0.25">
      <c r="J353" s="200" t="e">
        <f t="shared" si="22"/>
        <v>#NUM!</v>
      </c>
    </row>
    <row r="354" spans="10:10" x14ac:dyDescent="0.25">
      <c r="J354" s="200" t="e">
        <f t="shared" si="22"/>
        <v>#NUM!</v>
      </c>
    </row>
    <row r="355" spans="10:10" x14ac:dyDescent="0.25">
      <c r="J355" s="200" t="e">
        <f t="shared" si="22"/>
        <v>#NUM!</v>
      </c>
    </row>
    <row r="356" spans="10:10" x14ac:dyDescent="0.25">
      <c r="J356" s="200" t="e">
        <f t="shared" si="22"/>
        <v>#NUM!</v>
      </c>
    </row>
    <row r="357" spans="10:10" x14ac:dyDescent="0.25">
      <c r="J357" s="200" t="e">
        <f t="shared" si="22"/>
        <v>#NUM!</v>
      </c>
    </row>
    <row r="358" spans="10:10" x14ac:dyDescent="0.25">
      <c r="J358" s="200" t="e">
        <f t="shared" si="22"/>
        <v>#NUM!</v>
      </c>
    </row>
    <row r="359" spans="10:10" x14ac:dyDescent="0.25">
      <c r="J359" s="200" t="e">
        <f t="shared" si="22"/>
        <v>#NUM!</v>
      </c>
    </row>
    <row r="360" spans="10:10" x14ac:dyDescent="0.25">
      <c r="J360" s="200" t="e">
        <f t="shared" si="22"/>
        <v>#NUM!</v>
      </c>
    </row>
    <row r="361" spans="10:10" x14ac:dyDescent="0.25">
      <c r="J361" s="200" t="e">
        <f t="shared" si="22"/>
        <v>#NUM!</v>
      </c>
    </row>
    <row r="362" spans="10:10" x14ac:dyDescent="0.25">
      <c r="J362" s="200" t="e">
        <f t="shared" si="22"/>
        <v>#NUM!</v>
      </c>
    </row>
    <row r="363" spans="10:10" x14ac:dyDescent="0.25">
      <c r="J363" s="200" t="e">
        <f t="shared" si="22"/>
        <v>#NUM!</v>
      </c>
    </row>
    <row r="364" spans="10:10" x14ac:dyDescent="0.25">
      <c r="J364" s="200" t="e">
        <f t="shared" si="22"/>
        <v>#NUM!</v>
      </c>
    </row>
    <row r="365" spans="10:10" x14ac:dyDescent="0.25">
      <c r="J365" s="200" t="e">
        <f t="shared" si="22"/>
        <v>#NUM!</v>
      </c>
    </row>
    <row r="366" spans="10:10" x14ac:dyDescent="0.25">
      <c r="J366" s="200" t="e">
        <f t="shared" si="22"/>
        <v>#NUM!</v>
      </c>
    </row>
    <row r="367" spans="10:10" x14ac:dyDescent="0.25">
      <c r="J367" s="200" t="e">
        <f t="shared" si="22"/>
        <v>#NUM!</v>
      </c>
    </row>
    <row r="368" spans="10:10" x14ac:dyDescent="0.25">
      <c r="J368" s="200" t="e">
        <f t="shared" si="22"/>
        <v>#NUM!</v>
      </c>
    </row>
    <row r="369" spans="10:10" x14ac:dyDescent="0.25">
      <c r="J369" s="200" t="e">
        <f t="shared" si="22"/>
        <v>#NUM!</v>
      </c>
    </row>
    <row r="370" spans="10:10" x14ac:dyDescent="0.25">
      <c r="J370" s="200" t="e">
        <f t="shared" si="22"/>
        <v>#NUM!</v>
      </c>
    </row>
    <row r="371" spans="10:10" x14ac:dyDescent="0.25">
      <c r="J371" s="200" t="e">
        <f t="shared" si="22"/>
        <v>#NUM!</v>
      </c>
    </row>
    <row r="372" spans="10:10" x14ac:dyDescent="0.25">
      <c r="J372" s="200" t="e">
        <f t="shared" si="22"/>
        <v>#NUM!</v>
      </c>
    </row>
    <row r="373" spans="10:10" x14ac:dyDescent="0.25">
      <c r="J373" s="200" t="e">
        <f t="shared" si="22"/>
        <v>#NUM!</v>
      </c>
    </row>
    <row r="374" spans="10:10" x14ac:dyDescent="0.25">
      <c r="J374" s="200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CF378271-7E61-4DC2-830A-CB3CAA0A8315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CC12-4D91-449E-B0FD-1FE9E431235A}">
  <sheetPr>
    <tabColor rgb="FF92D050"/>
  </sheetPr>
  <dimension ref="A1:AL317"/>
  <sheetViews>
    <sheetView workbookViewId="0">
      <selection activeCell="D25" sqref="D25"/>
    </sheetView>
  </sheetViews>
  <sheetFormatPr defaultColWidth="8.875" defaultRowHeight="14.3" x14ac:dyDescent="0.25"/>
  <cols>
    <col min="1" max="1" width="8" style="197" customWidth="1"/>
    <col min="2" max="2" width="8.25" style="197" customWidth="1"/>
    <col min="3" max="3" width="34.75" style="197" customWidth="1"/>
    <col min="4" max="4" width="11.25" style="197" customWidth="1"/>
    <col min="5" max="6" width="8.875" style="197"/>
    <col min="7" max="7" width="0.875" style="197" customWidth="1"/>
    <col min="8" max="8" width="8.875" style="200"/>
    <col min="9" max="9" width="11" style="200" customWidth="1"/>
    <col min="10" max="10" width="15.25" style="200" customWidth="1"/>
    <col min="11" max="11" width="8.75" style="200" customWidth="1"/>
    <col min="12" max="12" width="11" style="200" customWidth="1"/>
    <col min="13" max="13" width="12.25" style="201" customWidth="1"/>
    <col min="14" max="15" width="13.875" style="169" customWidth="1"/>
    <col min="16" max="18" width="8.875" style="169"/>
    <col min="19" max="20" width="8.875" style="174"/>
    <col min="21" max="21" width="12.125" style="174" customWidth="1"/>
    <col min="22" max="22" width="27.375" style="174" customWidth="1"/>
    <col min="23" max="38" width="8.875" style="174"/>
    <col min="39" max="16384" width="8.875" style="197"/>
  </cols>
  <sheetData>
    <row r="1" spans="1:36" x14ac:dyDescent="0.25">
      <c r="A1" s="169"/>
      <c r="B1" s="169"/>
      <c r="C1" s="169"/>
      <c r="D1" s="169"/>
      <c r="E1" s="169"/>
      <c r="F1" s="169"/>
      <c r="G1" s="169"/>
      <c r="H1" s="170" t="s">
        <v>29</v>
      </c>
      <c r="I1" s="171" t="s">
        <v>30</v>
      </c>
      <c r="J1" s="171" t="s">
        <v>31</v>
      </c>
      <c r="K1" s="172" t="s">
        <v>116</v>
      </c>
      <c r="L1" s="173"/>
      <c r="M1" s="173"/>
    </row>
    <row r="2" spans="1:36" x14ac:dyDescent="0.25">
      <c r="A2" s="169"/>
      <c r="B2" s="19" t="s">
        <v>33</v>
      </c>
      <c r="C2" s="266" t="s">
        <v>136</v>
      </c>
      <c r="D2" s="69"/>
      <c r="E2" s="20"/>
      <c r="F2" s="20"/>
      <c r="G2" s="20"/>
      <c r="H2" s="175">
        <v>0</v>
      </c>
      <c r="I2" s="176">
        <v>50</v>
      </c>
      <c r="J2" s="176">
        <v>10</v>
      </c>
      <c r="K2" s="177">
        <f>3*H2^(1/3)</f>
        <v>0</v>
      </c>
      <c r="L2" s="173"/>
      <c r="M2" s="173"/>
    </row>
    <row r="3" spans="1:36" x14ac:dyDescent="0.25">
      <c r="A3" s="169"/>
      <c r="B3" s="178" t="s">
        <v>35</v>
      </c>
      <c r="C3" s="70" t="s">
        <v>137</v>
      </c>
      <c r="D3" s="70"/>
      <c r="E3" s="25"/>
      <c r="F3" s="25"/>
      <c r="G3" s="25"/>
      <c r="H3" s="173"/>
      <c r="I3" s="173"/>
      <c r="J3" s="204"/>
      <c r="K3" s="173"/>
      <c r="L3" s="173"/>
      <c r="M3" s="173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3"/>
      <c r="I4" s="173"/>
      <c r="J4" s="204"/>
      <c r="K4" s="173"/>
      <c r="L4" s="173"/>
      <c r="M4" s="173"/>
    </row>
    <row r="5" spans="1:36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179" t="s">
        <v>43</v>
      </c>
      <c r="I5" s="180" t="s">
        <v>44</v>
      </c>
      <c r="J5" s="205" t="s">
        <v>45</v>
      </c>
      <c r="K5" s="180" t="s">
        <v>46</v>
      </c>
      <c r="L5" s="180" t="s">
        <v>47</v>
      </c>
      <c r="M5" s="179" t="s">
        <v>48</v>
      </c>
    </row>
    <row r="6" spans="1:36" ht="14.45" customHeight="1" x14ac:dyDescent="0.25">
      <c r="A6" s="97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81">
        <v>1</v>
      </c>
      <c r="I6" s="182" t="str">
        <f t="shared" ref="I6:I69" si="1">IF(H6&lt;$H$2+1,($I$2-($I$2-1)*(LOG(H6)/LOG($H$2))),"")</f>
        <v/>
      </c>
      <c r="J6" s="181" t="e">
        <f>INT(LOG($H$2,2))-ROUNDUP(LOG(H6,2),0)+IF(OR($H$2=1,$H$2=2,$H$2=4,$H$2=8,$H$2=16,$H$2=32,$H$2=64,$H$2=128,$H$2=256),0,1)</f>
        <v>#NUM!</v>
      </c>
      <c r="K6" s="181" t="e">
        <f t="shared" ref="K6:K69" si="2">J6*$J$2</f>
        <v>#NUM!</v>
      </c>
      <c r="L6" s="183">
        <f>3*K2</f>
        <v>0</v>
      </c>
      <c r="M6" s="183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84">
        <v>2</v>
      </c>
      <c r="I7" s="185" t="str">
        <f t="shared" si="1"/>
        <v/>
      </c>
      <c r="J7" s="184" t="e">
        <f t="shared" ref="J7:J70" si="5">INT(LOG($H$2,2))-ROUNDUP(LOG(H7,2),0)+IF(OR($H$2=1,$H$2=2,$H$2=4,$H$2=8,$H$2=16,$H$2=32,$H$2=64,$H$2=128,$H$2=256),0,1)</f>
        <v>#NUM!</v>
      </c>
      <c r="K7" s="184" t="e">
        <f t="shared" si="2"/>
        <v>#NUM!</v>
      </c>
      <c r="L7" s="186">
        <f>2*K2</f>
        <v>0</v>
      </c>
      <c r="M7" s="186">
        <f t="shared" si="3"/>
        <v>0</v>
      </c>
    </row>
    <row r="8" spans="1:36" ht="14.45" customHeight="1" x14ac:dyDescent="0.25">
      <c r="A8" s="97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81">
        <v>3</v>
      </c>
      <c r="I8" s="182" t="str">
        <f t="shared" si="1"/>
        <v/>
      </c>
      <c r="J8" s="181" t="e">
        <f t="shared" si="5"/>
        <v>#NUM!</v>
      </c>
      <c r="K8" s="181" t="e">
        <f t="shared" si="2"/>
        <v>#NUM!</v>
      </c>
      <c r="L8" s="183">
        <f>K2</f>
        <v>0</v>
      </c>
      <c r="M8" s="183">
        <f t="shared" si="3"/>
        <v>0</v>
      </c>
    </row>
    <row r="9" spans="1:36" s="174" customFormat="1" ht="14.45" customHeight="1" x14ac:dyDescent="0.25">
      <c r="A9" s="10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84">
        <v>3</v>
      </c>
      <c r="I9" s="185" t="str">
        <f t="shared" si="1"/>
        <v/>
      </c>
      <c r="J9" s="184" t="e">
        <f t="shared" si="5"/>
        <v>#NUM!</v>
      </c>
      <c r="K9" s="184" t="e">
        <f t="shared" si="2"/>
        <v>#NUM!</v>
      </c>
      <c r="L9" s="186">
        <f>K2</f>
        <v>0</v>
      </c>
      <c r="M9" s="186">
        <f t="shared" si="3"/>
        <v>0</v>
      </c>
      <c r="N9" s="169"/>
      <c r="O9" s="169"/>
      <c r="P9" s="169"/>
      <c r="Q9" s="169"/>
      <c r="R9" s="169"/>
      <c r="V9" s="187"/>
      <c r="Z9" s="188"/>
      <c r="AA9" s="188"/>
      <c r="AG9" s="189"/>
      <c r="AH9" s="174" t="s">
        <v>54</v>
      </c>
      <c r="AI9" s="174">
        <v>23</v>
      </c>
    </row>
    <row r="10" spans="1:36" ht="14.45" customHeight="1" x14ac:dyDescent="0.25">
      <c r="A10" s="97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81">
        <v>5</v>
      </c>
      <c r="I10" s="182" t="str">
        <f t="shared" si="1"/>
        <v/>
      </c>
      <c r="J10" s="181" t="e">
        <f t="shared" si="5"/>
        <v>#NUM!</v>
      </c>
      <c r="K10" s="181" t="e">
        <f t="shared" si="2"/>
        <v>#NUM!</v>
      </c>
      <c r="L10" s="181"/>
      <c r="M10" s="183">
        <f t="shared" si="3"/>
        <v>0</v>
      </c>
      <c r="V10" s="187"/>
      <c r="Z10" s="188"/>
      <c r="AA10" s="188"/>
      <c r="AG10" s="189"/>
      <c r="AH10" s="174" t="s">
        <v>55</v>
      </c>
      <c r="AI10" s="174">
        <v>45</v>
      </c>
    </row>
    <row r="11" spans="1:36" ht="14.45" customHeight="1" x14ac:dyDescent="0.25">
      <c r="A11" s="10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84">
        <v>6</v>
      </c>
      <c r="I11" s="185" t="str">
        <f t="shared" si="1"/>
        <v/>
      </c>
      <c r="J11" s="184" t="e">
        <f t="shared" si="5"/>
        <v>#NUM!</v>
      </c>
      <c r="K11" s="184" t="e">
        <f t="shared" si="2"/>
        <v>#NUM!</v>
      </c>
      <c r="L11" s="184"/>
      <c r="M11" s="186">
        <f t="shared" si="3"/>
        <v>0</v>
      </c>
      <c r="V11" s="190"/>
      <c r="Z11" s="188"/>
      <c r="AA11" s="188"/>
      <c r="AG11" s="189"/>
      <c r="AH11" s="174" t="s">
        <v>56</v>
      </c>
      <c r="AI11" s="174">
        <v>50</v>
      </c>
    </row>
    <row r="12" spans="1:36" ht="14.45" customHeight="1" x14ac:dyDescent="0.25">
      <c r="A12" s="97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81">
        <v>7</v>
      </c>
      <c r="I12" s="182" t="str">
        <f t="shared" si="1"/>
        <v/>
      </c>
      <c r="J12" s="181" t="e">
        <f t="shared" si="5"/>
        <v>#NUM!</v>
      </c>
      <c r="K12" s="181" t="e">
        <f t="shared" si="2"/>
        <v>#NUM!</v>
      </c>
      <c r="L12" s="181"/>
      <c r="M12" s="183">
        <f t="shared" si="3"/>
        <v>0</v>
      </c>
      <c r="Z12" s="188"/>
      <c r="AA12" s="188"/>
      <c r="AG12" s="189"/>
      <c r="AH12" s="174" t="s">
        <v>57</v>
      </c>
      <c r="AI12" s="174">
        <f>AI11-1</f>
        <v>49</v>
      </c>
    </row>
    <row r="13" spans="1:36" ht="14.45" customHeight="1" x14ac:dyDescent="0.25">
      <c r="A13" s="10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84">
        <v>8</v>
      </c>
      <c r="I13" s="185" t="str">
        <f t="shared" si="1"/>
        <v/>
      </c>
      <c r="J13" s="184" t="e">
        <f t="shared" si="5"/>
        <v>#NUM!</v>
      </c>
      <c r="K13" s="184" t="e">
        <f t="shared" si="2"/>
        <v>#NUM!</v>
      </c>
      <c r="L13" s="184"/>
      <c r="M13" s="186">
        <f t="shared" si="3"/>
        <v>0</v>
      </c>
      <c r="X13" s="187"/>
      <c r="AG13" s="189"/>
      <c r="AH13" s="174" t="s">
        <v>58</v>
      </c>
      <c r="AI13" s="174">
        <f>LOG(AI9)</f>
        <v>1.3617278360175928</v>
      </c>
    </row>
    <row r="14" spans="1:36" x14ac:dyDescent="0.25">
      <c r="A14" s="97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81">
        <v>9</v>
      </c>
      <c r="I14" s="182" t="str">
        <f t="shared" si="1"/>
        <v/>
      </c>
      <c r="J14" s="181" t="e">
        <f t="shared" si="5"/>
        <v>#NUM!</v>
      </c>
      <c r="K14" s="181" t="e">
        <f t="shared" si="2"/>
        <v>#NUM!</v>
      </c>
      <c r="L14" s="181"/>
      <c r="M14" s="183">
        <f t="shared" si="3"/>
        <v>0</v>
      </c>
      <c r="X14" s="191"/>
      <c r="Z14" s="188"/>
      <c r="AA14" s="188"/>
      <c r="AG14" s="189"/>
      <c r="AH14" s="174" t="s">
        <v>59</v>
      </c>
      <c r="AI14" s="174">
        <f>LOG(AI10)</f>
        <v>1.6532125137753437</v>
      </c>
    </row>
    <row r="15" spans="1:36" x14ac:dyDescent="0.25">
      <c r="A15" s="10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84">
        <v>10</v>
      </c>
      <c r="I15" s="185" t="str">
        <f t="shared" si="1"/>
        <v/>
      </c>
      <c r="J15" s="184" t="e">
        <f t="shared" si="5"/>
        <v>#NUM!</v>
      </c>
      <c r="K15" s="184" t="e">
        <f t="shared" si="2"/>
        <v>#NUM!</v>
      </c>
      <c r="L15" s="184"/>
      <c r="M15" s="186">
        <f t="shared" si="3"/>
        <v>0</v>
      </c>
      <c r="X15" s="187"/>
      <c r="Z15" s="188"/>
      <c r="AA15" s="188"/>
    </row>
    <row r="16" spans="1:36" x14ac:dyDescent="0.25">
      <c r="A16" s="97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81">
        <v>11</v>
      </c>
      <c r="I16" s="182" t="str">
        <f t="shared" si="1"/>
        <v/>
      </c>
      <c r="J16" s="181" t="e">
        <f t="shared" si="5"/>
        <v>#NUM!</v>
      </c>
      <c r="K16" s="181" t="e">
        <f t="shared" si="2"/>
        <v>#NUM!</v>
      </c>
      <c r="L16" s="181"/>
      <c r="M16" s="183">
        <f t="shared" si="3"/>
        <v>0</v>
      </c>
      <c r="R16" s="192"/>
      <c r="Z16" s="188"/>
      <c r="AA16" s="188"/>
      <c r="AH16" s="193" t="s">
        <v>60</v>
      </c>
      <c r="AI16" s="174">
        <f>AI11-AI12*AI13/AI14</f>
        <v>9.6393909380186855</v>
      </c>
      <c r="AJ16" s="174" t="s">
        <v>61</v>
      </c>
    </row>
    <row r="17" spans="1:19" x14ac:dyDescent="0.25">
      <c r="A17" s="10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84">
        <v>12</v>
      </c>
      <c r="I17" s="185" t="str">
        <f t="shared" si="1"/>
        <v/>
      </c>
      <c r="J17" s="184" t="e">
        <f t="shared" si="5"/>
        <v>#NUM!</v>
      </c>
      <c r="K17" s="184" t="e">
        <f t="shared" si="2"/>
        <v>#NUM!</v>
      </c>
      <c r="L17" s="184"/>
      <c r="M17" s="186">
        <f t="shared" si="3"/>
        <v>0</v>
      </c>
    </row>
    <row r="18" spans="1:19" x14ac:dyDescent="0.25">
      <c r="A18" s="97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81">
        <v>13</v>
      </c>
      <c r="I18" s="182" t="str">
        <f t="shared" si="1"/>
        <v/>
      </c>
      <c r="J18" s="181" t="e">
        <f t="shared" si="5"/>
        <v>#NUM!</v>
      </c>
      <c r="K18" s="181" t="e">
        <f t="shared" si="2"/>
        <v>#NUM!</v>
      </c>
      <c r="L18" s="181"/>
      <c r="M18" s="183">
        <f t="shared" si="3"/>
        <v>0</v>
      </c>
    </row>
    <row r="19" spans="1:19" x14ac:dyDescent="0.25">
      <c r="A19" s="10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84">
        <v>14</v>
      </c>
      <c r="I19" s="185" t="str">
        <f t="shared" si="1"/>
        <v/>
      </c>
      <c r="J19" s="184" t="e">
        <f t="shared" si="5"/>
        <v>#NUM!</v>
      </c>
      <c r="K19" s="184" t="e">
        <f t="shared" si="2"/>
        <v>#NUM!</v>
      </c>
      <c r="L19" s="184"/>
      <c r="M19" s="186">
        <f t="shared" si="3"/>
        <v>0</v>
      </c>
    </row>
    <row r="20" spans="1:19" x14ac:dyDescent="0.25">
      <c r="A20" s="97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81">
        <v>15</v>
      </c>
      <c r="I20" s="182" t="str">
        <f t="shared" si="1"/>
        <v/>
      </c>
      <c r="J20" s="181" t="e">
        <f t="shared" si="5"/>
        <v>#NUM!</v>
      </c>
      <c r="K20" s="181" t="e">
        <f t="shared" si="2"/>
        <v>#NUM!</v>
      </c>
      <c r="L20" s="181"/>
      <c r="M20" s="183">
        <f t="shared" si="3"/>
        <v>0</v>
      </c>
      <c r="R20" s="194"/>
      <c r="S20" s="195"/>
    </row>
    <row r="21" spans="1:19" x14ac:dyDescent="0.25">
      <c r="A21" s="10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84">
        <v>16</v>
      </c>
      <c r="I21" s="185" t="str">
        <f t="shared" si="1"/>
        <v/>
      </c>
      <c r="J21" s="184" t="e">
        <f t="shared" si="5"/>
        <v>#NUM!</v>
      </c>
      <c r="K21" s="184" t="e">
        <f t="shared" si="2"/>
        <v>#NUM!</v>
      </c>
      <c r="L21" s="184"/>
      <c r="M21" s="186">
        <f t="shared" si="3"/>
        <v>0</v>
      </c>
    </row>
    <row r="22" spans="1:19" x14ac:dyDescent="0.25">
      <c r="A22" s="97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81">
        <v>17</v>
      </c>
      <c r="I22" s="182" t="str">
        <f t="shared" si="1"/>
        <v/>
      </c>
      <c r="J22" s="181" t="e">
        <f t="shared" si="5"/>
        <v>#NUM!</v>
      </c>
      <c r="K22" s="181" t="e">
        <f t="shared" si="2"/>
        <v>#NUM!</v>
      </c>
      <c r="L22" s="181"/>
      <c r="M22" s="183">
        <f t="shared" si="3"/>
        <v>0</v>
      </c>
    </row>
    <row r="23" spans="1:19" x14ac:dyDescent="0.25">
      <c r="A23" s="10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84">
        <v>18</v>
      </c>
      <c r="I23" s="185" t="str">
        <f t="shared" si="1"/>
        <v/>
      </c>
      <c r="J23" s="184" t="e">
        <f t="shared" si="5"/>
        <v>#NUM!</v>
      </c>
      <c r="K23" s="184" t="e">
        <f t="shared" si="2"/>
        <v>#NUM!</v>
      </c>
      <c r="L23" s="184"/>
      <c r="M23" s="186">
        <f t="shared" si="3"/>
        <v>0</v>
      </c>
    </row>
    <row r="24" spans="1:19" x14ac:dyDescent="0.25">
      <c r="A24" s="97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81">
        <v>19</v>
      </c>
      <c r="I24" s="182" t="str">
        <f t="shared" si="1"/>
        <v/>
      </c>
      <c r="J24" s="181" t="e">
        <f t="shared" si="5"/>
        <v>#NUM!</v>
      </c>
      <c r="K24" s="181" t="e">
        <f t="shared" si="2"/>
        <v>#NUM!</v>
      </c>
      <c r="L24" s="181"/>
      <c r="M24" s="183">
        <f t="shared" si="3"/>
        <v>0</v>
      </c>
      <c r="R24" s="194"/>
      <c r="S24" s="195"/>
    </row>
    <row r="25" spans="1:19" x14ac:dyDescent="0.25">
      <c r="A25" s="10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84">
        <v>20</v>
      </c>
      <c r="I25" s="185" t="str">
        <f t="shared" si="1"/>
        <v/>
      </c>
      <c r="J25" s="184" t="e">
        <f t="shared" si="5"/>
        <v>#NUM!</v>
      </c>
      <c r="K25" s="184" t="e">
        <f t="shared" si="2"/>
        <v>#NUM!</v>
      </c>
      <c r="L25" s="184"/>
      <c r="M25" s="186">
        <f t="shared" si="3"/>
        <v>0</v>
      </c>
    </row>
    <row r="26" spans="1:19" x14ac:dyDescent="0.25">
      <c r="A26" s="97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81">
        <v>21</v>
      </c>
      <c r="I26" s="182" t="str">
        <f t="shared" si="1"/>
        <v/>
      </c>
      <c r="J26" s="181" t="e">
        <f t="shared" si="5"/>
        <v>#NUM!</v>
      </c>
      <c r="K26" s="181" t="e">
        <f t="shared" si="2"/>
        <v>#NUM!</v>
      </c>
      <c r="L26" s="181"/>
      <c r="M26" s="183">
        <f t="shared" si="3"/>
        <v>0</v>
      </c>
    </row>
    <row r="27" spans="1:19" x14ac:dyDescent="0.25">
      <c r="A27" s="10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84">
        <v>22</v>
      </c>
      <c r="I27" s="185" t="str">
        <f t="shared" si="1"/>
        <v/>
      </c>
      <c r="J27" s="184" t="e">
        <f t="shared" si="5"/>
        <v>#NUM!</v>
      </c>
      <c r="K27" s="184" t="e">
        <f t="shared" si="2"/>
        <v>#NUM!</v>
      </c>
      <c r="L27" s="184"/>
      <c r="M27" s="186">
        <f t="shared" si="3"/>
        <v>0</v>
      </c>
    </row>
    <row r="28" spans="1:19" x14ac:dyDescent="0.25">
      <c r="A28" s="97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81">
        <v>23</v>
      </c>
      <c r="I28" s="182" t="str">
        <f t="shared" si="1"/>
        <v/>
      </c>
      <c r="J28" s="181" t="e">
        <f t="shared" si="5"/>
        <v>#NUM!</v>
      </c>
      <c r="K28" s="181" t="e">
        <f t="shared" si="2"/>
        <v>#NUM!</v>
      </c>
      <c r="L28" s="181"/>
      <c r="M28" s="183">
        <f t="shared" si="3"/>
        <v>0</v>
      </c>
      <c r="R28" s="194"/>
      <c r="S28" s="195"/>
    </row>
    <row r="29" spans="1:19" x14ac:dyDescent="0.25">
      <c r="A29" s="101">
        <f t="shared" si="4"/>
        <v>0</v>
      </c>
      <c r="B29" s="39" t="str">
        <f t="shared" si="0"/>
        <v/>
      </c>
      <c r="C29" s="40"/>
      <c r="D29" s="40"/>
      <c r="E29" s="40"/>
      <c r="F29" s="40"/>
      <c r="G29" s="169"/>
      <c r="H29" s="184">
        <v>24</v>
      </c>
      <c r="I29" s="185" t="str">
        <f t="shared" si="1"/>
        <v/>
      </c>
      <c r="J29" s="184" t="e">
        <f t="shared" si="5"/>
        <v>#NUM!</v>
      </c>
      <c r="K29" s="184" t="e">
        <f t="shared" si="2"/>
        <v>#NUM!</v>
      </c>
      <c r="L29" s="184"/>
      <c r="M29" s="186">
        <f t="shared" si="3"/>
        <v>0</v>
      </c>
    </row>
    <row r="30" spans="1:19" x14ac:dyDescent="0.25">
      <c r="A30" s="97">
        <f t="shared" si="4"/>
        <v>0</v>
      </c>
      <c r="B30" s="33" t="str">
        <f t="shared" si="0"/>
        <v/>
      </c>
      <c r="C30" s="34"/>
      <c r="D30" s="34"/>
      <c r="E30" s="34"/>
      <c r="F30" s="34"/>
      <c r="G30" s="169"/>
      <c r="H30" s="181">
        <v>25</v>
      </c>
      <c r="I30" s="182" t="str">
        <f t="shared" si="1"/>
        <v/>
      </c>
      <c r="J30" s="181" t="e">
        <f t="shared" si="5"/>
        <v>#NUM!</v>
      </c>
      <c r="K30" s="181" t="e">
        <f t="shared" si="2"/>
        <v>#NUM!</v>
      </c>
      <c r="L30" s="181"/>
      <c r="M30" s="183">
        <f t="shared" si="3"/>
        <v>0</v>
      </c>
    </row>
    <row r="31" spans="1:19" x14ac:dyDescent="0.25">
      <c r="A31" s="101">
        <f t="shared" si="4"/>
        <v>0</v>
      </c>
      <c r="B31" s="39" t="str">
        <f t="shared" si="0"/>
        <v/>
      </c>
      <c r="C31" s="40"/>
      <c r="D31" s="40"/>
      <c r="E31" s="40"/>
      <c r="F31" s="40"/>
      <c r="G31" s="169"/>
      <c r="H31" s="184">
        <v>26</v>
      </c>
      <c r="I31" s="185" t="str">
        <f t="shared" si="1"/>
        <v/>
      </c>
      <c r="J31" s="184" t="e">
        <f t="shared" si="5"/>
        <v>#NUM!</v>
      </c>
      <c r="K31" s="184" t="e">
        <f t="shared" si="2"/>
        <v>#NUM!</v>
      </c>
      <c r="L31" s="184"/>
      <c r="M31" s="186">
        <f t="shared" si="3"/>
        <v>0</v>
      </c>
    </row>
    <row r="32" spans="1:19" x14ac:dyDescent="0.25">
      <c r="A32" s="97">
        <f t="shared" si="4"/>
        <v>0</v>
      </c>
      <c r="B32" s="33" t="str">
        <f t="shared" si="0"/>
        <v/>
      </c>
      <c r="C32" s="34"/>
      <c r="D32" s="34"/>
      <c r="E32" s="34"/>
      <c r="F32" s="34"/>
      <c r="G32" s="169"/>
      <c r="H32" s="181">
        <v>27</v>
      </c>
      <c r="I32" s="182" t="str">
        <f t="shared" si="1"/>
        <v/>
      </c>
      <c r="J32" s="181" t="e">
        <f t="shared" si="5"/>
        <v>#NUM!</v>
      </c>
      <c r="K32" s="181" t="e">
        <f t="shared" si="2"/>
        <v>#NUM!</v>
      </c>
      <c r="L32" s="181"/>
      <c r="M32" s="183">
        <f t="shared" si="3"/>
        <v>0</v>
      </c>
      <c r="R32" s="194"/>
      <c r="S32" s="195"/>
    </row>
    <row r="33" spans="1:19" x14ac:dyDescent="0.25">
      <c r="A33" s="101">
        <f t="shared" si="4"/>
        <v>0</v>
      </c>
      <c r="B33" s="39" t="str">
        <f t="shared" si="0"/>
        <v/>
      </c>
      <c r="C33" s="40"/>
      <c r="D33" s="40"/>
      <c r="E33" s="40"/>
      <c r="F33" s="40"/>
      <c r="G33" s="169"/>
      <c r="H33" s="184">
        <v>28</v>
      </c>
      <c r="I33" s="185" t="str">
        <f t="shared" si="1"/>
        <v/>
      </c>
      <c r="J33" s="184" t="e">
        <f t="shared" si="5"/>
        <v>#NUM!</v>
      </c>
      <c r="K33" s="184" t="e">
        <f t="shared" si="2"/>
        <v>#NUM!</v>
      </c>
      <c r="L33" s="184"/>
      <c r="M33" s="186">
        <f t="shared" si="3"/>
        <v>0</v>
      </c>
    </row>
    <row r="34" spans="1:19" x14ac:dyDescent="0.25">
      <c r="A34" s="97">
        <f t="shared" si="4"/>
        <v>0</v>
      </c>
      <c r="B34" s="33" t="str">
        <f t="shared" si="0"/>
        <v/>
      </c>
      <c r="C34" s="34"/>
      <c r="D34" s="34"/>
      <c r="E34" s="34"/>
      <c r="F34" s="34"/>
      <c r="G34" s="169"/>
      <c r="H34" s="181">
        <v>29</v>
      </c>
      <c r="I34" s="182" t="str">
        <f t="shared" si="1"/>
        <v/>
      </c>
      <c r="J34" s="181" t="e">
        <f t="shared" si="5"/>
        <v>#NUM!</v>
      </c>
      <c r="K34" s="181" t="e">
        <f t="shared" si="2"/>
        <v>#NUM!</v>
      </c>
      <c r="L34" s="181"/>
      <c r="M34" s="183">
        <f t="shared" si="3"/>
        <v>0</v>
      </c>
    </row>
    <row r="35" spans="1:19" x14ac:dyDescent="0.25">
      <c r="A35" s="101">
        <f t="shared" si="4"/>
        <v>0</v>
      </c>
      <c r="B35" s="39" t="str">
        <f t="shared" si="0"/>
        <v/>
      </c>
      <c r="C35" s="40"/>
      <c r="D35" s="40"/>
      <c r="E35" s="40"/>
      <c r="F35" s="40"/>
      <c r="G35" s="169"/>
      <c r="H35" s="184">
        <v>30</v>
      </c>
      <c r="I35" s="185" t="str">
        <f t="shared" si="1"/>
        <v/>
      </c>
      <c r="J35" s="184" t="e">
        <f t="shared" si="5"/>
        <v>#NUM!</v>
      </c>
      <c r="K35" s="184" t="e">
        <f t="shared" si="2"/>
        <v>#NUM!</v>
      </c>
      <c r="L35" s="184"/>
      <c r="M35" s="186">
        <f t="shared" si="3"/>
        <v>0</v>
      </c>
    </row>
    <row r="36" spans="1:19" x14ac:dyDescent="0.25">
      <c r="A36" s="97">
        <f t="shared" si="4"/>
        <v>0</v>
      </c>
      <c r="B36" s="33" t="str">
        <f t="shared" si="0"/>
        <v/>
      </c>
      <c r="C36" s="34"/>
      <c r="D36" s="34"/>
      <c r="E36" s="34"/>
      <c r="F36" s="34"/>
      <c r="G36" s="169"/>
      <c r="H36" s="181">
        <v>31</v>
      </c>
      <c r="I36" s="182" t="str">
        <f t="shared" si="1"/>
        <v/>
      </c>
      <c r="J36" s="181" t="e">
        <f t="shared" si="5"/>
        <v>#NUM!</v>
      </c>
      <c r="K36" s="181" t="e">
        <f t="shared" si="2"/>
        <v>#NUM!</v>
      </c>
      <c r="L36" s="181"/>
      <c r="M36" s="183">
        <f t="shared" si="3"/>
        <v>0</v>
      </c>
      <c r="R36" s="194"/>
      <c r="S36" s="195"/>
    </row>
    <row r="37" spans="1:19" x14ac:dyDescent="0.25">
      <c r="A37" s="101">
        <f t="shared" si="4"/>
        <v>0</v>
      </c>
      <c r="B37" s="39" t="str">
        <f t="shared" si="0"/>
        <v/>
      </c>
      <c r="C37" s="40"/>
      <c r="D37" s="40"/>
      <c r="E37" s="40"/>
      <c r="F37" s="40"/>
      <c r="G37" s="169"/>
      <c r="H37" s="184">
        <v>32</v>
      </c>
      <c r="I37" s="185" t="str">
        <f t="shared" si="1"/>
        <v/>
      </c>
      <c r="J37" s="184" t="e">
        <f t="shared" si="5"/>
        <v>#NUM!</v>
      </c>
      <c r="K37" s="184" t="e">
        <f t="shared" si="2"/>
        <v>#NUM!</v>
      </c>
      <c r="L37" s="184"/>
      <c r="M37" s="186">
        <f t="shared" si="3"/>
        <v>0</v>
      </c>
    </row>
    <row r="38" spans="1:19" x14ac:dyDescent="0.25">
      <c r="A38" s="97">
        <f t="shared" si="4"/>
        <v>0</v>
      </c>
      <c r="B38" s="33" t="str">
        <f t="shared" si="0"/>
        <v/>
      </c>
      <c r="C38" s="34"/>
      <c r="D38" s="34"/>
      <c r="E38" s="34"/>
      <c r="F38" s="34"/>
      <c r="G38" s="169"/>
      <c r="H38" s="181">
        <v>33</v>
      </c>
      <c r="I38" s="182" t="str">
        <f t="shared" si="1"/>
        <v/>
      </c>
      <c r="J38" s="181" t="e">
        <f t="shared" si="5"/>
        <v>#NUM!</v>
      </c>
      <c r="K38" s="181" t="e">
        <f t="shared" si="2"/>
        <v>#NUM!</v>
      </c>
      <c r="L38" s="181"/>
      <c r="M38" s="183">
        <f t="shared" si="3"/>
        <v>0</v>
      </c>
    </row>
    <row r="39" spans="1:19" x14ac:dyDescent="0.25">
      <c r="A39" s="101">
        <f t="shared" si="4"/>
        <v>0</v>
      </c>
      <c r="B39" s="39" t="str">
        <f t="shared" si="0"/>
        <v/>
      </c>
      <c r="C39" s="40"/>
      <c r="D39" s="40"/>
      <c r="E39" s="40"/>
      <c r="F39" s="40"/>
      <c r="G39" s="169"/>
      <c r="H39" s="184">
        <v>34</v>
      </c>
      <c r="I39" s="185" t="str">
        <f t="shared" si="1"/>
        <v/>
      </c>
      <c r="J39" s="184" t="e">
        <f t="shared" si="5"/>
        <v>#NUM!</v>
      </c>
      <c r="K39" s="184" t="e">
        <f t="shared" si="2"/>
        <v>#NUM!</v>
      </c>
      <c r="L39" s="184"/>
      <c r="M39" s="186">
        <f t="shared" si="3"/>
        <v>0</v>
      </c>
    </row>
    <row r="40" spans="1:19" x14ac:dyDescent="0.25">
      <c r="A40" s="97">
        <f t="shared" si="4"/>
        <v>0</v>
      </c>
      <c r="B40" s="33" t="str">
        <f t="shared" si="0"/>
        <v/>
      </c>
      <c r="C40" s="34"/>
      <c r="D40" s="34"/>
      <c r="E40" s="34"/>
      <c r="F40" s="34"/>
      <c r="G40" s="169"/>
      <c r="H40" s="181">
        <v>35</v>
      </c>
      <c r="I40" s="182" t="str">
        <f t="shared" si="1"/>
        <v/>
      </c>
      <c r="J40" s="181" t="e">
        <f t="shared" si="5"/>
        <v>#NUM!</v>
      </c>
      <c r="K40" s="181" t="e">
        <f t="shared" si="2"/>
        <v>#NUM!</v>
      </c>
      <c r="L40" s="181"/>
      <c r="M40" s="183">
        <f t="shared" si="3"/>
        <v>0</v>
      </c>
    </row>
    <row r="41" spans="1:19" x14ac:dyDescent="0.25">
      <c r="A41" s="101">
        <f t="shared" si="4"/>
        <v>0</v>
      </c>
      <c r="B41" s="39" t="str">
        <f t="shared" si="0"/>
        <v/>
      </c>
      <c r="C41" s="40"/>
      <c r="D41" s="40"/>
      <c r="E41" s="40"/>
      <c r="F41" s="40"/>
      <c r="G41" s="169"/>
      <c r="H41" s="184">
        <v>36</v>
      </c>
      <c r="I41" s="185" t="str">
        <f t="shared" si="1"/>
        <v/>
      </c>
      <c r="J41" s="184" t="e">
        <f t="shared" si="5"/>
        <v>#NUM!</v>
      </c>
      <c r="K41" s="184" t="e">
        <f t="shared" si="2"/>
        <v>#NUM!</v>
      </c>
      <c r="L41" s="184"/>
      <c r="M41" s="186">
        <f t="shared" si="3"/>
        <v>0</v>
      </c>
      <c r="S41" s="196"/>
    </row>
    <row r="42" spans="1:19" x14ac:dyDescent="0.25">
      <c r="A42" s="97">
        <f t="shared" si="4"/>
        <v>0</v>
      </c>
      <c r="B42" s="33" t="str">
        <f t="shared" si="0"/>
        <v/>
      </c>
      <c r="C42" s="34"/>
      <c r="D42" s="34"/>
      <c r="E42" s="34"/>
      <c r="F42" s="34"/>
      <c r="G42" s="169"/>
      <c r="H42" s="181">
        <v>37</v>
      </c>
      <c r="I42" s="182" t="str">
        <f t="shared" si="1"/>
        <v/>
      </c>
      <c r="J42" s="181" t="e">
        <f t="shared" si="5"/>
        <v>#NUM!</v>
      </c>
      <c r="K42" s="181" t="e">
        <f t="shared" si="2"/>
        <v>#NUM!</v>
      </c>
      <c r="L42" s="181"/>
      <c r="M42" s="183">
        <f t="shared" si="3"/>
        <v>0</v>
      </c>
    </row>
    <row r="43" spans="1:19" x14ac:dyDescent="0.25">
      <c r="A43" s="101">
        <f t="shared" si="4"/>
        <v>0</v>
      </c>
      <c r="B43" s="39" t="str">
        <f t="shared" si="0"/>
        <v/>
      </c>
      <c r="C43" s="40"/>
      <c r="D43" s="40"/>
      <c r="E43" s="40"/>
      <c r="F43" s="40"/>
      <c r="G43" s="169"/>
      <c r="H43" s="184">
        <v>38</v>
      </c>
      <c r="I43" s="185" t="str">
        <f t="shared" si="1"/>
        <v/>
      </c>
      <c r="J43" s="184" t="e">
        <f t="shared" si="5"/>
        <v>#NUM!</v>
      </c>
      <c r="K43" s="184" t="e">
        <f t="shared" si="2"/>
        <v>#NUM!</v>
      </c>
      <c r="L43" s="184"/>
      <c r="M43" s="186">
        <f t="shared" si="3"/>
        <v>0</v>
      </c>
    </row>
    <row r="44" spans="1:19" x14ac:dyDescent="0.25">
      <c r="A44" s="97">
        <f t="shared" si="4"/>
        <v>0</v>
      </c>
      <c r="B44" s="33" t="str">
        <f t="shared" si="0"/>
        <v/>
      </c>
      <c r="C44" s="34"/>
      <c r="D44" s="34"/>
      <c r="E44" s="34"/>
      <c r="F44" s="34"/>
      <c r="G44" s="169"/>
      <c r="H44" s="181">
        <v>39</v>
      </c>
      <c r="I44" s="182" t="str">
        <f t="shared" si="1"/>
        <v/>
      </c>
      <c r="J44" s="181" t="e">
        <f t="shared" si="5"/>
        <v>#NUM!</v>
      </c>
      <c r="K44" s="181" t="e">
        <f t="shared" si="2"/>
        <v>#NUM!</v>
      </c>
      <c r="L44" s="181"/>
      <c r="M44" s="183">
        <f t="shared" si="3"/>
        <v>0</v>
      </c>
    </row>
    <row r="45" spans="1:19" x14ac:dyDescent="0.25">
      <c r="A45" s="101">
        <f t="shared" si="4"/>
        <v>0</v>
      </c>
      <c r="B45" s="39" t="str">
        <f t="shared" si="0"/>
        <v/>
      </c>
      <c r="C45" s="40"/>
      <c r="D45" s="40"/>
      <c r="E45" s="40"/>
      <c r="F45" s="40"/>
      <c r="G45" s="169"/>
      <c r="H45" s="184">
        <v>40</v>
      </c>
      <c r="I45" s="185" t="str">
        <f t="shared" si="1"/>
        <v/>
      </c>
      <c r="J45" s="184" t="e">
        <f t="shared" si="5"/>
        <v>#NUM!</v>
      </c>
      <c r="K45" s="184" t="e">
        <f t="shared" si="2"/>
        <v>#NUM!</v>
      </c>
      <c r="L45" s="184"/>
      <c r="M45" s="186">
        <f t="shared" si="3"/>
        <v>0</v>
      </c>
    </row>
    <row r="46" spans="1:19" x14ac:dyDescent="0.25">
      <c r="A46" s="97">
        <f t="shared" si="4"/>
        <v>0</v>
      </c>
      <c r="B46" s="33" t="str">
        <f t="shared" si="0"/>
        <v/>
      </c>
      <c r="C46" s="34"/>
      <c r="D46" s="34"/>
      <c r="E46" s="34"/>
      <c r="F46" s="34"/>
      <c r="G46" s="169"/>
      <c r="H46" s="181">
        <v>41</v>
      </c>
      <c r="I46" s="182" t="str">
        <f t="shared" si="1"/>
        <v/>
      </c>
      <c r="J46" s="181" t="e">
        <f t="shared" si="5"/>
        <v>#NUM!</v>
      </c>
      <c r="K46" s="181" t="e">
        <f t="shared" si="2"/>
        <v>#NUM!</v>
      </c>
      <c r="L46" s="181"/>
      <c r="M46" s="183">
        <f t="shared" si="3"/>
        <v>0</v>
      </c>
    </row>
    <row r="47" spans="1:19" x14ac:dyDescent="0.25">
      <c r="A47" s="101">
        <f t="shared" si="4"/>
        <v>0</v>
      </c>
      <c r="B47" s="39" t="str">
        <f t="shared" si="0"/>
        <v/>
      </c>
      <c r="C47" s="40"/>
      <c r="D47" s="40"/>
      <c r="E47" s="40"/>
      <c r="F47" s="40"/>
      <c r="G47" s="169"/>
      <c r="H47" s="184">
        <v>42</v>
      </c>
      <c r="I47" s="185" t="str">
        <f t="shared" si="1"/>
        <v/>
      </c>
      <c r="J47" s="184" t="e">
        <f t="shared" si="5"/>
        <v>#NUM!</v>
      </c>
      <c r="K47" s="184" t="e">
        <f t="shared" si="2"/>
        <v>#NUM!</v>
      </c>
      <c r="L47" s="184"/>
      <c r="M47" s="186">
        <f t="shared" si="3"/>
        <v>0</v>
      </c>
    </row>
    <row r="48" spans="1:19" x14ac:dyDescent="0.25">
      <c r="A48" s="97">
        <f t="shared" si="4"/>
        <v>0</v>
      </c>
      <c r="B48" s="33" t="str">
        <f t="shared" si="0"/>
        <v/>
      </c>
      <c r="C48" s="34"/>
      <c r="D48" s="34"/>
      <c r="E48" s="34"/>
      <c r="F48" s="34"/>
      <c r="G48" s="169"/>
      <c r="H48" s="181">
        <v>43</v>
      </c>
      <c r="I48" s="182" t="str">
        <f t="shared" si="1"/>
        <v/>
      </c>
      <c r="J48" s="181" t="e">
        <f t="shared" si="5"/>
        <v>#NUM!</v>
      </c>
      <c r="K48" s="181" t="e">
        <f t="shared" si="2"/>
        <v>#NUM!</v>
      </c>
      <c r="L48" s="181"/>
      <c r="M48" s="183">
        <f t="shared" si="3"/>
        <v>0</v>
      </c>
    </row>
    <row r="49" spans="1:38" x14ac:dyDescent="0.25">
      <c r="A49" s="101">
        <f t="shared" si="4"/>
        <v>0</v>
      </c>
      <c r="B49" s="39" t="str">
        <f t="shared" si="0"/>
        <v/>
      </c>
      <c r="C49" s="40"/>
      <c r="D49" s="40"/>
      <c r="E49" s="40"/>
      <c r="F49" s="40"/>
      <c r="G49" s="169"/>
      <c r="H49" s="184">
        <v>44</v>
      </c>
      <c r="I49" s="185" t="str">
        <f t="shared" si="1"/>
        <v/>
      </c>
      <c r="J49" s="184" t="e">
        <f t="shared" si="5"/>
        <v>#NUM!</v>
      </c>
      <c r="K49" s="184" t="e">
        <f t="shared" si="2"/>
        <v>#NUM!</v>
      </c>
      <c r="L49" s="184"/>
      <c r="M49" s="186">
        <f t="shared" si="3"/>
        <v>0</v>
      </c>
    </row>
    <row r="50" spans="1:38" x14ac:dyDescent="0.25">
      <c r="A50" s="97">
        <f t="shared" si="4"/>
        <v>0</v>
      </c>
      <c r="B50" s="33" t="str">
        <f t="shared" si="0"/>
        <v/>
      </c>
      <c r="C50" s="34"/>
      <c r="D50" s="34"/>
      <c r="E50" s="34"/>
      <c r="F50" s="34"/>
      <c r="G50" s="169"/>
      <c r="H50" s="181">
        <v>45</v>
      </c>
      <c r="I50" s="182" t="str">
        <f t="shared" si="1"/>
        <v/>
      </c>
      <c r="J50" s="181" t="e">
        <f t="shared" si="5"/>
        <v>#NUM!</v>
      </c>
      <c r="K50" s="181" t="e">
        <f t="shared" si="2"/>
        <v>#NUM!</v>
      </c>
      <c r="L50" s="181"/>
      <c r="M50" s="183">
        <f t="shared" si="3"/>
        <v>0</v>
      </c>
    </row>
    <row r="51" spans="1:38" x14ac:dyDescent="0.25">
      <c r="A51" s="101">
        <f t="shared" si="4"/>
        <v>0</v>
      </c>
      <c r="B51" s="39" t="str">
        <f t="shared" si="0"/>
        <v/>
      </c>
      <c r="C51" s="40"/>
      <c r="D51" s="40"/>
      <c r="E51" s="40"/>
      <c r="F51" s="40"/>
      <c r="G51" s="169"/>
      <c r="H51" s="184">
        <v>46</v>
      </c>
      <c r="I51" s="185" t="str">
        <f t="shared" si="1"/>
        <v/>
      </c>
      <c r="J51" s="184" t="e">
        <f t="shared" si="5"/>
        <v>#NUM!</v>
      </c>
      <c r="K51" s="184" t="e">
        <f t="shared" si="2"/>
        <v>#NUM!</v>
      </c>
      <c r="L51" s="184"/>
      <c r="M51" s="186">
        <f t="shared" si="3"/>
        <v>0</v>
      </c>
    </row>
    <row r="52" spans="1:38" x14ac:dyDescent="0.25">
      <c r="A52" s="97">
        <f t="shared" si="4"/>
        <v>0</v>
      </c>
      <c r="B52" s="33" t="str">
        <f t="shared" si="0"/>
        <v/>
      </c>
      <c r="C52" s="34"/>
      <c r="D52" s="34"/>
      <c r="E52" s="34"/>
      <c r="F52" s="34"/>
      <c r="G52" s="169"/>
      <c r="H52" s="181">
        <v>47</v>
      </c>
      <c r="I52" s="182" t="str">
        <f t="shared" si="1"/>
        <v/>
      </c>
      <c r="J52" s="181" t="e">
        <f t="shared" si="5"/>
        <v>#NUM!</v>
      </c>
      <c r="K52" s="181" t="e">
        <f t="shared" si="2"/>
        <v>#NUM!</v>
      </c>
      <c r="L52" s="181"/>
      <c r="M52" s="183">
        <f t="shared" si="3"/>
        <v>0</v>
      </c>
    </row>
    <row r="53" spans="1:38" x14ac:dyDescent="0.25">
      <c r="A53" s="101">
        <f t="shared" si="4"/>
        <v>0</v>
      </c>
      <c r="B53" s="39" t="str">
        <f t="shared" si="0"/>
        <v/>
      </c>
      <c r="C53" s="40"/>
      <c r="D53" s="40"/>
      <c r="E53" s="40"/>
      <c r="F53" s="40"/>
      <c r="G53" s="169"/>
      <c r="H53" s="184">
        <v>48</v>
      </c>
      <c r="I53" s="185" t="str">
        <f t="shared" si="1"/>
        <v/>
      </c>
      <c r="J53" s="184" t="e">
        <f t="shared" si="5"/>
        <v>#NUM!</v>
      </c>
      <c r="K53" s="184" t="e">
        <f t="shared" si="2"/>
        <v>#NUM!</v>
      </c>
      <c r="L53" s="184"/>
      <c r="M53" s="186">
        <f t="shared" si="3"/>
        <v>0</v>
      </c>
    </row>
    <row r="54" spans="1:38" x14ac:dyDescent="0.25">
      <c r="A54" s="97">
        <f t="shared" si="4"/>
        <v>0</v>
      </c>
      <c r="B54" s="33" t="str">
        <f t="shared" si="0"/>
        <v/>
      </c>
      <c r="C54" s="34"/>
      <c r="D54" s="34"/>
      <c r="E54" s="34"/>
      <c r="F54" s="34"/>
      <c r="G54" s="169"/>
      <c r="H54" s="181">
        <v>49</v>
      </c>
      <c r="I54" s="182" t="str">
        <f t="shared" si="1"/>
        <v/>
      </c>
      <c r="J54" s="181" t="e">
        <f t="shared" si="5"/>
        <v>#NUM!</v>
      </c>
      <c r="K54" s="181" t="e">
        <f t="shared" si="2"/>
        <v>#NUM!</v>
      </c>
      <c r="L54" s="181"/>
      <c r="M54" s="183">
        <f t="shared" si="3"/>
        <v>0</v>
      </c>
    </row>
    <row r="55" spans="1:38" x14ac:dyDescent="0.25">
      <c r="A55" s="101">
        <f t="shared" si="4"/>
        <v>0</v>
      </c>
      <c r="B55" s="39" t="str">
        <f t="shared" si="0"/>
        <v/>
      </c>
      <c r="C55" s="40"/>
      <c r="D55" s="40"/>
      <c r="E55" s="40"/>
      <c r="F55" s="40"/>
      <c r="G55" s="169"/>
      <c r="H55" s="184">
        <v>50</v>
      </c>
      <c r="I55" s="185" t="str">
        <f t="shared" si="1"/>
        <v/>
      </c>
      <c r="J55" s="184" t="e">
        <f t="shared" si="5"/>
        <v>#NUM!</v>
      </c>
      <c r="K55" s="184" t="e">
        <f t="shared" si="2"/>
        <v>#NUM!</v>
      </c>
      <c r="L55" s="184"/>
      <c r="M55" s="186">
        <f t="shared" si="3"/>
        <v>0</v>
      </c>
    </row>
    <row r="56" spans="1:38" x14ac:dyDescent="0.25">
      <c r="A56" s="97">
        <f t="shared" si="4"/>
        <v>0</v>
      </c>
      <c r="B56" s="33" t="str">
        <f t="shared" si="0"/>
        <v/>
      </c>
      <c r="C56" s="34"/>
      <c r="D56" s="34"/>
      <c r="E56" s="34"/>
      <c r="F56" s="34"/>
      <c r="G56" s="169"/>
      <c r="H56" s="181">
        <v>51</v>
      </c>
      <c r="I56" s="182" t="str">
        <f t="shared" si="1"/>
        <v/>
      </c>
      <c r="J56" s="181" t="e">
        <f t="shared" si="5"/>
        <v>#NUM!</v>
      </c>
      <c r="K56" s="181" t="e">
        <f t="shared" si="2"/>
        <v>#NUM!</v>
      </c>
      <c r="L56" s="181"/>
      <c r="M56" s="183">
        <f t="shared" si="3"/>
        <v>0</v>
      </c>
    </row>
    <row r="57" spans="1:38" s="169" customFormat="1" x14ac:dyDescent="0.25">
      <c r="A57" s="101">
        <f t="shared" si="4"/>
        <v>0</v>
      </c>
      <c r="B57" s="39" t="str">
        <f t="shared" si="0"/>
        <v/>
      </c>
      <c r="C57" s="40"/>
      <c r="D57" s="40"/>
      <c r="E57" s="40"/>
      <c r="F57" s="40"/>
      <c r="H57" s="184">
        <v>52</v>
      </c>
      <c r="I57" s="185" t="str">
        <f t="shared" si="1"/>
        <v/>
      </c>
      <c r="J57" s="184" t="e">
        <f t="shared" si="5"/>
        <v>#NUM!</v>
      </c>
      <c r="K57" s="184" t="e">
        <f t="shared" si="2"/>
        <v>#NUM!</v>
      </c>
      <c r="L57" s="184"/>
      <c r="M57" s="186">
        <f t="shared" si="3"/>
        <v>0</v>
      </c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</row>
    <row r="58" spans="1:38" s="169" customFormat="1" x14ac:dyDescent="0.25">
      <c r="A58" s="97">
        <f t="shared" si="4"/>
        <v>0</v>
      </c>
      <c r="B58" s="33" t="str">
        <f t="shared" si="0"/>
        <v/>
      </c>
      <c r="C58" s="34"/>
      <c r="D58" s="34"/>
      <c r="E58" s="34"/>
      <c r="F58" s="34"/>
      <c r="H58" s="181">
        <v>53</v>
      </c>
      <c r="I58" s="182" t="str">
        <f t="shared" si="1"/>
        <v/>
      </c>
      <c r="J58" s="181" t="e">
        <f t="shared" si="5"/>
        <v>#NUM!</v>
      </c>
      <c r="K58" s="181" t="e">
        <f t="shared" si="2"/>
        <v>#NUM!</v>
      </c>
      <c r="L58" s="181"/>
      <c r="M58" s="183">
        <f t="shared" si="3"/>
        <v>0</v>
      </c>
      <c r="S58" s="174"/>
      <c r="T58" s="174"/>
      <c r="U58" s="174"/>
      <c r="V58" s="174"/>
      <c r="W58" s="174"/>
      <c r="X58" s="174"/>
      <c r="Y58" s="174"/>
      <c r="Z58" s="174"/>
      <c r="AA58" s="174"/>
      <c r="AB58" s="174"/>
      <c r="AC58" s="174"/>
      <c r="AD58" s="174"/>
      <c r="AE58" s="174"/>
      <c r="AF58" s="174"/>
      <c r="AG58" s="174"/>
      <c r="AH58" s="174"/>
      <c r="AI58" s="174"/>
      <c r="AJ58" s="174"/>
      <c r="AK58" s="174"/>
      <c r="AL58" s="174"/>
    </row>
    <row r="59" spans="1:38" s="169" customFormat="1" x14ac:dyDescent="0.25">
      <c r="A59" s="101">
        <f t="shared" si="4"/>
        <v>0</v>
      </c>
      <c r="B59" s="39" t="str">
        <f t="shared" si="0"/>
        <v/>
      </c>
      <c r="C59" s="40"/>
      <c r="D59" s="40"/>
      <c r="E59" s="40"/>
      <c r="F59" s="40"/>
      <c r="H59" s="184">
        <v>54</v>
      </c>
      <c r="I59" s="185" t="str">
        <f t="shared" si="1"/>
        <v/>
      </c>
      <c r="J59" s="184" t="e">
        <f t="shared" si="5"/>
        <v>#NUM!</v>
      </c>
      <c r="K59" s="184" t="e">
        <f t="shared" si="2"/>
        <v>#NUM!</v>
      </c>
      <c r="L59" s="184"/>
      <c r="M59" s="186">
        <f t="shared" si="3"/>
        <v>0</v>
      </c>
      <c r="S59" s="174"/>
      <c r="T59" s="174"/>
      <c r="U59" s="174"/>
      <c r="V59" s="174"/>
      <c r="W59" s="174"/>
      <c r="X59" s="174"/>
      <c r="Y59" s="174"/>
      <c r="Z59" s="174"/>
      <c r="AA59" s="174"/>
      <c r="AB59" s="174"/>
      <c r="AC59" s="174"/>
      <c r="AD59" s="174"/>
      <c r="AE59" s="174"/>
      <c r="AF59" s="174"/>
      <c r="AG59" s="174"/>
      <c r="AH59" s="174"/>
      <c r="AI59" s="174"/>
      <c r="AJ59" s="174"/>
      <c r="AK59" s="174"/>
      <c r="AL59" s="174"/>
    </row>
    <row r="60" spans="1:38" s="169" customFormat="1" x14ac:dyDescent="0.25">
      <c r="A60" s="97">
        <f t="shared" si="4"/>
        <v>0</v>
      </c>
      <c r="B60" s="33" t="str">
        <f t="shared" si="0"/>
        <v/>
      </c>
      <c r="C60" s="34"/>
      <c r="D60" s="34"/>
      <c r="E60" s="34"/>
      <c r="F60" s="34"/>
      <c r="H60" s="181">
        <v>55</v>
      </c>
      <c r="I60" s="182" t="str">
        <f t="shared" si="1"/>
        <v/>
      </c>
      <c r="J60" s="181" t="e">
        <f t="shared" si="5"/>
        <v>#NUM!</v>
      </c>
      <c r="K60" s="181" t="e">
        <f t="shared" si="2"/>
        <v>#NUM!</v>
      </c>
      <c r="L60" s="181"/>
      <c r="M60" s="183">
        <f t="shared" si="3"/>
        <v>0</v>
      </c>
      <c r="S60" s="174"/>
      <c r="T60" s="174"/>
      <c r="U60" s="174"/>
      <c r="V60" s="174"/>
      <c r="W60" s="174"/>
      <c r="X60" s="174"/>
      <c r="Y60" s="174"/>
      <c r="Z60" s="174"/>
      <c r="AA60" s="174"/>
      <c r="AB60" s="174"/>
      <c r="AC60" s="174"/>
      <c r="AD60" s="174"/>
      <c r="AE60" s="174"/>
      <c r="AF60" s="174"/>
      <c r="AG60" s="174"/>
      <c r="AH60" s="174"/>
      <c r="AI60" s="174"/>
      <c r="AJ60" s="174"/>
      <c r="AK60" s="174"/>
      <c r="AL60" s="174"/>
    </row>
    <row r="61" spans="1:38" s="169" customFormat="1" x14ac:dyDescent="0.25">
      <c r="A61" s="101">
        <f t="shared" si="4"/>
        <v>0</v>
      </c>
      <c r="B61" s="39" t="str">
        <f t="shared" si="0"/>
        <v/>
      </c>
      <c r="C61" s="40"/>
      <c r="D61" s="40"/>
      <c r="E61" s="40"/>
      <c r="F61" s="40"/>
      <c r="H61" s="184">
        <v>56</v>
      </c>
      <c r="I61" s="185" t="str">
        <f t="shared" si="1"/>
        <v/>
      </c>
      <c r="J61" s="184" t="e">
        <f t="shared" si="5"/>
        <v>#NUM!</v>
      </c>
      <c r="K61" s="184" t="e">
        <f t="shared" si="2"/>
        <v>#NUM!</v>
      </c>
      <c r="L61" s="184"/>
      <c r="M61" s="186">
        <f t="shared" si="3"/>
        <v>0</v>
      </c>
      <c r="S61" s="174"/>
      <c r="T61" s="174"/>
      <c r="U61" s="174"/>
      <c r="V61" s="174"/>
      <c r="W61" s="174"/>
      <c r="X61" s="174"/>
      <c r="Y61" s="174"/>
      <c r="Z61" s="174"/>
      <c r="AA61" s="174"/>
      <c r="AB61" s="174"/>
      <c r="AC61" s="174"/>
      <c r="AD61" s="174"/>
      <c r="AE61" s="174"/>
      <c r="AF61" s="174"/>
      <c r="AG61" s="174"/>
      <c r="AH61" s="174"/>
      <c r="AI61" s="174"/>
      <c r="AJ61" s="174"/>
      <c r="AK61" s="174"/>
      <c r="AL61" s="174"/>
    </row>
    <row r="62" spans="1:38" s="169" customFormat="1" x14ac:dyDescent="0.25">
      <c r="A62" s="97">
        <f t="shared" si="4"/>
        <v>0</v>
      </c>
      <c r="B62" s="33" t="str">
        <f t="shared" si="0"/>
        <v/>
      </c>
      <c r="C62" s="34"/>
      <c r="D62" s="34"/>
      <c r="E62" s="34"/>
      <c r="F62" s="34"/>
      <c r="H62" s="181">
        <v>57</v>
      </c>
      <c r="I62" s="182" t="str">
        <f t="shared" si="1"/>
        <v/>
      </c>
      <c r="J62" s="181" t="e">
        <f t="shared" si="5"/>
        <v>#NUM!</v>
      </c>
      <c r="K62" s="181" t="e">
        <f t="shared" si="2"/>
        <v>#NUM!</v>
      </c>
      <c r="L62" s="181"/>
      <c r="M62" s="183">
        <f t="shared" si="3"/>
        <v>0</v>
      </c>
      <c r="S62" s="174"/>
      <c r="T62" s="174"/>
      <c r="U62" s="174"/>
      <c r="V62" s="174"/>
      <c r="W62" s="174"/>
      <c r="X62" s="174"/>
      <c r="Y62" s="174"/>
      <c r="Z62" s="174"/>
      <c r="AA62" s="174"/>
      <c r="AB62" s="174"/>
      <c r="AC62" s="174"/>
      <c r="AD62" s="174"/>
      <c r="AE62" s="174"/>
      <c r="AF62" s="174"/>
      <c r="AG62" s="174"/>
      <c r="AH62" s="174"/>
      <c r="AI62" s="174"/>
      <c r="AJ62" s="174"/>
      <c r="AK62" s="174"/>
      <c r="AL62" s="174"/>
    </row>
    <row r="63" spans="1:38" s="169" customFormat="1" x14ac:dyDescent="0.25">
      <c r="A63" s="101">
        <f t="shared" si="4"/>
        <v>0</v>
      </c>
      <c r="B63" s="39" t="str">
        <f t="shared" si="0"/>
        <v/>
      </c>
      <c r="C63" s="40"/>
      <c r="D63" s="40"/>
      <c r="E63" s="40"/>
      <c r="F63" s="40"/>
      <c r="H63" s="184">
        <v>58</v>
      </c>
      <c r="I63" s="185" t="str">
        <f t="shared" si="1"/>
        <v/>
      </c>
      <c r="J63" s="184" t="e">
        <f t="shared" si="5"/>
        <v>#NUM!</v>
      </c>
      <c r="K63" s="184" t="e">
        <f t="shared" si="2"/>
        <v>#NUM!</v>
      </c>
      <c r="L63" s="184"/>
      <c r="M63" s="186">
        <f t="shared" si="3"/>
        <v>0</v>
      </c>
      <c r="S63" s="174"/>
      <c r="T63" s="174"/>
      <c r="U63" s="174"/>
      <c r="V63" s="174"/>
      <c r="W63" s="174"/>
      <c r="X63" s="174"/>
      <c r="Y63" s="174"/>
      <c r="Z63" s="174"/>
      <c r="AA63" s="174"/>
      <c r="AB63" s="174"/>
      <c r="AC63" s="174"/>
      <c r="AD63" s="174"/>
      <c r="AE63" s="174"/>
      <c r="AF63" s="174"/>
      <c r="AG63" s="174"/>
      <c r="AH63" s="174"/>
      <c r="AI63" s="174"/>
      <c r="AJ63" s="174"/>
      <c r="AK63" s="174"/>
      <c r="AL63" s="174"/>
    </row>
    <row r="64" spans="1:38" s="169" customFormat="1" x14ac:dyDescent="0.25">
      <c r="A64" s="97">
        <f t="shared" si="4"/>
        <v>0</v>
      </c>
      <c r="B64" s="33" t="str">
        <f t="shared" si="0"/>
        <v/>
      </c>
      <c r="C64" s="34"/>
      <c r="D64" s="34"/>
      <c r="E64" s="34"/>
      <c r="F64" s="34"/>
      <c r="H64" s="181">
        <v>59</v>
      </c>
      <c r="I64" s="182" t="str">
        <f t="shared" si="1"/>
        <v/>
      </c>
      <c r="J64" s="181" t="e">
        <f t="shared" si="5"/>
        <v>#NUM!</v>
      </c>
      <c r="K64" s="181" t="e">
        <f t="shared" si="2"/>
        <v>#NUM!</v>
      </c>
      <c r="L64" s="181"/>
      <c r="M64" s="183">
        <f t="shared" si="3"/>
        <v>0</v>
      </c>
      <c r="S64" s="174"/>
      <c r="T64" s="174"/>
      <c r="U64" s="174"/>
      <c r="V64" s="174"/>
      <c r="W64" s="174"/>
      <c r="X64" s="174"/>
      <c r="Y64" s="174"/>
      <c r="Z64" s="174"/>
      <c r="AA64" s="174"/>
      <c r="AB64" s="174"/>
      <c r="AC64" s="174"/>
      <c r="AD64" s="174"/>
      <c r="AE64" s="174"/>
      <c r="AF64" s="174"/>
      <c r="AG64" s="174"/>
      <c r="AH64" s="174"/>
      <c r="AI64" s="174"/>
      <c r="AJ64" s="174"/>
      <c r="AK64" s="174"/>
      <c r="AL64" s="174"/>
    </row>
    <row r="65" spans="1:38" s="169" customFormat="1" x14ac:dyDescent="0.25">
      <c r="A65" s="101">
        <f t="shared" si="4"/>
        <v>0</v>
      </c>
      <c r="B65" s="39" t="str">
        <f t="shared" si="0"/>
        <v/>
      </c>
      <c r="C65" s="40"/>
      <c r="D65" s="40"/>
      <c r="E65" s="40"/>
      <c r="F65" s="40"/>
      <c r="H65" s="184">
        <v>60</v>
      </c>
      <c r="I65" s="185" t="str">
        <f t="shared" si="1"/>
        <v/>
      </c>
      <c r="J65" s="184" t="e">
        <f t="shared" si="5"/>
        <v>#NUM!</v>
      </c>
      <c r="K65" s="184" t="e">
        <f t="shared" si="2"/>
        <v>#NUM!</v>
      </c>
      <c r="L65" s="184"/>
      <c r="M65" s="186">
        <f t="shared" si="3"/>
        <v>0</v>
      </c>
      <c r="S65" s="174"/>
      <c r="T65" s="174"/>
      <c r="U65" s="174"/>
      <c r="V65" s="174"/>
      <c r="W65" s="174"/>
      <c r="X65" s="174"/>
      <c r="Y65" s="174"/>
      <c r="Z65" s="174"/>
      <c r="AA65" s="174"/>
      <c r="AB65" s="174"/>
      <c r="AC65" s="174"/>
      <c r="AD65" s="174"/>
      <c r="AE65" s="174"/>
      <c r="AF65" s="174"/>
      <c r="AG65" s="174"/>
      <c r="AH65" s="174"/>
      <c r="AI65" s="174"/>
      <c r="AJ65" s="174"/>
      <c r="AK65" s="174"/>
      <c r="AL65" s="174"/>
    </row>
    <row r="66" spans="1:38" s="169" customFormat="1" x14ac:dyDescent="0.25">
      <c r="A66" s="97">
        <f t="shared" si="4"/>
        <v>0</v>
      </c>
      <c r="B66" s="33" t="str">
        <f t="shared" si="0"/>
        <v/>
      </c>
      <c r="C66" s="34"/>
      <c r="D66" s="34"/>
      <c r="E66" s="34"/>
      <c r="F66" s="34"/>
      <c r="H66" s="181">
        <v>61</v>
      </c>
      <c r="I66" s="182" t="str">
        <f t="shared" si="1"/>
        <v/>
      </c>
      <c r="J66" s="181" t="e">
        <f t="shared" si="5"/>
        <v>#NUM!</v>
      </c>
      <c r="K66" s="181" t="e">
        <f t="shared" si="2"/>
        <v>#NUM!</v>
      </c>
      <c r="L66" s="181"/>
      <c r="M66" s="183">
        <f t="shared" si="3"/>
        <v>0</v>
      </c>
      <c r="S66" s="174"/>
      <c r="T66" s="174"/>
      <c r="U66" s="174"/>
      <c r="V66" s="174"/>
      <c r="W66" s="174"/>
      <c r="X66" s="174"/>
      <c r="Y66" s="174"/>
      <c r="Z66" s="174"/>
      <c r="AA66" s="174"/>
      <c r="AB66" s="174"/>
      <c r="AC66" s="174"/>
      <c r="AD66" s="174"/>
      <c r="AE66" s="174"/>
      <c r="AF66" s="174"/>
      <c r="AG66" s="174"/>
      <c r="AH66" s="174"/>
      <c r="AI66" s="174"/>
      <c r="AJ66" s="174"/>
      <c r="AK66" s="174"/>
      <c r="AL66" s="174"/>
    </row>
    <row r="67" spans="1:38" s="169" customFormat="1" x14ac:dyDescent="0.25">
      <c r="A67" s="101">
        <f t="shared" si="4"/>
        <v>0</v>
      </c>
      <c r="B67" s="39" t="str">
        <f t="shared" si="0"/>
        <v/>
      </c>
      <c r="C67" s="40"/>
      <c r="D67" s="40"/>
      <c r="E67" s="40"/>
      <c r="F67" s="40"/>
      <c r="H67" s="184">
        <v>62</v>
      </c>
      <c r="I67" s="185" t="str">
        <f t="shared" si="1"/>
        <v/>
      </c>
      <c r="J67" s="184" t="e">
        <f t="shared" si="5"/>
        <v>#NUM!</v>
      </c>
      <c r="K67" s="184" t="e">
        <f t="shared" si="2"/>
        <v>#NUM!</v>
      </c>
      <c r="L67" s="184"/>
      <c r="M67" s="186">
        <f t="shared" si="3"/>
        <v>0</v>
      </c>
      <c r="S67" s="174"/>
      <c r="T67" s="174"/>
      <c r="U67" s="174"/>
      <c r="V67" s="174"/>
      <c r="W67" s="174"/>
      <c r="X67" s="174"/>
      <c r="Y67" s="174"/>
      <c r="Z67" s="174"/>
      <c r="AA67" s="174"/>
      <c r="AB67" s="174"/>
      <c r="AC67" s="174"/>
      <c r="AD67" s="174"/>
      <c r="AE67" s="174"/>
      <c r="AF67" s="174"/>
      <c r="AG67" s="174"/>
      <c r="AH67" s="174"/>
      <c r="AI67" s="174"/>
      <c r="AJ67" s="174"/>
      <c r="AK67" s="174"/>
      <c r="AL67" s="174"/>
    </row>
    <row r="68" spans="1:38" s="169" customFormat="1" x14ac:dyDescent="0.25">
      <c r="A68" s="97">
        <f t="shared" si="4"/>
        <v>0</v>
      </c>
      <c r="B68" s="33" t="str">
        <f t="shared" si="0"/>
        <v/>
      </c>
      <c r="C68" s="34"/>
      <c r="D68" s="34"/>
      <c r="E68" s="34"/>
      <c r="F68" s="34"/>
      <c r="H68" s="181">
        <v>63</v>
      </c>
      <c r="I68" s="182" t="str">
        <f t="shared" si="1"/>
        <v/>
      </c>
      <c r="J68" s="181" t="e">
        <f t="shared" si="5"/>
        <v>#NUM!</v>
      </c>
      <c r="K68" s="181" t="e">
        <f t="shared" si="2"/>
        <v>#NUM!</v>
      </c>
      <c r="L68" s="181"/>
      <c r="M68" s="183">
        <f t="shared" si="3"/>
        <v>0</v>
      </c>
      <c r="S68" s="174"/>
      <c r="T68" s="174"/>
      <c r="U68" s="174"/>
      <c r="V68" s="174"/>
      <c r="W68" s="174"/>
      <c r="X68" s="174"/>
      <c r="Y68" s="174"/>
      <c r="Z68" s="174"/>
      <c r="AA68" s="174"/>
      <c r="AB68" s="174"/>
      <c r="AC68" s="174"/>
      <c r="AD68" s="174"/>
      <c r="AE68" s="174"/>
      <c r="AF68" s="174"/>
      <c r="AG68" s="174"/>
      <c r="AH68" s="174"/>
      <c r="AI68" s="174"/>
      <c r="AJ68" s="174"/>
      <c r="AK68" s="174"/>
      <c r="AL68" s="174"/>
    </row>
    <row r="69" spans="1:38" s="169" customFormat="1" x14ac:dyDescent="0.25">
      <c r="A69" s="101">
        <f t="shared" si="4"/>
        <v>0</v>
      </c>
      <c r="B69" s="39" t="str">
        <f t="shared" si="0"/>
        <v/>
      </c>
      <c r="C69" s="40"/>
      <c r="D69" s="40"/>
      <c r="E69" s="40"/>
      <c r="F69" s="40"/>
      <c r="H69" s="184">
        <v>64</v>
      </c>
      <c r="I69" s="185" t="str">
        <f t="shared" si="1"/>
        <v/>
      </c>
      <c r="J69" s="184" t="e">
        <f t="shared" si="5"/>
        <v>#NUM!</v>
      </c>
      <c r="K69" s="184" t="e">
        <f t="shared" si="2"/>
        <v>#NUM!</v>
      </c>
      <c r="L69" s="184"/>
      <c r="M69" s="186">
        <f t="shared" si="3"/>
        <v>0</v>
      </c>
      <c r="S69" s="174"/>
      <c r="T69" s="174"/>
      <c r="U69" s="17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174"/>
      <c r="AI69" s="174"/>
      <c r="AJ69" s="174"/>
      <c r="AK69" s="174"/>
      <c r="AL69" s="174"/>
    </row>
    <row r="70" spans="1:38" s="169" customFormat="1" x14ac:dyDescent="0.25">
      <c r="A70" s="97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81">
        <v>65</v>
      </c>
      <c r="I70" s="182" t="str">
        <f t="shared" ref="I70:I133" si="7">IF(H70&lt;$H$2+1,($I$2-($I$2-1)*(LOG(H70)/LOG($H$2))),"")</f>
        <v/>
      </c>
      <c r="J70" s="181" t="e">
        <f t="shared" si="5"/>
        <v>#NUM!</v>
      </c>
      <c r="K70" s="181" t="e">
        <f t="shared" ref="K70:K133" si="8">J70*$J$2</f>
        <v>#NUM!</v>
      </c>
      <c r="L70" s="181"/>
      <c r="M70" s="183">
        <f t="shared" ref="M70:M133" si="9">IF(I70&lt;&gt;"",K70+I70+L70,0)</f>
        <v>0</v>
      </c>
      <c r="S70" s="174"/>
      <c r="T70" s="174"/>
      <c r="U70" s="174"/>
      <c r="V70" s="174"/>
      <c r="W70" s="174"/>
      <c r="X70" s="174"/>
      <c r="Y70" s="174"/>
      <c r="Z70" s="174"/>
      <c r="AA70" s="174"/>
      <c r="AB70" s="174"/>
      <c r="AC70" s="174"/>
      <c r="AD70" s="174"/>
      <c r="AE70" s="174"/>
      <c r="AF70" s="174"/>
      <c r="AG70" s="174"/>
      <c r="AH70" s="174"/>
      <c r="AI70" s="174"/>
      <c r="AJ70" s="174"/>
      <c r="AK70" s="174"/>
      <c r="AL70" s="174"/>
    </row>
    <row r="71" spans="1:38" s="169" customFormat="1" x14ac:dyDescent="0.25">
      <c r="A71" s="101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84">
        <v>66</v>
      </c>
      <c r="I71" s="185" t="str">
        <f t="shared" si="7"/>
        <v/>
      </c>
      <c r="J71" s="184" t="e">
        <f t="shared" ref="J71:J134" si="11">INT(LOG($H$2,2))-ROUNDUP(LOG(H71,2),0)+IF(OR($H$2=1,$H$2=2,$H$2=4,$H$2=8,$H$2=16,$H$2=32,$H$2=64,$H$2=128,$H$2=256),0,1)</f>
        <v>#NUM!</v>
      </c>
      <c r="K71" s="184" t="e">
        <f t="shared" si="8"/>
        <v>#NUM!</v>
      </c>
      <c r="L71" s="184"/>
      <c r="M71" s="186">
        <f t="shared" si="9"/>
        <v>0</v>
      </c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74"/>
      <c r="AL71" s="174"/>
    </row>
    <row r="72" spans="1:38" s="169" customFormat="1" x14ac:dyDescent="0.25">
      <c r="A72" s="97">
        <f t="shared" si="10"/>
        <v>0</v>
      </c>
      <c r="B72" s="33" t="str">
        <f t="shared" si="6"/>
        <v/>
      </c>
      <c r="C72" s="34"/>
      <c r="D72" s="34"/>
      <c r="E72" s="34"/>
      <c r="F72" s="34"/>
      <c r="H72" s="181">
        <v>67</v>
      </c>
      <c r="I72" s="182" t="str">
        <f t="shared" si="7"/>
        <v/>
      </c>
      <c r="J72" s="181" t="e">
        <f t="shared" si="11"/>
        <v>#NUM!</v>
      </c>
      <c r="K72" s="181" t="e">
        <f t="shared" si="8"/>
        <v>#NUM!</v>
      </c>
      <c r="L72" s="181"/>
      <c r="M72" s="183">
        <f t="shared" si="9"/>
        <v>0</v>
      </c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4"/>
    </row>
    <row r="73" spans="1:38" s="169" customFormat="1" x14ac:dyDescent="0.25">
      <c r="A73" s="101">
        <f t="shared" si="10"/>
        <v>0</v>
      </c>
      <c r="B73" s="39" t="str">
        <f t="shared" si="6"/>
        <v/>
      </c>
      <c r="C73" s="40"/>
      <c r="D73" s="40"/>
      <c r="E73" s="40"/>
      <c r="F73" s="40"/>
      <c r="H73" s="184">
        <v>68</v>
      </c>
      <c r="I73" s="185" t="str">
        <f t="shared" si="7"/>
        <v/>
      </c>
      <c r="J73" s="184" t="e">
        <f t="shared" si="11"/>
        <v>#NUM!</v>
      </c>
      <c r="K73" s="184" t="e">
        <f t="shared" si="8"/>
        <v>#NUM!</v>
      </c>
      <c r="L73" s="184"/>
      <c r="M73" s="186">
        <f t="shared" si="9"/>
        <v>0</v>
      </c>
      <c r="S73" s="174"/>
      <c r="T73" s="174"/>
      <c r="U73" s="174"/>
      <c r="V73" s="174"/>
      <c r="W73" s="174"/>
      <c r="X73" s="174"/>
      <c r="Y73" s="174"/>
      <c r="Z73" s="174"/>
      <c r="AA73" s="174"/>
      <c r="AB73" s="174"/>
      <c r="AC73" s="174"/>
      <c r="AD73" s="174"/>
      <c r="AE73" s="174"/>
      <c r="AF73" s="174"/>
      <c r="AG73" s="174"/>
      <c r="AH73" s="174"/>
      <c r="AI73" s="174"/>
      <c r="AJ73" s="174"/>
      <c r="AK73" s="174"/>
      <c r="AL73" s="174"/>
    </row>
    <row r="74" spans="1:38" s="169" customFormat="1" x14ac:dyDescent="0.25">
      <c r="A74" s="97">
        <f t="shared" si="10"/>
        <v>0</v>
      </c>
      <c r="B74" s="33" t="str">
        <f t="shared" si="6"/>
        <v/>
      </c>
      <c r="C74" s="34"/>
      <c r="D74" s="34"/>
      <c r="E74" s="34"/>
      <c r="F74" s="34"/>
      <c r="H74" s="181">
        <v>69</v>
      </c>
      <c r="I74" s="182" t="str">
        <f t="shared" si="7"/>
        <v/>
      </c>
      <c r="J74" s="181" t="e">
        <f t="shared" si="11"/>
        <v>#NUM!</v>
      </c>
      <c r="K74" s="181" t="e">
        <f t="shared" si="8"/>
        <v>#NUM!</v>
      </c>
      <c r="L74" s="181"/>
      <c r="M74" s="183">
        <f t="shared" si="9"/>
        <v>0</v>
      </c>
      <c r="S74" s="174"/>
      <c r="T74" s="174"/>
      <c r="U74" s="174"/>
      <c r="V74" s="174"/>
      <c r="W74" s="174"/>
      <c r="X74" s="174"/>
      <c r="Y74" s="174"/>
      <c r="Z74" s="174"/>
      <c r="AA74" s="174"/>
      <c r="AB74" s="174"/>
      <c r="AC74" s="174"/>
      <c r="AD74" s="174"/>
      <c r="AE74" s="174"/>
      <c r="AF74" s="174"/>
      <c r="AG74" s="174"/>
      <c r="AH74" s="174"/>
      <c r="AI74" s="174"/>
      <c r="AJ74" s="174"/>
      <c r="AK74" s="174"/>
      <c r="AL74" s="174"/>
    </row>
    <row r="75" spans="1:38" s="169" customFormat="1" x14ac:dyDescent="0.25">
      <c r="A75" s="101">
        <f t="shared" si="10"/>
        <v>0</v>
      </c>
      <c r="B75" s="39" t="str">
        <f t="shared" si="6"/>
        <v/>
      </c>
      <c r="C75" s="40"/>
      <c r="D75" s="40"/>
      <c r="E75" s="40"/>
      <c r="F75" s="40"/>
      <c r="H75" s="184">
        <v>70</v>
      </c>
      <c r="I75" s="185" t="str">
        <f t="shared" si="7"/>
        <v/>
      </c>
      <c r="J75" s="184" t="e">
        <f t="shared" si="11"/>
        <v>#NUM!</v>
      </c>
      <c r="K75" s="184" t="e">
        <f t="shared" si="8"/>
        <v>#NUM!</v>
      </c>
      <c r="L75" s="184"/>
      <c r="M75" s="186">
        <f t="shared" si="9"/>
        <v>0</v>
      </c>
      <c r="S75" s="174"/>
      <c r="T75" s="174"/>
      <c r="U75" s="174"/>
      <c r="V75" s="174"/>
      <c r="W75" s="174"/>
      <c r="X75" s="174"/>
      <c r="Y75" s="174"/>
      <c r="Z75" s="174"/>
      <c r="AA75" s="174"/>
      <c r="AB75" s="174"/>
      <c r="AC75" s="174"/>
      <c r="AD75" s="174"/>
      <c r="AE75" s="174"/>
      <c r="AF75" s="174"/>
      <c r="AG75" s="174"/>
      <c r="AH75" s="174"/>
      <c r="AI75" s="174"/>
      <c r="AJ75" s="174"/>
      <c r="AK75" s="174"/>
      <c r="AL75" s="174"/>
    </row>
    <row r="76" spans="1:38" s="169" customFormat="1" x14ac:dyDescent="0.25">
      <c r="A76" s="97">
        <f t="shared" si="10"/>
        <v>0</v>
      </c>
      <c r="B76" s="33" t="str">
        <f t="shared" si="6"/>
        <v/>
      </c>
      <c r="C76" s="34"/>
      <c r="D76" s="34"/>
      <c r="E76" s="34"/>
      <c r="F76" s="34"/>
      <c r="H76" s="181">
        <v>71</v>
      </c>
      <c r="I76" s="182" t="str">
        <f t="shared" si="7"/>
        <v/>
      </c>
      <c r="J76" s="181" t="e">
        <f t="shared" si="11"/>
        <v>#NUM!</v>
      </c>
      <c r="K76" s="181" t="e">
        <f t="shared" si="8"/>
        <v>#NUM!</v>
      </c>
      <c r="L76" s="181"/>
      <c r="M76" s="183">
        <f t="shared" si="9"/>
        <v>0</v>
      </c>
      <c r="S76" s="174"/>
      <c r="T76" s="174"/>
      <c r="U76" s="174"/>
      <c r="V76" s="174"/>
      <c r="W76" s="174"/>
      <c r="X76" s="174"/>
      <c r="Y76" s="174"/>
      <c r="Z76" s="174"/>
      <c r="AA76" s="174"/>
      <c r="AB76" s="174"/>
      <c r="AC76" s="174"/>
      <c r="AD76" s="174"/>
      <c r="AE76" s="174"/>
      <c r="AF76" s="174"/>
      <c r="AG76" s="174"/>
      <c r="AH76" s="174"/>
      <c r="AI76" s="174"/>
      <c r="AJ76" s="174"/>
      <c r="AK76" s="174"/>
      <c r="AL76" s="174"/>
    </row>
    <row r="77" spans="1:38" s="169" customFormat="1" x14ac:dyDescent="0.25">
      <c r="A77" s="101">
        <f t="shared" si="10"/>
        <v>0</v>
      </c>
      <c r="B77" s="39" t="str">
        <f t="shared" si="6"/>
        <v/>
      </c>
      <c r="C77" s="40"/>
      <c r="D77" s="40"/>
      <c r="E77" s="40"/>
      <c r="F77" s="40"/>
      <c r="H77" s="184">
        <v>72</v>
      </c>
      <c r="I77" s="185" t="str">
        <f t="shared" si="7"/>
        <v/>
      </c>
      <c r="J77" s="184" t="e">
        <f t="shared" si="11"/>
        <v>#NUM!</v>
      </c>
      <c r="K77" s="184" t="e">
        <f t="shared" si="8"/>
        <v>#NUM!</v>
      </c>
      <c r="L77" s="184"/>
      <c r="M77" s="186">
        <f t="shared" si="9"/>
        <v>0</v>
      </c>
      <c r="S77" s="174"/>
      <c r="T77" s="174"/>
      <c r="U77" s="174"/>
      <c r="V77" s="174"/>
      <c r="W77" s="174"/>
      <c r="X77" s="174"/>
      <c r="Y77" s="174"/>
      <c r="Z77" s="174"/>
      <c r="AA77" s="174"/>
      <c r="AB77" s="174"/>
      <c r="AC77" s="174"/>
      <c r="AD77" s="174"/>
      <c r="AE77" s="174"/>
      <c r="AF77" s="174"/>
      <c r="AG77" s="174"/>
      <c r="AH77" s="174"/>
      <c r="AI77" s="174"/>
      <c r="AJ77" s="174"/>
      <c r="AK77" s="174"/>
      <c r="AL77" s="174"/>
    </row>
    <row r="78" spans="1:38" s="169" customFormat="1" x14ac:dyDescent="0.25">
      <c r="A78" s="97">
        <f t="shared" si="10"/>
        <v>0</v>
      </c>
      <c r="B78" s="33" t="str">
        <f t="shared" si="6"/>
        <v/>
      </c>
      <c r="C78" s="34"/>
      <c r="D78" s="34"/>
      <c r="E78" s="34"/>
      <c r="F78" s="34"/>
      <c r="H78" s="181">
        <v>73</v>
      </c>
      <c r="I78" s="182" t="str">
        <f t="shared" si="7"/>
        <v/>
      </c>
      <c r="J78" s="181" t="e">
        <f t="shared" si="11"/>
        <v>#NUM!</v>
      </c>
      <c r="K78" s="181" t="e">
        <f t="shared" si="8"/>
        <v>#NUM!</v>
      </c>
      <c r="L78" s="181"/>
      <c r="M78" s="183">
        <f t="shared" si="9"/>
        <v>0</v>
      </c>
      <c r="S78" s="174"/>
      <c r="T78" s="174"/>
      <c r="U78" s="174"/>
      <c r="V78" s="174"/>
      <c r="W78" s="174"/>
      <c r="X78" s="174"/>
      <c r="Y78" s="174"/>
      <c r="Z78" s="174"/>
      <c r="AA78" s="174"/>
      <c r="AB78" s="174"/>
      <c r="AC78" s="174"/>
      <c r="AD78" s="174"/>
      <c r="AE78" s="174"/>
      <c r="AF78" s="174"/>
      <c r="AG78" s="174"/>
      <c r="AH78" s="174"/>
      <c r="AI78" s="174"/>
      <c r="AJ78" s="174"/>
      <c r="AK78" s="174"/>
      <c r="AL78" s="174"/>
    </row>
    <row r="79" spans="1:38" s="169" customFormat="1" x14ac:dyDescent="0.25">
      <c r="A79" s="101">
        <f t="shared" si="10"/>
        <v>0</v>
      </c>
      <c r="B79" s="39" t="str">
        <f t="shared" si="6"/>
        <v/>
      </c>
      <c r="C79" s="40"/>
      <c r="D79" s="40"/>
      <c r="E79" s="40"/>
      <c r="F79" s="40"/>
      <c r="H79" s="184">
        <v>74</v>
      </c>
      <c r="I79" s="185" t="str">
        <f t="shared" si="7"/>
        <v/>
      </c>
      <c r="J79" s="184" t="e">
        <f t="shared" si="11"/>
        <v>#NUM!</v>
      </c>
      <c r="K79" s="184" t="e">
        <f t="shared" si="8"/>
        <v>#NUM!</v>
      </c>
      <c r="L79" s="184"/>
      <c r="M79" s="186">
        <f t="shared" si="9"/>
        <v>0</v>
      </c>
      <c r="S79" s="174"/>
      <c r="T79" s="174"/>
      <c r="U79" s="174"/>
      <c r="V79" s="174"/>
      <c r="W79" s="174"/>
      <c r="X79" s="174"/>
      <c r="Y79" s="174"/>
      <c r="Z79" s="174"/>
      <c r="AA79" s="174"/>
      <c r="AB79" s="174"/>
      <c r="AC79" s="174"/>
      <c r="AD79" s="174"/>
      <c r="AE79" s="174"/>
      <c r="AF79" s="174"/>
      <c r="AG79" s="174"/>
      <c r="AH79" s="174"/>
      <c r="AI79" s="174"/>
      <c r="AJ79" s="174"/>
      <c r="AK79" s="174"/>
      <c r="AL79" s="174"/>
    </row>
    <row r="80" spans="1:38" s="169" customFormat="1" x14ac:dyDescent="0.25">
      <c r="A80" s="97">
        <f t="shared" si="10"/>
        <v>0</v>
      </c>
      <c r="B80" s="33" t="str">
        <f t="shared" si="6"/>
        <v/>
      </c>
      <c r="C80" s="34"/>
      <c r="D80" s="34"/>
      <c r="E80" s="34"/>
      <c r="F80" s="34"/>
      <c r="H80" s="181">
        <v>75</v>
      </c>
      <c r="I80" s="182" t="str">
        <f t="shared" si="7"/>
        <v/>
      </c>
      <c r="J80" s="181" t="e">
        <f t="shared" si="11"/>
        <v>#NUM!</v>
      </c>
      <c r="K80" s="181" t="e">
        <f t="shared" si="8"/>
        <v>#NUM!</v>
      </c>
      <c r="L80" s="181"/>
      <c r="M80" s="183">
        <f t="shared" si="9"/>
        <v>0</v>
      </c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</row>
    <row r="81" spans="1:38" s="169" customFormat="1" x14ac:dyDescent="0.25">
      <c r="A81" s="101">
        <f t="shared" si="10"/>
        <v>0</v>
      </c>
      <c r="B81" s="39" t="str">
        <f t="shared" si="6"/>
        <v/>
      </c>
      <c r="C81" s="40"/>
      <c r="D81" s="40"/>
      <c r="E81" s="40"/>
      <c r="F81" s="40"/>
      <c r="H81" s="184">
        <v>76</v>
      </c>
      <c r="I81" s="185" t="str">
        <f t="shared" si="7"/>
        <v/>
      </c>
      <c r="J81" s="184" t="e">
        <f t="shared" si="11"/>
        <v>#NUM!</v>
      </c>
      <c r="K81" s="184" t="e">
        <f t="shared" si="8"/>
        <v>#NUM!</v>
      </c>
      <c r="L81" s="184"/>
      <c r="M81" s="186">
        <f t="shared" si="9"/>
        <v>0</v>
      </c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</row>
    <row r="82" spans="1:38" s="169" customFormat="1" x14ac:dyDescent="0.25">
      <c r="A82" s="97">
        <f t="shared" si="10"/>
        <v>0</v>
      </c>
      <c r="B82" s="33" t="str">
        <f t="shared" si="6"/>
        <v/>
      </c>
      <c r="C82" s="34"/>
      <c r="D82" s="34"/>
      <c r="E82" s="34"/>
      <c r="F82" s="34"/>
      <c r="H82" s="181">
        <v>77</v>
      </c>
      <c r="I82" s="182" t="str">
        <f t="shared" si="7"/>
        <v/>
      </c>
      <c r="J82" s="181" t="e">
        <f t="shared" si="11"/>
        <v>#NUM!</v>
      </c>
      <c r="K82" s="181" t="e">
        <f t="shared" si="8"/>
        <v>#NUM!</v>
      </c>
      <c r="L82" s="181"/>
      <c r="M82" s="183">
        <f t="shared" si="9"/>
        <v>0</v>
      </c>
      <c r="S82" s="174"/>
      <c r="T82" s="174"/>
      <c r="U82" s="174"/>
      <c r="V82" s="174"/>
      <c r="W82" s="174"/>
      <c r="X82" s="174"/>
      <c r="Y82" s="174"/>
      <c r="Z82" s="174"/>
      <c r="AA82" s="174"/>
      <c r="AB82" s="174"/>
      <c r="AC82" s="174"/>
      <c r="AD82" s="174"/>
      <c r="AE82" s="174"/>
      <c r="AF82" s="174"/>
      <c r="AG82" s="174"/>
      <c r="AH82" s="174"/>
      <c r="AI82" s="174"/>
      <c r="AJ82" s="174"/>
      <c r="AK82" s="174"/>
      <c r="AL82" s="174"/>
    </row>
    <row r="83" spans="1:38" s="169" customFormat="1" x14ac:dyDescent="0.25">
      <c r="A83" s="101">
        <f t="shared" si="10"/>
        <v>0</v>
      </c>
      <c r="B83" s="39" t="str">
        <f t="shared" si="6"/>
        <v/>
      </c>
      <c r="C83" s="40"/>
      <c r="D83" s="40"/>
      <c r="E83" s="40"/>
      <c r="F83" s="40"/>
      <c r="H83" s="184">
        <v>78</v>
      </c>
      <c r="I83" s="185" t="str">
        <f t="shared" si="7"/>
        <v/>
      </c>
      <c r="J83" s="184" t="e">
        <f t="shared" si="11"/>
        <v>#NUM!</v>
      </c>
      <c r="K83" s="184" t="e">
        <f t="shared" si="8"/>
        <v>#NUM!</v>
      </c>
      <c r="L83" s="184"/>
      <c r="M83" s="186">
        <f t="shared" si="9"/>
        <v>0</v>
      </c>
      <c r="S83" s="174"/>
      <c r="T83" s="174"/>
      <c r="U83" s="174"/>
      <c r="V83" s="174"/>
      <c r="W83" s="174"/>
      <c r="X83" s="174"/>
      <c r="Y83" s="174"/>
      <c r="Z83" s="174"/>
      <c r="AA83" s="174"/>
      <c r="AB83" s="174"/>
      <c r="AC83" s="174"/>
      <c r="AD83" s="174"/>
      <c r="AE83" s="174"/>
      <c r="AF83" s="174"/>
      <c r="AG83" s="174"/>
      <c r="AH83" s="174"/>
      <c r="AI83" s="174"/>
      <c r="AJ83" s="174"/>
      <c r="AK83" s="174"/>
      <c r="AL83" s="174"/>
    </row>
    <row r="84" spans="1:38" s="169" customFormat="1" x14ac:dyDescent="0.25">
      <c r="A84" s="97">
        <f t="shared" si="10"/>
        <v>0</v>
      </c>
      <c r="B84" s="33" t="str">
        <f t="shared" si="6"/>
        <v/>
      </c>
      <c r="C84" s="34"/>
      <c r="D84" s="34"/>
      <c r="E84" s="34"/>
      <c r="F84" s="34"/>
      <c r="H84" s="181">
        <v>79</v>
      </c>
      <c r="I84" s="182" t="str">
        <f t="shared" si="7"/>
        <v/>
      </c>
      <c r="J84" s="181" t="e">
        <f t="shared" si="11"/>
        <v>#NUM!</v>
      </c>
      <c r="K84" s="181" t="e">
        <f t="shared" si="8"/>
        <v>#NUM!</v>
      </c>
      <c r="L84" s="181"/>
      <c r="M84" s="183">
        <f t="shared" si="9"/>
        <v>0</v>
      </c>
      <c r="S84" s="174"/>
      <c r="T84" s="174"/>
      <c r="U84" s="174"/>
      <c r="V84" s="174"/>
      <c r="W84" s="174"/>
      <c r="X84" s="174"/>
      <c r="Y84" s="174"/>
      <c r="Z84" s="174"/>
      <c r="AA84" s="174"/>
      <c r="AB84" s="174"/>
      <c r="AC84" s="174"/>
      <c r="AD84" s="174"/>
      <c r="AE84" s="174"/>
      <c r="AF84" s="174"/>
      <c r="AG84" s="174"/>
      <c r="AH84" s="174"/>
      <c r="AI84" s="174"/>
      <c r="AJ84" s="174"/>
      <c r="AK84" s="174"/>
      <c r="AL84" s="174"/>
    </row>
    <row r="85" spans="1:38" s="169" customFormat="1" x14ac:dyDescent="0.25">
      <c r="A85" s="101">
        <f t="shared" si="10"/>
        <v>0</v>
      </c>
      <c r="B85" s="39" t="str">
        <f t="shared" si="6"/>
        <v/>
      </c>
      <c r="C85" s="40"/>
      <c r="D85" s="40"/>
      <c r="E85" s="40"/>
      <c r="F85" s="40"/>
      <c r="H85" s="184">
        <v>80</v>
      </c>
      <c r="I85" s="185" t="str">
        <f t="shared" si="7"/>
        <v/>
      </c>
      <c r="J85" s="184" t="e">
        <f t="shared" si="11"/>
        <v>#NUM!</v>
      </c>
      <c r="K85" s="184" t="e">
        <f t="shared" si="8"/>
        <v>#NUM!</v>
      </c>
      <c r="L85" s="184"/>
      <c r="M85" s="186">
        <f t="shared" si="9"/>
        <v>0</v>
      </c>
      <c r="S85" s="174"/>
      <c r="T85" s="174"/>
      <c r="U85" s="174"/>
      <c r="V85" s="174"/>
      <c r="W85" s="174"/>
      <c r="X85" s="174"/>
      <c r="Y85" s="174"/>
      <c r="Z85" s="174"/>
      <c r="AA85" s="174"/>
      <c r="AB85" s="174"/>
      <c r="AC85" s="174"/>
      <c r="AD85" s="174"/>
      <c r="AE85" s="174"/>
      <c r="AF85" s="174"/>
      <c r="AG85" s="174"/>
      <c r="AH85" s="174"/>
      <c r="AI85" s="174"/>
      <c r="AJ85" s="174"/>
      <c r="AK85" s="174"/>
      <c r="AL85" s="174"/>
    </row>
    <row r="86" spans="1:38" s="169" customFormat="1" x14ac:dyDescent="0.25">
      <c r="A86" s="97">
        <f t="shared" si="10"/>
        <v>0</v>
      </c>
      <c r="B86" s="33" t="str">
        <f t="shared" si="6"/>
        <v/>
      </c>
      <c r="C86" s="34"/>
      <c r="D86" s="34"/>
      <c r="E86" s="34"/>
      <c r="F86" s="34"/>
      <c r="H86" s="181">
        <v>81</v>
      </c>
      <c r="I86" s="182" t="str">
        <f t="shared" si="7"/>
        <v/>
      </c>
      <c r="J86" s="181" t="e">
        <f t="shared" si="11"/>
        <v>#NUM!</v>
      </c>
      <c r="K86" s="181" t="e">
        <f t="shared" si="8"/>
        <v>#NUM!</v>
      </c>
      <c r="L86" s="181"/>
      <c r="M86" s="183">
        <f t="shared" si="9"/>
        <v>0</v>
      </c>
      <c r="S86" s="174"/>
      <c r="T86" s="174"/>
      <c r="U86" s="174"/>
      <c r="V86" s="174"/>
      <c r="W86" s="174"/>
      <c r="X86" s="174"/>
      <c r="Y86" s="174"/>
      <c r="Z86" s="174"/>
      <c r="AA86" s="174"/>
      <c r="AB86" s="174"/>
      <c r="AC86" s="174"/>
      <c r="AD86" s="174"/>
      <c r="AE86" s="174"/>
      <c r="AF86" s="174"/>
      <c r="AG86" s="174"/>
      <c r="AH86" s="174"/>
      <c r="AI86" s="174"/>
      <c r="AJ86" s="174"/>
      <c r="AK86" s="174"/>
      <c r="AL86" s="174"/>
    </row>
    <row r="87" spans="1:38" s="169" customFormat="1" x14ac:dyDescent="0.25">
      <c r="A87" s="101">
        <f t="shared" si="10"/>
        <v>0</v>
      </c>
      <c r="B87" s="39" t="str">
        <f t="shared" si="6"/>
        <v/>
      </c>
      <c r="C87" s="40"/>
      <c r="D87" s="40"/>
      <c r="E87" s="40"/>
      <c r="F87" s="40"/>
      <c r="H87" s="184">
        <v>82</v>
      </c>
      <c r="I87" s="185" t="str">
        <f t="shared" si="7"/>
        <v/>
      </c>
      <c r="J87" s="184" t="e">
        <f t="shared" si="11"/>
        <v>#NUM!</v>
      </c>
      <c r="K87" s="184" t="e">
        <f t="shared" si="8"/>
        <v>#NUM!</v>
      </c>
      <c r="L87" s="184"/>
      <c r="M87" s="186">
        <f t="shared" si="9"/>
        <v>0</v>
      </c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</row>
    <row r="88" spans="1:38" s="169" customFormat="1" x14ac:dyDescent="0.25">
      <c r="A88" s="97">
        <f t="shared" si="10"/>
        <v>0</v>
      </c>
      <c r="B88" s="33" t="str">
        <f t="shared" si="6"/>
        <v/>
      </c>
      <c r="C88" s="34"/>
      <c r="D88" s="34"/>
      <c r="E88" s="34"/>
      <c r="F88" s="34"/>
      <c r="H88" s="181">
        <v>83</v>
      </c>
      <c r="I88" s="182" t="str">
        <f t="shared" si="7"/>
        <v/>
      </c>
      <c r="J88" s="181" t="e">
        <f t="shared" si="11"/>
        <v>#NUM!</v>
      </c>
      <c r="K88" s="181" t="e">
        <f t="shared" si="8"/>
        <v>#NUM!</v>
      </c>
      <c r="L88" s="181"/>
      <c r="M88" s="183">
        <f t="shared" si="9"/>
        <v>0</v>
      </c>
      <c r="S88" s="174"/>
      <c r="T88" s="174"/>
      <c r="U88" s="174"/>
      <c r="V88" s="174"/>
      <c r="W88" s="174"/>
      <c r="X88" s="174"/>
      <c r="Y88" s="174"/>
      <c r="Z88" s="174"/>
      <c r="AA88" s="174"/>
      <c r="AB88" s="174"/>
      <c r="AC88" s="174"/>
      <c r="AD88" s="174"/>
      <c r="AE88" s="174"/>
      <c r="AF88" s="174"/>
      <c r="AG88" s="174"/>
      <c r="AH88" s="174"/>
      <c r="AI88" s="174"/>
      <c r="AJ88" s="174"/>
      <c r="AK88" s="174"/>
      <c r="AL88" s="174"/>
    </row>
    <row r="89" spans="1:38" s="169" customFormat="1" x14ac:dyDescent="0.25">
      <c r="A89" s="101">
        <f t="shared" si="10"/>
        <v>0</v>
      </c>
      <c r="B89" s="39" t="str">
        <f t="shared" si="6"/>
        <v/>
      </c>
      <c r="C89" s="40"/>
      <c r="D89" s="40"/>
      <c r="E89" s="40"/>
      <c r="F89" s="40"/>
      <c r="H89" s="184">
        <v>84</v>
      </c>
      <c r="I89" s="185" t="str">
        <f t="shared" si="7"/>
        <v/>
      </c>
      <c r="J89" s="184" t="e">
        <f t="shared" si="11"/>
        <v>#NUM!</v>
      </c>
      <c r="K89" s="184" t="e">
        <f t="shared" si="8"/>
        <v>#NUM!</v>
      </c>
      <c r="L89" s="184"/>
      <c r="M89" s="186">
        <f t="shared" si="9"/>
        <v>0</v>
      </c>
      <c r="S89" s="174"/>
      <c r="T89" s="174"/>
      <c r="U89" s="174"/>
      <c r="V89" s="174"/>
      <c r="W89" s="174"/>
      <c r="X89" s="174"/>
      <c r="Y89" s="174"/>
      <c r="Z89" s="174"/>
      <c r="AA89" s="174"/>
      <c r="AB89" s="174"/>
      <c r="AC89" s="174"/>
      <c r="AD89" s="174"/>
      <c r="AE89" s="174"/>
      <c r="AF89" s="174"/>
      <c r="AG89" s="174"/>
      <c r="AH89" s="174"/>
      <c r="AI89" s="174"/>
      <c r="AJ89" s="174"/>
      <c r="AK89" s="174"/>
      <c r="AL89" s="174"/>
    </row>
    <row r="90" spans="1:38" s="169" customFormat="1" x14ac:dyDescent="0.25">
      <c r="A90" s="97">
        <f t="shared" si="10"/>
        <v>0</v>
      </c>
      <c r="B90" s="33" t="str">
        <f t="shared" si="6"/>
        <v/>
      </c>
      <c r="C90" s="34"/>
      <c r="D90" s="34"/>
      <c r="E90" s="34"/>
      <c r="F90" s="34"/>
      <c r="H90" s="181">
        <v>85</v>
      </c>
      <c r="I90" s="182" t="str">
        <f t="shared" si="7"/>
        <v/>
      </c>
      <c r="J90" s="181" t="e">
        <f t="shared" si="11"/>
        <v>#NUM!</v>
      </c>
      <c r="K90" s="181" t="e">
        <f t="shared" si="8"/>
        <v>#NUM!</v>
      </c>
      <c r="L90" s="181"/>
      <c r="M90" s="183">
        <f t="shared" si="9"/>
        <v>0</v>
      </c>
      <c r="S90" s="174"/>
      <c r="T90" s="174"/>
      <c r="U90" s="174"/>
      <c r="V90" s="174"/>
      <c r="W90" s="174"/>
      <c r="X90" s="174"/>
      <c r="Y90" s="174"/>
      <c r="Z90" s="174"/>
      <c r="AA90" s="174"/>
      <c r="AB90" s="174"/>
      <c r="AC90" s="174"/>
      <c r="AD90" s="174"/>
      <c r="AE90" s="174"/>
      <c r="AF90" s="174"/>
      <c r="AG90" s="174"/>
      <c r="AH90" s="174"/>
      <c r="AI90" s="174"/>
      <c r="AJ90" s="174"/>
      <c r="AK90" s="174"/>
      <c r="AL90" s="174"/>
    </row>
    <row r="91" spans="1:38" s="169" customFormat="1" x14ac:dyDescent="0.25">
      <c r="A91" s="101">
        <f t="shared" si="10"/>
        <v>0</v>
      </c>
      <c r="B91" s="39" t="str">
        <f t="shared" si="6"/>
        <v/>
      </c>
      <c r="C91" s="40"/>
      <c r="D91" s="40"/>
      <c r="E91" s="40"/>
      <c r="F91" s="40"/>
      <c r="H91" s="184">
        <v>86</v>
      </c>
      <c r="I91" s="185" t="str">
        <f t="shared" si="7"/>
        <v/>
      </c>
      <c r="J91" s="184" t="e">
        <f t="shared" si="11"/>
        <v>#NUM!</v>
      </c>
      <c r="K91" s="184" t="e">
        <f t="shared" si="8"/>
        <v>#NUM!</v>
      </c>
      <c r="L91" s="184"/>
      <c r="M91" s="186">
        <f t="shared" si="9"/>
        <v>0</v>
      </c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</row>
    <row r="92" spans="1:38" s="169" customFormat="1" x14ac:dyDescent="0.25">
      <c r="A92" s="97">
        <f t="shared" si="10"/>
        <v>0</v>
      </c>
      <c r="B92" s="33" t="str">
        <f t="shared" si="6"/>
        <v/>
      </c>
      <c r="C92" s="34"/>
      <c r="D92" s="34"/>
      <c r="E92" s="34"/>
      <c r="F92" s="34"/>
      <c r="H92" s="181">
        <v>87</v>
      </c>
      <c r="I92" s="182" t="str">
        <f t="shared" si="7"/>
        <v/>
      </c>
      <c r="J92" s="181" t="e">
        <f t="shared" si="11"/>
        <v>#NUM!</v>
      </c>
      <c r="K92" s="181" t="e">
        <f t="shared" si="8"/>
        <v>#NUM!</v>
      </c>
      <c r="L92" s="181"/>
      <c r="M92" s="183">
        <f t="shared" si="9"/>
        <v>0</v>
      </c>
      <c r="S92" s="174"/>
      <c r="T92" s="174"/>
      <c r="U92" s="174"/>
      <c r="V92" s="174"/>
      <c r="W92" s="174"/>
      <c r="X92" s="174"/>
      <c r="Y92" s="174"/>
      <c r="Z92" s="174"/>
      <c r="AA92" s="174"/>
      <c r="AB92" s="174"/>
      <c r="AC92" s="174"/>
      <c r="AD92" s="174"/>
      <c r="AE92" s="174"/>
      <c r="AF92" s="174"/>
      <c r="AG92" s="174"/>
      <c r="AH92" s="174"/>
      <c r="AI92" s="174"/>
      <c r="AJ92" s="174"/>
      <c r="AK92" s="174"/>
      <c r="AL92" s="174"/>
    </row>
    <row r="93" spans="1:38" s="169" customFormat="1" x14ac:dyDescent="0.25">
      <c r="A93" s="101">
        <f t="shared" si="10"/>
        <v>0</v>
      </c>
      <c r="B93" s="39" t="str">
        <f t="shared" si="6"/>
        <v/>
      </c>
      <c r="C93" s="40"/>
      <c r="D93" s="40"/>
      <c r="E93" s="40"/>
      <c r="F93" s="40"/>
      <c r="H93" s="184">
        <v>88</v>
      </c>
      <c r="I93" s="185" t="str">
        <f t="shared" si="7"/>
        <v/>
      </c>
      <c r="J93" s="184" t="e">
        <f t="shared" si="11"/>
        <v>#NUM!</v>
      </c>
      <c r="K93" s="184" t="e">
        <f t="shared" si="8"/>
        <v>#NUM!</v>
      </c>
      <c r="L93" s="184"/>
      <c r="M93" s="186">
        <f t="shared" si="9"/>
        <v>0</v>
      </c>
      <c r="S93" s="174"/>
      <c r="T93" s="174"/>
      <c r="U93" s="174"/>
      <c r="V93" s="174"/>
      <c r="W93" s="174"/>
      <c r="X93" s="174"/>
      <c r="Y93" s="174"/>
      <c r="Z93" s="174"/>
      <c r="AA93" s="174"/>
      <c r="AB93" s="174"/>
      <c r="AC93" s="174"/>
      <c r="AD93" s="174"/>
      <c r="AE93" s="174"/>
      <c r="AF93" s="174"/>
      <c r="AG93" s="174"/>
      <c r="AH93" s="174"/>
      <c r="AI93" s="174"/>
      <c r="AJ93" s="174"/>
      <c r="AK93" s="174"/>
      <c r="AL93" s="174"/>
    </row>
    <row r="94" spans="1:38" s="169" customFormat="1" x14ac:dyDescent="0.25">
      <c r="A94" s="97">
        <f t="shared" si="10"/>
        <v>0</v>
      </c>
      <c r="B94" s="33" t="str">
        <f t="shared" si="6"/>
        <v/>
      </c>
      <c r="C94" s="34"/>
      <c r="D94" s="34"/>
      <c r="E94" s="34"/>
      <c r="F94" s="34"/>
      <c r="H94" s="181">
        <v>89</v>
      </c>
      <c r="I94" s="182" t="str">
        <f t="shared" si="7"/>
        <v/>
      </c>
      <c r="J94" s="181" t="e">
        <f t="shared" si="11"/>
        <v>#NUM!</v>
      </c>
      <c r="K94" s="181" t="e">
        <f t="shared" si="8"/>
        <v>#NUM!</v>
      </c>
      <c r="L94" s="181"/>
      <c r="M94" s="183">
        <f t="shared" si="9"/>
        <v>0</v>
      </c>
      <c r="S94" s="174"/>
      <c r="T94" s="174"/>
      <c r="U94" s="174"/>
      <c r="V94" s="174"/>
      <c r="W94" s="174"/>
      <c r="X94" s="174"/>
      <c r="Y94" s="174"/>
      <c r="Z94" s="174"/>
      <c r="AA94" s="174"/>
      <c r="AB94" s="174"/>
      <c r="AC94" s="174"/>
      <c r="AD94" s="174"/>
      <c r="AE94" s="174"/>
      <c r="AF94" s="174"/>
      <c r="AG94" s="174"/>
      <c r="AH94" s="174"/>
      <c r="AI94" s="174"/>
      <c r="AJ94" s="174"/>
      <c r="AK94" s="174"/>
      <c r="AL94" s="174"/>
    </row>
    <row r="95" spans="1:38" s="169" customFormat="1" x14ac:dyDescent="0.25">
      <c r="A95" s="101">
        <f t="shared" si="10"/>
        <v>0</v>
      </c>
      <c r="B95" s="39" t="str">
        <f t="shared" si="6"/>
        <v/>
      </c>
      <c r="C95" s="40"/>
      <c r="D95" s="40"/>
      <c r="E95" s="40"/>
      <c r="F95" s="40"/>
      <c r="H95" s="184">
        <v>90</v>
      </c>
      <c r="I95" s="185" t="str">
        <f t="shared" si="7"/>
        <v/>
      </c>
      <c r="J95" s="184" t="e">
        <f t="shared" si="11"/>
        <v>#NUM!</v>
      </c>
      <c r="K95" s="184" t="e">
        <f t="shared" si="8"/>
        <v>#NUM!</v>
      </c>
      <c r="L95" s="184"/>
      <c r="M95" s="186">
        <f t="shared" si="9"/>
        <v>0</v>
      </c>
      <c r="S95" s="174"/>
      <c r="T95" s="174"/>
      <c r="U95" s="174"/>
      <c r="V95" s="174"/>
      <c r="W95" s="174"/>
      <c r="X95" s="174"/>
      <c r="Y95" s="174"/>
      <c r="Z95" s="174"/>
      <c r="AA95" s="174"/>
      <c r="AB95" s="174"/>
      <c r="AC95" s="174"/>
      <c r="AD95" s="174"/>
      <c r="AE95" s="174"/>
      <c r="AF95" s="174"/>
      <c r="AG95" s="174"/>
      <c r="AH95" s="174"/>
      <c r="AI95" s="174"/>
      <c r="AJ95" s="174"/>
      <c r="AK95" s="174"/>
      <c r="AL95" s="174"/>
    </row>
    <row r="96" spans="1:38" s="169" customFormat="1" x14ac:dyDescent="0.25">
      <c r="A96" s="97">
        <f t="shared" si="10"/>
        <v>0</v>
      </c>
      <c r="B96" s="33" t="str">
        <f t="shared" si="6"/>
        <v/>
      </c>
      <c r="C96" s="34"/>
      <c r="D96" s="34"/>
      <c r="E96" s="34"/>
      <c r="F96" s="34"/>
      <c r="H96" s="181">
        <v>91</v>
      </c>
      <c r="I96" s="182" t="str">
        <f t="shared" si="7"/>
        <v/>
      </c>
      <c r="J96" s="181" t="e">
        <f t="shared" si="11"/>
        <v>#NUM!</v>
      </c>
      <c r="K96" s="181" t="e">
        <f t="shared" si="8"/>
        <v>#NUM!</v>
      </c>
      <c r="L96" s="181"/>
      <c r="M96" s="183">
        <f t="shared" si="9"/>
        <v>0</v>
      </c>
      <c r="S96" s="174"/>
      <c r="T96" s="174"/>
      <c r="U96" s="174"/>
      <c r="V96" s="174"/>
      <c r="W96" s="174"/>
      <c r="X96" s="174"/>
      <c r="Y96" s="174"/>
      <c r="Z96" s="174"/>
      <c r="AA96" s="174"/>
      <c r="AB96" s="174"/>
      <c r="AC96" s="174"/>
      <c r="AD96" s="174"/>
      <c r="AE96" s="174"/>
      <c r="AF96" s="174"/>
      <c r="AG96" s="174"/>
      <c r="AH96" s="174"/>
      <c r="AI96" s="174"/>
      <c r="AJ96" s="174"/>
      <c r="AK96" s="174"/>
      <c r="AL96" s="174"/>
    </row>
    <row r="97" spans="1:38" s="169" customFormat="1" x14ac:dyDescent="0.25">
      <c r="A97" s="101">
        <f t="shared" si="10"/>
        <v>0</v>
      </c>
      <c r="B97" s="39" t="str">
        <f t="shared" si="6"/>
        <v/>
      </c>
      <c r="C97" s="40"/>
      <c r="D97" s="40"/>
      <c r="E97" s="40"/>
      <c r="F97" s="40"/>
      <c r="H97" s="184">
        <v>92</v>
      </c>
      <c r="I97" s="185" t="str">
        <f t="shared" si="7"/>
        <v/>
      </c>
      <c r="J97" s="184" t="e">
        <f t="shared" si="11"/>
        <v>#NUM!</v>
      </c>
      <c r="K97" s="184" t="e">
        <f t="shared" si="8"/>
        <v>#NUM!</v>
      </c>
      <c r="L97" s="184"/>
      <c r="M97" s="186">
        <f t="shared" si="9"/>
        <v>0</v>
      </c>
      <c r="S97" s="174"/>
      <c r="T97" s="174"/>
      <c r="U97" s="174"/>
      <c r="V97" s="174"/>
      <c r="W97" s="174"/>
      <c r="X97" s="174"/>
      <c r="Y97" s="174"/>
      <c r="Z97" s="174"/>
      <c r="AA97" s="174"/>
      <c r="AB97" s="174"/>
      <c r="AC97" s="174"/>
      <c r="AD97" s="174"/>
      <c r="AE97" s="174"/>
      <c r="AF97" s="174"/>
      <c r="AG97" s="174"/>
      <c r="AH97" s="174"/>
      <c r="AI97" s="174"/>
      <c r="AJ97" s="174"/>
      <c r="AK97" s="174"/>
      <c r="AL97" s="174"/>
    </row>
    <row r="98" spans="1:38" s="169" customFormat="1" x14ac:dyDescent="0.25">
      <c r="A98" s="97">
        <f t="shared" si="10"/>
        <v>0</v>
      </c>
      <c r="B98" s="33" t="str">
        <f t="shared" si="6"/>
        <v/>
      </c>
      <c r="C98" s="34"/>
      <c r="D98" s="34"/>
      <c r="E98" s="34"/>
      <c r="F98" s="34"/>
      <c r="H98" s="181">
        <v>93</v>
      </c>
      <c r="I98" s="182" t="str">
        <f t="shared" si="7"/>
        <v/>
      </c>
      <c r="J98" s="181" t="e">
        <f t="shared" si="11"/>
        <v>#NUM!</v>
      </c>
      <c r="K98" s="181" t="e">
        <f t="shared" si="8"/>
        <v>#NUM!</v>
      </c>
      <c r="L98" s="181"/>
      <c r="M98" s="183">
        <f t="shared" si="9"/>
        <v>0</v>
      </c>
      <c r="S98" s="174"/>
      <c r="T98" s="174"/>
      <c r="U98" s="174"/>
      <c r="V98" s="174"/>
      <c r="W98" s="174"/>
      <c r="X98" s="174"/>
      <c r="Y98" s="174"/>
      <c r="Z98" s="174"/>
      <c r="AA98" s="174"/>
      <c r="AB98" s="174"/>
      <c r="AC98" s="174"/>
      <c r="AD98" s="174"/>
      <c r="AE98" s="174"/>
      <c r="AF98" s="174"/>
      <c r="AG98" s="174"/>
      <c r="AH98" s="174"/>
      <c r="AI98" s="174"/>
      <c r="AJ98" s="174"/>
      <c r="AK98" s="174"/>
      <c r="AL98" s="174"/>
    </row>
    <row r="99" spans="1:38" s="169" customFormat="1" x14ac:dyDescent="0.25">
      <c r="A99" s="101">
        <f t="shared" si="10"/>
        <v>0</v>
      </c>
      <c r="B99" s="39" t="str">
        <f t="shared" si="6"/>
        <v/>
      </c>
      <c r="C99" s="40"/>
      <c r="D99" s="40"/>
      <c r="E99" s="40"/>
      <c r="F99" s="40"/>
      <c r="H99" s="184">
        <v>94</v>
      </c>
      <c r="I99" s="185" t="str">
        <f t="shared" si="7"/>
        <v/>
      </c>
      <c r="J99" s="184" t="e">
        <f t="shared" si="11"/>
        <v>#NUM!</v>
      </c>
      <c r="K99" s="184" t="e">
        <f t="shared" si="8"/>
        <v>#NUM!</v>
      </c>
      <c r="L99" s="184"/>
      <c r="M99" s="186">
        <f t="shared" si="9"/>
        <v>0</v>
      </c>
      <c r="S99" s="174"/>
      <c r="T99" s="174"/>
      <c r="U99" s="174"/>
      <c r="V99" s="174"/>
      <c r="W99" s="174"/>
      <c r="X99" s="174"/>
      <c r="Y99" s="174"/>
      <c r="Z99" s="174"/>
      <c r="AA99" s="174"/>
      <c r="AB99" s="174"/>
      <c r="AC99" s="174"/>
      <c r="AD99" s="174"/>
      <c r="AE99" s="174"/>
      <c r="AF99" s="174"/>
      <c r="AG99" s="174"/>
      <c r="AH99" s="174"/>
      <c r="AI99" s="174"/>
      <c r="AJ99" s="174"/>
      <c r="AK99" s="174"/>
      <c r="AL99" s="174"/>
    </row>
    <row r="100" spans="1:38" s="169" customFormat="1" x14ac:dyDescent="0.25">
      <c r="A100" s="97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81">
        <v>95</v>
      </c>
      <c r="I100" s="182" t="str">
        <f t="shared" si="7"/>
        <v/>
      </c>
      <c r="J100" s="181" t="e">
        <f t="shared" si="11"/>
        <v>#NUM!</v>
      </c>
      <c r="K100" s="181" t="e">
        <f t="shared" si="8"/>
        <v>#NUM!</v>
      </c>
      <c r="L100" s="181"/>
      <c r="M100" s="183">
        <f t="shared" si="9"/>
        <v>0</v>
      </c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</row>
    <row r="101" spans="1:38" s="169" customFormat="1" x14ac:dyDescent="0.25">
      <c r="A101" s="101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84">
        <v>96</v>
      </c>
      <c r="I101" s="185" t="str">
        <f t="shared" si="7"/>
        <v/>
      </c>
      <c r="J101" s="184" t="e">
        <f t="shared" si="11"/>
        <v>#NUM!</v>
      </c>
      <c r="K101" s="184" t="e">
        <f t="shared" si="8"/>
        <v>#NUM!</v>
      </c>
      <c r="L101" s="184"/>
      <c r="M101" s="186">
        <f t="shared" si="9"/>
        <v>0</v>
      </c>
      <c r="S101" s="174"/>
      <c r="T101" s="174"/>
      <c r="U101" s="174"/>
      <c r="V101" s="174"/>
      <c r="W101" s="174"/>
      <c r="X101" s="174"/>
      <c r="Y101" s="174"/>
      <c r="Z101" s="174"/>
      <c r="AA101" s="174"/>
      <c r="AB101" s="174"/>
      <c r="AC101" s="174"/>
      <c r="AD101" s="174"/>
      <c r="AE101" s="174"/>
      <c r="AF101" s="174"/>
      <c r="AG101" s="174"/>
      <c r="AH101" s="174"/>
      <c r="AI101" s="174"/>
      <c r="AJ101" s="174"/>
      <c r="AK101" s="174"/>
      <c r="AL101" s="174"/>
    </row>
    <row r="102" spans="1:38" s="169" customFormat="1" x14ac:dyDescent="0.25">
      <c r="A102" s="97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81">
        <v>97</v>
      </c>
      <c r="I102" s="182" t="str">
        <f t="shared" si="7"/>
        <v/>
      </c>
      <c r="J102" s="181" t="e">
        <f t="shared" si="11"/>
        <v>#NUM!</v>
      </c>
      <c r="K102" s="181" t="e">
        <f t="shared" si="8"/>
        <v>#NUM!</v>
      </c>
      <c r="L102" s="181"/>
      <c r="M102" s="183">
        <f t="shared" si="9"/>
        <v>0</v>
      </c>
      <c r="S102" s="174"/>
      <c r="T102" s="174"/>
      <c r="U102" s="174"/>
      <c r="V102" s="174"/>
      <c r="W102" s="174"/>
      <c r="X102" s="174"/>
      <c r="Y102" s="174"/>
      <c r="Z102" s="174"/>
      <c r="AA102" s="174"/>
      <c r="AB102" s="174"/>
      <c r="AC102" s="174"/>
      <c r="AD102" s="174"/>
      <c r="AE102" s="174"/>
      <c r="AF102" s="174"/>
      <c r="AG102" s="174"/>
      <c r="AH102" s="174"/>
      <c r="AI102" s="174"/>
      <c r="AJ102" s="174"/>
      <c r="AK102" s="174"/>
      <c r="AL102" s="174"/>
    </row>
    <row r="103" spans="1:38" s="169" customFormat="1" x14ac:dyDescent="0.25">
      <c r="A103" s="101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84">
        <v>98</v>
      </c>
      <c r="I103" s="185" t="str">
        <f t="shared" si="7"/>
        <v/>
      </c>
      <c r="J103" s="184" t="e">
        <f t="shared" si="11"/>
        <v>#NUM!</v>
      </c>
      <c r="K103" s="184" t="e">
        <f t="shared" si="8"/>
        <v>#NUM!</v>
      </c>
      <c r="L103" s="184"/>
      <c r="M103" s="186">
        <f t="shared" si="9"/>
        <v>0</v>
      </c>
      <c r="S103" s="174"/>
      <c r="T103" s="174"/>
      <c r="U103" s="174"/>
      <c r="V103" s="174"/>
      <c r="W103" s="174"/>
      <c r="X103" s="174"/>
      <c r="Y103" s="174"/>
      <c r="Z103" s="174"/>
      <c r="AA103" s="174"/>
      <c r="AB103" s="174"/>
      <c r="AC103" s="174"/>
      <c r="AD103" s="174"/>
      <c r="AE103" s="174"/>
      <c r="AF103" s="174"/>
      <c r="AG103" s="174"/>
      <c r="AH103" s="174"/>
      <c r="AI103" s="174"/>
      <c r="AJ103" s="174"/>
      <c r="AK103" s="174"/>
      <c r="AL103" s="174"/>
    </row>
    <row r="104" spans="1:38" s="169" customFormat="1" x14ac:dyDescent="0.25">
      <c r="A104" s="97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81">
        <v>99</v>
      </c>
      <c r="I104" s="182" t="str">
        <f t="shared" si="7"/>
        <v/>
      </c>
      <c r="J104" s="181" t="e">
        <f t="shared" si="11"/>
        <v>#NUM!</v>
      </c>
      <c r="K104" s="181" t="e">
        <f t="shared" si="8"/>
        <v>#NUM!</v>
      </c>
      <c r="L104" s="181"/>
      <c r="M104" s="183">
        <f t="shared" si="9"/>
        <v>0</v>
      </c>
      <c r="S104" s="174"/>
      <c r="T104" s="174"/>
      <c r="U104" s="174"/>
      <c r="V104" s="174"/>
      <c r="W104" s="174"/>
      <c r="X104" s="174"/>
      <c r="Y104" s="174"/>
      <c r="Z104" s="174"/>
      <c r="AA104" s="174"/>
      <c r="AB104" s="174"/>
      <c r="AC104" s="174"/>
      <c r="AD104" s="174"/>
      <c r="AE104" s="174"/>
      <c r="AF104" s="174"/>
      <c r="AG104" s="174"/>
      <c r="AH104" s="174"/>
      <c r="AI104" s="174"/>
      <c r="AJ104" s="174"/>
      <c r="AK104" s="174"/>
      <c r="AL104" s="174"/>
    </row>
    <row r="105" spans="1:38" s="169" customFormat="1" x14ac:dyDescent="0.25">
      <c r="A105" s="101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84">
        <v>100</v>
      </c>
      <c r="I105" s="185" t="str">
        <f t="shared" si="7"/>
        <v/>
      </c>
      <c r="J105" s="184" t="e">
        <f t="shared" si="11"/>
        <v>#NUM!</v>
      </c>
      <c r="K105" s="184" t="e">
        <f t="shared" si="8"/>
        <v>#NUM!</v>
      </c>
      <c r="L105" s="184"/>
      <c r="M105" s="186">
        <f t="shared" si="9"/>
        <v>0</v>
      </c>
      <c r="S105" s="174"/>
      <c r="T105" s="174"/>
      <c r="U105" s="174"/>
      <c r="V105" s="174"/>
      <c r="W105" s="174"/>
      <c r="X105" s="174"/>
      <c r="Y105" s="174"/>
      <c r="Z105" s="174"/>
      <c r="AA105" s="174"/>
      <c r="AB105" s="174"/>
      <c r="AC105" s="174"/>
      <c r="AD105" s="174"/>
      <c r="AE105" s="174"/>
      <c r="AF105" s="174"/>
      <c r="AG105" s="174"/>
      <c r="AH105" s="174"/>
      <c r="AI105" s="174"/>
      <c r="AJ105" s="174"/>
      <c r="AK105" s="174"/>
      <c r="AL105" s="174"/>
    </row>
    <row r="106" spans="1:38" s="169" customFormat="1" x14ac:dyDescent="0.25">
      <c r="A106" s="97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81">
        <v>101</v>
      </c>
      <c r="I106" s="182" t="str">
        <f t="shared" si="7"/>
        <v/>
      </c>
      <c r="J106" s="181" t="e">
        <f t="shared" si="11"/>
        <v>#NUM!</v>
      </c>
      <c r="K106" s="181" t="e">
        <f t="shared" si="8"/>
        <v>#NUM!</v>
      </c>
      <c r="L106" s="181"/>
      <c r="M106" s="183">
        <f t="shared" si="9"/>
        <v>0</v>
      </c>
      <c r="S106" s="174"/>
      <c r="T106" s="174"/>
      <c r="U106" s="174"/>
      <c r="V106" s="174"/>
      <c r="W106" s="174"/>
      <c r="X106" s="174"/>
      <c r="Y106" s="174"/>
      <c r="Z106" s="174"/>
      <c r="AA106" s="174"/>
      <c r="AB106" s="174"/>
      <c r="AC106" s="174"/>
      <c r="AD106" s="174"/>
      <c r="AE106" s="174"/>
      <c r="AF106" s="174"/>
      <c r="AG106" s="174"/>
      <c r="AH106" s="174"/>
      <c r="AI106" s="174"/>
      <c r="AJ106" s="174"/>
      <c r="AK106" s="174"/>
      <c r="AL106" s="174"/>
    </row>
    <row r="107" spans="1:38" s="169" customFormat="1" x14ac:dyDescent="0.25">
      <c r="A107" s="101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84">
        <v>102</v>
      </c>
      <c r="I107" s="185" t="str">
        <f t="shared" si="7"/>
        <v/>
      </c>
      <c r="J107" s="184" t="e">
        <f t="shared" si="11"/>
        <v>#NUM!</v>
      </c>
      <c r="K107" s="184" t="e">
        <f t="shared" si="8"/>
        <v>#NUM!</v>
      </c>
      <c r="L107" s="184"/>
      <c r="M107" s="186">
        <f t="shared" si="9"/>
        <v>0</v>
      </c>
      <c r="S107" s="174"/>
      <c r="T107" s="174"/>
      <c r="U107" s="174"/>
      <c r="V107" s="174"/>
      <c r="W107" s="174"/>
      <c r="X107" s="174"/>
      <c r="Y107" s="174"/>
      <c r="Z107" s="174"/>
      <c r="AA107" s="174"/>
      <c r="AB107" s="174"/>
      <c r="AC107" s="174"/>
      <c r="AD107" s="174"/>
      <c r="AE107" s="174"/>
      <c r="AF107" s="174"/>
      <c r="AG107" s="174"/>
      <c r="AH107" s="174"/>
      <c r="AI107" s="174"/>
      <c r="AJ107" s="174"/>
      <c r="AK107" s="174"/>
      <c r="AL107" s="174"/>
    </row>
    <row r="108" spans="1:38" s="169" customFormat="1" x14ac:dyDescent="0.25">
      <c r="A108" s="97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81">
        <v>103</v>
      </c>
      <c r="I108" s="182" t="str">
        <f t="shared" si="7"/>
        <v/>
      </c>
      <c r="J108" s="181" t="e">
        <f t="shared" si="11"/>
        <v>#NUM!</v>
      </c>
      <c r="K108" s="181" t="e">
        <f t="shared" si="8"/>
        <v>#NUM!</v>
      </c>
      <c r="L108" s="181"/>
      <c r="M108" s="183">
        <f t="shared" si="9"/>
        <v>0</v>
      </c>
      <c r="S108" s="174"/>
      <c r="T108" s="174"/>
      <c r="U108" s="174"/>
      <c r="V108" s="174"/>
      <c r="W108" s="174"/>
      <c r="X108" s="174"/>
      <c r="Y108" s="174"/>
      <c r="Z108" s="174"/>
      <c r="AA108" s="174"/>
      <c r="AB108" s="174"/>
      <c r="AC108" s="174"/>
      <c r="AD108" s="174"/>
      <c r="AE108" s="174"/>
      <c r="AF108" s="174"/>
      <c r="AG108" s="174"/>
      <c r="AH108" s="174"/>
      <c r="AI108" s="174"/>
      <c r="AJ108" s="174"/>
      <c r="AK108" s="174"/>
      <c r="AL108" s="174"/>
    </row>
    <row r="109" spans="1:38" s="169" customFormat="1" x14ac:dyDescent="0.25">
      <c r="A109" s="101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84">
        <v>104</v>
      </c>
      <c r="I109" s="185" t="str">
        <f t="shared" si="7"/>
        <v/>
      </c>
      <c r="J109" s="184" t="e">
        <f t="shared" si="11"/>
        <v>#NUM!</v>
      </c>
      <c r="K109" s="184" t="e">
        <f t="shared" si="8"/>
        <v>#NUM!</v>
      </c>
      <c r="L109" s="184"/>
      <c r="M109" s="186">
        <f t="shared" si="9"/>
        <v>0</v>
      </c>
      <c r="S109" s="174"/>
      <c r="T109" s="174"/>
      <c r="U109" s="174"/>
      <c r="V109" s="174"/>
      <c r="W109" s="174"/>
      <c r="X109" s="174"/>
      <c r="Y109" s="174"/>
      <c r="Z109" s="174"/>
      <c r="AA109" s="174"/>
      <c r="AB109" s="174"/>
      <c r="AC109" s="174"/>
      <c r="AD109" s="174"/>
      <c r="AE109" s="174"/>
      <c r="AF109" s="174"/>
      <c r="AG109" s="174"/>
      <c r="AH109" s="174"/>
      <c r="AI109" s="174"/>
      <c r="AJ109" s="174"/>
      <c r="AK109" s="174"/>
      <c r="AL109" s="174"/>
    </row>
    <row r="110" spans="1:38" s="169" customFormat="1" x14ac:dyDescent="0.25">
      <c r="A110" s="97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81">
        <v>105</v>
      </c>
      <c r="I110" s="182" t="str">
        <f t="shared" si="7"/>
        <v/>
      </c>
      <c r="J110" s="181" t="e">
        <f t="shared" si="11"/>
        <v>#NUM!</v>
      </c>
      <c r="K110" s="181" t="e">
        <f t="shared" si="8"/>
        <v>#NUM!</v>
      </c>
      <c r="L110" s="181"/>
      <c r="M110" s="183">
        <f t="shared" si="9"/>
        <v>0</v>
      </c>
      <c r="S110" s="174"/>
      <c r="T110" s="174"/>
      <c r="U110" s="174"/>
      <c r="V110" s="174"/>
      <c r="W110" s="174"/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</row>
    <row r="111" spans="1:38" s="169" customFormat="1" x14ac:dyDescent="0.25">
      <c r="A111" s="101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84">
        <v>106</v>
      </c>
      <c r="I111" s="185" t="str">
        <f t="shared" si="7"/>
        <v/>
      </c>
      <c r="J111" s="184" t="e">
        <f t="shared" si="11"/>
        <v>#NUM!</v>
      </c>
      <c r="K111" s="184" t="e">
        <f t="shared" si="8"/>
        <v>#NUM!</v>
      </c>
      <c r="L111" s="184"/>
      <c r="M111" s="186">
        <f t="shared" si="9"/>
        <v>0</v>
      </c>
      <c r="S111" s="174"/>
      <c r="T111" s="174"/>
      <c r="U111" s="174"/>
      <c r="V111" s="174"/>
      <c r="W111" s="174"/>
      <c r="X111" s="174"/>
      <c r="Y111" s="174"/>
      <c r="Z111" s="174"/>
      <c r="AA111" s="174"/>
      <c r="AB111" s="174"/>
      <c r="AC111" s="174"/>
      <c r="AD111" s="174"/>
      <c r="AE111" s="174"/>
      <c r="AF111" s="174"/>
      <c r="AG111" s="174"/>
      <c r="AH111" s="174"/>
      <c r="AI111" s="174"/>
      <c r="AJ111" s="174"/>
      <c r="AK111" s="174"/>
      <c r="AL111" s="174"/>
    </row>
    <row r="112" spans="1:38" s="169" customFormat="1" x14ac:dyDescent="0.25">
      <c r="A112" s="97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81">
        <v>107</v>
      </c>
      <c r="I112" s="182" t="str">
        <f t="shared" si="7"/>
        <v/>
      </c>
      <c r="J112" s="181" t="e">
        <f t="shared" si="11"/>
        <v>#NUM!</v>
      </c>
      <c r="K112" s="181" t="e">
        <f t="shared" si="8"/>
        <v>#NUM!</v>
      </c>
      <c r="L112" s="181"/>
      <c r="M112" s="183">
        <f t="shared" si="9"/>
        <v>0</v>
      </c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</row>
    <row r="113" spans="1:38" s="169" customFormat="1" x14ac:dyDescent="0.25">
      <c r="A113" s="101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84">
        <v>108</v>
      </c>
      <c r="I113" s="185" t="str">
        <f t="shared" si="7"/>
        <v/>
      </c>
      <c r="J113" s="184" t="e">
        <f t="shared" si="11"/>
        <v>#NUM!</v>
      </c>
      <c r="K113" s="184" t="e">
        <f t="shared" si="8"/>
        <v>#NUM!</v>
      </c>
      <c r="L113" s="184"/>
      <c r="M113" s="186">
        <f t="shared" si="9"/>
        <v>0</v>
      </c>
      <c r="S113" s="174"/>
      <c r="T113" s="174"/>
      <c r="U113" s="174"/>
      <c r="V113" s="174"/>
      <c r="W113" s="174"/>
      <c r="X113" s="174"/>
      <c r="Y113" s="174"/>
      <c r="Z113" s="174"/>
      <c r="AA113" s="174"/>
      <c r="AB113" s="174"/>
      <c r="AC113" s="174"/>
      <c r="AD113" s="174"/>
      <c r="AE113" s="174"/>
      <c r="AF113" s="174"/>
      <c r="AG113" s="174"/>
      <c r="AH113" s="174"/>
      <c r="AI113" s="174"/>
      <c r="AJ113" s="174"/>
      <c r="AK113" s="174"/>
      <c r="AL113" s="174"/>
    </row>
    <row r="114" spans="1:38" s="169" customFormat="1" x14ac:dyDescent="0.25">
      <c r="A114" s="97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81">
        <v>109</v>
      </c>
      <c r="I114" s="182" t="str">
        <f t="shared" si="7"/>
        <v/>
      </c>
      <c r="J114" s="181" t="e">
        <f t="shared" si="11"/>
        <v>#NUM!</v>
      </c>
      <c r="K114" s="181" t="e">
        <f t="shared" si="8"/>
        <v>#NUM!</v>
      </c>
      <c r="L114" s="181"/>
      <c r="M114" s="183">
        <f t="shared" si="9"/>
        <v>0</v>
      </c>
      <c r="S114" s="174"/>
      <c r="T114" s="174"/>
      <c r="U114" s="174"/>
      <c r="V114" s="174"/>
      <c r="W114" s="174"/>
      <c r="X114" s="174"/>
      <c r="Y114" s="174"/>
      <c r="Z114" s="174"/>
      <c r="AA114" s="174"/>
      <c r="AB114" s="174"/>
      <c r="AC114" s="174"/>
      <c r="AD114" s="174"/>
      <c r="AE114" s="174"/>
      <c r="AF114" s="174"/>
      <c r="AG114" s="174"/>
      <c r="AH114" s="174"/>
      <c r="AI114" s="174"/>
      <c r="AJ114" s="174"/>
      <c r="AK114" s="174"/>
      <c r="AL114" s="174"/>
    </row>
    <row r="115" spans="1:38" s="169" customFormat="1" x14ac:dyDescent="0.25">
      <c r="A115" s="101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84">
        <v>110</v>
      </c>
      <c r="I115" s="185" t="str">
        <f t="shared" si="7"/>
        <v/>
      </c>
      <c r="J115" s="184" t="e">
        <f t="shared" si="11"/>
        <v>#NUM!</v>
      </c>
      <c r="K115" s="184" t="e">
        <f t="shared" si="8"/>
        <v>#NUM!</v>
      </c>
      <c r="L115" s="184"/>
      <c r="M115" s="186">
        <f t="shared" si="9"/>
        <v>0</v>
      </c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</row>
    <row r="116" spans="1:38" s="169" customFormat="1" x14ac:dyDescent="0.25">
      <c r="A116" s="97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81">
        <v>111</v>
      </c>
      <c r="I116" s="182" t="str">
        <f t="shared" si="7"/>
        <v/>
      </c>
      <c r="J116" s="181" t="e">
        <f t="shared" si="11"/>
        <v>#NUM!</v>
      </c>
      <c r="K116" s="181" t="e">
        <f t="shared" si="8"/>
        <v>#NUM!</v>
      </c>
      <c r="L116" s="181"/>
      <c r="M116" s="183">
        <f t="shared" si="9"/>
        <v>0</v>
      </c>
      <c r="S116" s="174"/>
      <c r="T116" s="174"/>
      <c r="U116" s="174"/>
      <c r="V116" s="174"/>
      <c r="W116" s="174"/>
      <c r="X116" s="174"/>
      <c r="Y116" s="174"/>
      <c r="Z116" s="174"/>
      <c r="AA116" s="174"/>
      <c r="AB116" s="174"/>
      <c r="AC116" s="174"/>
      <c r="AD116" s="174"/>
      <c r="AE116" s="174"/>
      <c r="AF116" s="174"/>
      <c r="AG116" s="174"/>
      <c r="AH116" s="174"/>
      <c r="AI116" s="174"/>
      <c r="AJ116" s="174"/>
      <c r="AK116" s="174"/>
      <c r="AL116" s="174"/>
    </row>
    <row r="117" spans="1:38" s="169" customFormat="1" x14ac:dyDescent="0.25">
      <c r="A117" s="101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84">
        <v>112</v>
      </c>
      <c r="I117" s="185" t="str">
        <f t="shared" si="7"/>
        <v/>
      </c>
      <c r="J117" s="184" t="e">
        <f t="shared" si="11"/>
        <v>#NUM!</v>
      </c>
      <c r="K117" s="184" t="e">
        <f t="shared" si="8"/>
        <v>#NUM!</v>
      </c>
      <c r="L117" s="184"/>
      <c r="M117" s="186">
        <f t="shared" si="9"/>
        <v>0</v>
      </c>
      <c r="S117" s="174"/>
      <c r="T117" s="174"/>
      <c r="U117" s="174"/>
      <c r="V117" s="174"/>
      <c r="W117" s="174"/>
      <c r="X117" s="174"/>
      <c r="Y117" s="174"/>
      <c r="Z117" s="174"/>
      <c r="AA117" s="174"/>
      <c r="AB117" s="174"/>
      <c r="AC117" s="174"/>
      <c r="AD117" s="174"/>
      <c r="AE117" s="174"/>
      <c r="AF117" s="174"/>
      <c r="AG117" s="174"/>
      <c r="AH117" s="174"/>
      <c r="AI117" s="174"/>
      <c r="AJ117" s="174"/>
      <c r="AK117" s="174"/>
      <c r="AL117" s="174"/>
    </row>
    <row r="118" spans="1:38" s="169" customFormat="1" x14ac:dyDescent="0.25">
      <c r="A118" s="97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81">
        <v>113</v>
      </c>
      <c r="I118" s="182" t="str">
        <f t="shared" si="7"/>
        <v/>
      </c>
      <c r="J118" s="181" t="e">
        <f t="shared" si="11"/>
        <v>#NUM!</v>
      </c>
      <c r="K118" s="181" t="e">
        <f t="shared" si="8"/>
        <v>#NUM!</v>
      </c>
      <c r="L118" s="181"/>
      <c r="M118" s="183">
        <f t="shared" si="9"/>
        <v>0</v>
      </c>
      <c r="S118" s="174"/>
      <c r="T118" s="174"/>
      <c r="U118" s="174"/>
      <c r="V118" s="174"/>
      <c r="W118" s="174"/>
      <c r="X118" s="174"/>
      <c r="Y118" s="174"/>
      <c r="Z118" s="174"/>
      <c r="AA118" s="174"/>
      <c r="AB118" s="174"/>
      <c r="AC118" s="174"/>
      <c r="AD118" s="174"/>
      <c r="AE118" s="174"/>
      <c r="AF118" s="174"/>
      <c r="AG118" s="174"/>
      <c r="AH118" s="174"/>
      <c r="AI118" s="174"/>
      <c r="AJ118" s="174"/>
      <c r="AK118" s="174"/>
      <c r="AL118" s="174"/>
    </row>
    <row r="119" spans="1:38" s="169" customFormat="1" x14ac:dyDescent="0.25">
      <c r="A119" s="101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84">
        <v>114</v>
      </c>
      <c r="I119" s="185" t="str">
        <f t="shared" si="7"/>
        <v/>
      </c>
      <c r="J119" s="184" t="e">
        <f t="shared" si="11"/>
        <v>#NUM!</v>
      </c>
      <c r="K119" s="184" t="e">
        <f t="shared" si="8"/>
        <v>#NUM!</v>
      </c>
      <c r="L119" s="184"/>
      <c r="M119" s="186">
        <f t="shared" si="9"/>
        <v>0</v>
      </c>
      <c r="S119" s="174"/>
      <c r="T119" s="174"/>
      <c r="U119" s="174"/>
      <c r="V119" s="174"/>
      <c r="W119" s="174"/>
      <c r="X119" s="174"/>
      <c r="Y119" s="174"/>
      <c r="Z119" s="174"/>
      <c r="AA119" s="174"/>
      <c r="AB119" s="174"/>
      <c r="AC119" s="174"/>
      <c r="AD119" s="174"/>
      <c r="AE119" s="174"/>
      <c r="AF119" s="174"/>
      <c r="AG119" s="174"/>
      <c r="AH119" s="174"/>
      <c r="AI119" s="174"/>
      <c r="AJ119" s="174"/>
      <c r="AK119" s="174"/>
      <c r="AL119" s="174"/>
    </row>
    <row r="120" spans="1:38" s="169" customFormat="1" x14ac:dyDescent="0.25">
      <c r="A120" s="97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81">
        <v>115</v>
      </c>
      <c r="I120" s="182" t="str">
        <f t="shared" si="7"/>
        <v/>
      </c>
      <c r="J120" s="181" t="e">
        <f t="shared" si="11"/>
        <v>#NUM!</v>
      </c>
      <c r="K120" s="181" t="e">
        <f t="shared" si="8"/>
        <v>#NUM!</v>
      </c>
      <c r="L120" s="181"/>
      <c r="M120" s="183">
        <f t="shared" si="9"/>
        <v>0</v>
      </c>
      <c r="S120" s="174"/>
      <c r="T120" s="174"/>
      <c r="U120" s="174"/>
      <c r="V120" s="174"/>
      <c r="W120" s="174"/>
      <c r="X120" s="174"/>
      <c r="Y120" s="174"/>
      <c r="Z120" s="174"/>
      <c r="AA120" s="174"/>
      <c r="AB120" s="174"/>
      <c r="AC120" s="174"/>
      <c r="AD120" s="174"/>
      <c r="AE120" s="174"/>
      <c r="AF120" s="174"/>
      <c r="AG120" s="174"/>
      <c r="AH120" s="174"/>
      <c r="AI120" s="174"/>
      <c r="AJ120" s="174"/>
      <c r="AK120" s="174"/>
      <c r="AL120" s="174"/>
    </row>
    <row r="121" spans="1:38" s="169" customFormat="1" x14ac:dyDescent="0.25">
      <c r="A121" s="101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84">
        <v>116</v>
      </c>
      <c r="I121" s="185" t="str">
        <f t="shared" si="7"/>
        <v/>
      </c>
      <c r="J121" s="184" t="e">
        <f t="shared" si="11"/>
        <v>#NUM!</v>
      </c>
      <c r="K121" s="184" t="e">
        <f t="shared" si="8"/>
        <v>#NUM!</v>
      </c>
      <c r="L121" s="184"/>
      <c r="M121" s="186">
        <f t="shared" si="9"/>
        <v>0</v>
      </c>
      <c r="S121" s="174"/>
      <c r="T121" s="174"/>
      <c r="U121" s="174"/>
      <c r="V121" s="174"/>
      <c r="W121" s="174"/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</row>
    <row r="122" spans="1:38" s="169" customFormat="1" x14ac:dyDescent="0.25">
      <c r="A122" s="97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81">
        <v>117</v>
      </c>
      <c r="I122" s="182" t="str">
        <f t="shared" si="7"/>
        <v/>
      </c>
      <c r="J122" s="181" t="e">
        <f t="shared" si="11"/>
        <v>#NUM!</v>
      </c>
      <c r="K122" s="181" t="e">
        <f t="shared" si="8"/>
        <v>#NUM!</v>
      </c>
      <c r="L122" s="181"/>
      <c r="M122" s="183">
        <f t="shared" si="9"/>
        <v>0</v>
      </c>
      <c r="S122" s="174"/>
      <c r="T122" s="174"/>
      <c r="U122" s="174"/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</row>
    <row r="123" spans="1:38" s="169" customFormat="1" x14ac:dyDescent="0.25">
      <c r="A123" s="101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84">
        <v>118</v>
      </c>
      <c r="I123" s="185" t="str">
        <f t="shared" si="7"/>
        <v/>
      </c>
      <c r="J123" s="184" t="e">
        <f t="shared" si="11"/>
        <v>#NUM!</v>
      </c>
      <c r="K123" s="184" t="e">
        <f t="shared" si="8"/>
        <v>#NUM!</v>
      </c>
      <c r="L123" s="184"/>
      <c r="M123" s="186">
        <f t="shared" si="9"/>
        <v>0</v>
      </c>
      <c r="S123" s="174"/>
      <c r="T123" s="174"/>
      <c r="U123" s="174"/>
      <c r="V123" s="174"/>
      <c r="W123" s="174"/>
      <c r="X123" s="174"/>
      <c r="Y123" s="174"/>
      <c r="Z123" s="174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74"/>
      <c r="AL123" s="174"/>
    </row>
    <row r="124" spans="1:38" s="169" customFormat="1" x14ac:dyDescent="0.25">
      <c r="A124" s="97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81">
        <v>119</v>
      </c>
      <c r="I124" s="182" t="str">
        <f t="shared" si="7"/>
        <v/>
      </c>
      <c r="J124" s="181" t="e">
        <f t="shared" si="11"/>
        <v>#NUM!</v>
      </c>
      <c r="K124" s="181" t="e">
        <f t="shared" si="8"/>
        <v>#NUM!</v>
      </c>
      <c r="L124" s="181"/>
      <c r="M124" s="183">
        <f t="shared" si="9"/>
        <v>0</v>
      </c>
      <c r="S124" s="174"/>
      <c r="T124" s="174"/>
      <c r="U124" s="174"/>
      <c r="V124" s="174"/>
      <c r="W124" s="174"/>
      <c r="X124" s="174"/>
      <c r="Y124" s="174"/>
      <c r="Z124" s="174"/>
      <c r="AA124" s="174"/>
      <c r="AB124" s="174"/>
      <c r="AC124" s="174"/>
      <c r="AD124" s="174"/>
      <c r="AE124" s="174"/>
      <c r="AF124" s="174"/>
      <c r="AG124" s="174"/>
      <c r="AH124" s="174"/>
      <c r="AI124" s="174"/>
      <c r="AJ124" s="174"/>
      <c r="AK124" s="174"/>
      <c r="AL124" s="174"/>
    </row>
    <row r="125" spans="1:38" s="169" customFormat="1" x14ac:dyDescent="0.25">
      <c r="A125" s="101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84">
        <v>120</v>
      </c>
      <c r="I125" s="185" t="str">
        <f t="shared" si="7"/>
        <v/>
      </c>
      <c r="J125" s="184" t="e">
        <f t="shared" si="11"/>
        <v>#NUM!</v>
      </c>
      <c r="K125" s="184" t="e">
        <f t="shared" si="8"/>
        <v>#NUM!</v>
      </c>
      <c r="L125" s="184"/>
      <c r="M125" s="186">
        <f t="shared" si="9"/>
        <v>0</v>
      </c>
      <c r="S125" s="174"/>
      <c r="T125" s="174"/>
      <c r="U125" s="174"/>
      <c r="V125" s="174"/>
      <c r="W125" s="174"/>
      <c r="X125" s="174"/>
      <c r="Y125" s="174"/>
      <c r="Z125" s="174"/>
      <c r="AA125" s="174"/>
      <c r="AB125" s="174"/>
      <c r="AC125" s="174"/>
      <c r="AD125" s="174"/>
      <c r="AE125" s="174"/>
      <c r="AF125" s="174"/>
      <c r="AG125" s="174"/>
      <c r="AH125" s="174"/>
      <c r="AI125" s="174"/>
      <c r="AJ125" s="174"/>
      <c r="AK125" s="174"/>
      <c r="AL125" s="174"/>
    </row>
    <row r="126" spans="1:38" s="169" customFormat="1" x14ac:dyDescent="0.25">
      <c r="A126" s="97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81">
        <v>121</v>
      </c>
      <c r="I126" s="182" t="str">
        <f t="shared" si="7"/>
        <v/>
      </c>
      <c r="J126" s="181" t="e">
        <f t="shared" si="11"/>
        <v>#NUM!</v>
      </c>
      <c r="K126" s="181" t="e">
        <f t="shared" si="8"/>
        <v>#NUM!</v>
      </c>
      <c r="L126" s="181"/>
      <c r="M126" s="183">
        <f t="shared" si="9"/>
        <v>0</v>
      </c>
      <c r="S126" s="174"/>
      <c r="T126" s="174"/>
      <c r="U126" s="174"/>
      <c r="V126" s="174"/>
      <c r="W126" s="174"/>
      <c r="X126" s="174"/>
      <c r="Y126" s="174"/>
      <c r="Z126" s="174"/>
      <c r="AA126" s="174"/>
      <c r="AB126" s="174"/>
      <c r="AC126" s="174"/>
      <c r="AD126" s="174"/>
      <c r="AE126" s="174"/>
      <c r="AF126" s="174"/>
      <c r="AG126" s="174"/>
      <c r="AH126" s="174"/>
      <c r="AI126" s="174"/>
      <c r="AJ126" s="174"/>
      <c r="AK126" s="174"/>
      <c r="AL126" s="174"/>
    </row>
    <row r="127" spans="1:38" s="169" customFormat="1" x14ac:dyDescent="0.25">
      <c r="A127" s="101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84">
        <v>122</v>
      </c>
      <c r="I127" s="185" t="str">
        <f t="shared" si="7"/>
        <v/>
      </c>
      <c r="J127" s="184" t="e">
        <f t="shared" si="11"/>
        <v>#NUM!</v>
      </c>
      <c r="K127" s="184" t="e">
        <f t="shared" si="8"/>
        <v>#NUM!</v>
      </c>
      <c r="L127" s="184"/>
      <c r="M127" s="186">
        <f t="shared" si="9"/>
        <v>0</v>
      </c>
      <c r="S127" s="174"/>
      <c r="T127" s="174"/>
      <c r="U127" s="174"/>
      <c r="V127" s="174"/>
      <c r="W127" s="174"/>
      <c r="X127" s="174"/>
      <c r="Y127" s="174"/>
      <c r="Z127" s="174"/>
      <c r="AA127" s="174"/>
      <c r="AB127" s="174"/>
      <c r="AC127" s="174"/>
      <c r="AD127" s="174"/>
      <c r="AE127" s="174"/>
      <c r="AF127" s="174"/>
      <c r="AG127" s="174"/>
      <c r="AH127" s="174"/>
      <c r="AI127" s="174"/>
      <c r="AJ127" s="174"/>
      <c r="AK127" s="174"/>
      <c r="AL127" s="174"/>
    </row>
    <row r="128" spans="1:38" s="169" customFormat="1" x14ac:dyDescent="0.25">
      <c r="A128" s="97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81">
        <v>123</v>
      </c>
      <c r="I128" s="182" t="str">
        <f t="shared" si="7"/>
        <v/>
      </c>
      <c r="J128" s="181" t="e">
        <f t="shared" si="11"/>
        <v>#NUM!</v>
      </c>
      <c r="K128" s="181" t="e">
        <f t="shared" si="8"/>
        <v>#NUM!</v>
      </c>
      <c r="L128" s="181"/>
      <c r="M128" s="183">
        <f t="shared" si="9"/>
        <v>0</v>
      </c>
      <c r="S128" s="174"/>
      <c r="T128" s="174"/>
      <c r="U128" s="174"/>
      <c r="V128" s="174"/>
      <c r="W128" s="174"/>
      <c r="X128" s="174"/>
      <c r="Y128" s="174"/>
      <c r="Z128" s="174"/>
      <c r="AA128" s="174"/>
      <c r="AB128" s="174"/>
      <c r="AC128" s="174"/>
      <c r="AD128" s="174"/>
      <c r="AE128" s="174"/>
      <c r="AF128" s="174"/>
      <c r="AG128" s="174"/>
      <c r="AH128" s="174"/>
      <c r="AI128" s="174"/>
      <c r="AJ128" s="174"/>
      <c r="AK128" s="174"/>
      <c r="AL128" s="174"/>
    </row>
    <row r="129" spans="1:38" s="169" customFormat="1" x14ac:dyDescent="0.25">
      <c r="A129" s="101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84">
        <v>124</v>
      </c>
      <c r="I129" s="185" t="str">
        <f t="shared" si="7"/>
        <v/>
      </c>
      <c r="J129" s="184" t="e">
        <f t="shared" si="11"/>
        <v>#NUM!</v>
      </c>
      <c r="K129" s="184" t="e">
        <f t="shared" si="8"/>
        <v>#NUM!</v>
      </c>
      <c r="L129" s="184"/>
      <c r="M129" s="186">
        <f t="shared" si="9"/>
        <v>0</v>
      </c>
      <c r="S129" s="174"/>
      <c r="T129" s="174"/>
      <c r="U129" s="174"/>
      <c r="V129" s="174"/>
      <c r="W129" s="174"/>
      <c r="X129" s="174"/>
      <c r="Y129" s="174"/>
      <c r="Z129" s="174"/>
      <c r="AA129" s="174"/>
      <c r="AB129" s="174"/>
      <c r="AC129" s="174"/>
      <c r="AD129" s="174"/>
      <c r="AE129" s="174"/>
      <c r="AF129" s="174"/>
      <c r="AG129" s="174"/>
      <c r="AH129" s="174"/>
      <c r="AI129" s="174"/>
      <c r="AJ129" s="174"/>
      <c r="AK129" s="174"/>
      <c r="AL129" s="174"/>
    </row>
    <row r="130" spans="1:38" s="169" customFormat="1" x14ac:dyDescent="0.25">
      <c r="A130" s="97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81">
        <v>125</v>
      </c>
      <c r="I130" s="182" t="str">
        <f t="shared" si="7"/>
        <v/>
      </c>
      <c r="J130" s="181" t="e">
        <f t="shared" si="11"/>
        <v>#NUM!</v>
      </c>
      <c r="K130" s="181" t="e">
        <f t="shared" si="8"/>
        <v>#NUM!</v>
      </c>
      <c r="L130" s="181"/>
      <c r="M130" s="183">
        <f t="shared" si="9"/>
        <v>0</v>
      </c>
      <c r="S130" s="174"/>
      <c r="T130" s="174"/>
      <c r="U130" s="174"/>
      <c r="V130" s="174"/>
      <c r="W130" s="174"/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</row>
    <row r="131" spans="1:38" s="169" customFormat="1" x14ac:dyDescent="0.25">
      <c r="A131" s="101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84">
        <v>126</v>
      </c>
      <c r="I131" s="185" t="str">
        <f t="shared" si="7"/>
        <v/>
      </c>
      <c r="J131" s="184" t="e">
        <f t="shared" si="11"/>
        <v>#NUM!</v>
      </c>
      <c r="K131" s="184" t="e">
        <f t="shared" si="8"/>
        <v>#NUM!</v>
      </c>
      <c r="L131" s="184"/>
      <c r="M131" s="186">
        <f t="shared" si="9"/>
        <v>0</v>
      </c>
      <c r="S131" s="174"/>
      <c r="T131" s="174"/>
      <c r="U131" s="174"/>
      <c r="V131" s="174"/>
      <c r="W131" s="174"/>
      <c r="X131" s="174"/>
      <c r="Y131" s="174"/>
      <c r="Z131" s="174"/>
      <c r="AA131" s="174"/>
      <c r="AB131" s="174"/>
      <c r="AC131" s="174"/>
      <c r="AD131" s="174"/>
      <c r="AE131" s="174"/>
      <c r="AF131" s="174"/>
      <c r="AG131" s="174"/>
      <c r="AH131" s="174"/>
      <c r="AI131" s="174"/>
      <c r="AJ131" s="174"/>
      <c r="AK131" s="174"/>
      <c r="AL131" s="174"/>
    </row>
    <row r="132" spans="1:38" s="169" customFormat="1" x14ac:dyDescent="0.25">
      <c r="A132" s="97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81">
        <v>127</v>
      </c>
      <c r="I132" s="182" t="str">
        <f t="shared" si="7"/>
        <v/>
      </c>
      <c r="J132" s="181" t="e">
        <f t="shared" si="11"/>
        <v>#NUM!</v>
      </c>
      <c r="K132" s="181" t="e">
        <f t="shared" si="8"/>
        <v>#NUM!</v>
      </c>
      <c r="L132" s="181"/>
      <c r="M132" s="183">
        <f t="shared" si="9"/>
        <v>0</v>
      </c>
      <c r="S132" s="174"/>
      <c r="T132" s="174"/>
      <c r="U132" s="174"/>
      <c r="V132" s="174"/>
      <c r="W132" s="174"/>
      <c r="X132" s="174"/>
      <c r="Y132" s="174"/>
      <c r="Z132" s="174"/>
      <c r="AA132" s="174"/>
      <c r="AB132" s="174"/>
      <c r="AC132" s="174"/>
      <c r="AD132" s="174"/>
      <c r="AE132" s="174"/>
      <c r="AF132" s="174"/>
      <c r="AG132" s="174"/>
      <c r="AH132" s="174"/>
      <c r="AI132" s="174"/>
      <c r="AJ132" s="174"/>
      <c r="AK132" s="174"/>
      <c r="AL132" s="174"/>
    </row>
    <row r="133" spans="1:38" s="169" customFormat="1" x14ac:dyDescent="0.25">
      <c r="A133" s="101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84">
        <v>128</v>
      </c>
      <c r="I133" s="185" t="str">
        <f t="shared" si="7"/>
        <v/>
      </c>
      <c r="J133" s="184" t="e">
        <f t="shared" si="11"/>
        <v>#NUM!</v>
      </c>
      <c r="K133" s="184" t="e">
        <f t="shared" si="8"/>
        <v>#NUM!</v>
      </c>
      <c r="L133" s="184"/>
      <c r="M133" s="186">
        <f t="shared" si="9"/>
        <v>0</v>
      </c>
      <c r="S133" s="174"/>
      <c r="T133" s="174"/>
      <c r="U133" s="174"/>
      <c r="V133" s="174"/>
      <c r="W133" s="174"/>
      <c r="X133" s="174"/>
      <c r="Y133" s="174"/>
      <c r="Z133" s="174"/>
      <c r="AA133" s="174"/>
      <c r="AB133" s="174"/>
      <c r="AC133" s="174"/>
      <c r="AD133" s="174"/>
      <c r="AE133" s="174"/>
      <c r="AF133" s="174"/>
      <c r="AG133" s="174"/>
      <c r="AH133" s="174"/>
      <c r="AI133" s="174"/>
      <c r="AJ133" s="174"/>
      <c r="AK133" s="174"/>
      <c r="AL133" s="174"/>
    </row>
    <row r="134" spans="1:38" s="169" customFormat="1" x14ac:dyDescent="0.25">
      <c r="A134" s="97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81">
        <v>129</v>
      </c>
      <c r="I134" s="182" t="str">
        <f t="shared" ref="I134:I197" si="13">IF(H134&lt;$H$2+1,($I$2-($I$2-1)*(LOG(H134)/LOG($H$2))),"")</f>
        <v/>
      </c>
      <c r="J134" s="181" t="e">
        <f t="shared" si="11"/>
        <v>#NUM!</v>
      </c>
      <c r="K134" s="181" t="e">
        <f t="shared" ref="K134:K197" si="14">J134*$J$2</f>
        <v>#NUM!</v>
      </c>
      <c r="L134" s="181"/>
      <c r="M134" s="183">
        <f t="shared" ref="M134:M197" si="15">IF(I134&lt;&gt;"",K134+I134+L134,0)</f>
        <v>0</v>
      </c>
      <c r="S134" s="174"/>
      <c r="T134" s="174"/>
      <c r="U134" s="174"/>
      <c r="V134" s="174"/>
      <c r="W134" s="174"/>
      <c r="X134" s="174"/>
      <c r="Y134" s="174"/>
      <c r="Z134" s="174"/>
      <c r="AA134" s="174"/>
      <c r="AB134" s="174"/>
      <c r="AC134" s="174"/>
      <c r="AD134" s="174"/>
      <c r="AE134" s="174"/>
      <c r="AF134" s="174"/>
      <c r="AG134" s="174"/>
      <c r="AH134" s="174"/>
      <c r="AI134" s="174"/>
      <c r="AJ134" s="174"/>
      <c r="AK134" s="174"/>
      <c r="AL134" s="174"/>
    </row>
    <row r="135" spans="1:38" s="169" customFormat="1" x14ac:dyDescent="0.25">
      <c r="A135" s="101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84">
        <v>130</v>
      </c>
      <c r="I135" s="185" t="str">
        <f t="shared" si="13"/>
        <v/>
      </c>
      <c r="J135" s="184" t="e">
        <f t="shared" ref="J135:J198" si="17">INT(LOG($H$2,2))-ROUNDUP(LOG(H135,2),0)+IF(OR($H$2=1,$H$2=2,$H$2=4,$H$2=8,$H$2=16,$H$2=32,$H$2=64,$H$2=128,$H$2=256),0,1)</f>
        <v>#NUM!</v>
      </c>
      <c r="K135" s="184" t="e">
        <f t="shared" si="14"/>
        <v>#NUM!</v>
      </c>
      <c r="L135" s="184"/>
      <c r="M135" s="186">
        <f t="shared" si="15"/>
        <v>0</v>
      </c>
      <c r="S135" s="174"/>
      <c r="T135" s="174"/>
      <c r="U135" s="174"/>
      <c r="V135" s="174"/>
      <c r="W135" s="174"/>
      <c r="X135" s="174"/>
      <c r="Y135" s="174"/>
      <c r="Z135" s="174"/>
      <c r="AA135" s="174"/>
      <c r="AB135" s="174"/>
      <c r="AC135" s="174"/>
      <c r="AD135" s="174"/>
      <c r="AE135" s="174"/>
      <c r="AF135" s="174"/>
      <c r="AG135" s="174"/>
      <c r="AH135" s="174"/>
      <c r="AI135" s="174"/>
      <c r="AJ135" s="174"/>
      <c r="AK135" s="174"/>
      <c r="AL135" s="174"/>
    </row>
    <row r="136" spans="1:38" s="169" customFormat="1" x14ac:dyDescent="0.25">
      <c r="A136" s="97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81">
        <v>131</v>
      </c>
      <c r="I136" s="182" t="str">
        <f t="shared" si="13"/>
        <v/>
      </c>
      <c r="J136" s="181" t="e">
        <f t="shared" si="17"/>
        <v>#NUM!</v>
      </c>
      <c r="K136" s="181" t="e">
        <f t="shared" si="14"/>
        <v>#NUM!</v>
      </c>
      <c r="L136" s="181"/>
      <c r="M136" s="183">
        <f t="shared" si="15"/>
        <v>0</v>
      </c>
      <c r="S136" s="174"/>
      <c r="T136" s="174"/>
      <c r="U136" s="174"/>
      <c r="V136" s="174"/>
      <c r="W136" s="174"/>
      <c r="X136" s="174"/>
      <c r="Y136" s="174"/>
      <c r="Z136" s="174"/>
      <c r="AA136" s="174"/>
      <c r="AB136" s="174"/>
      <c r="AC136" s="174"/>
      <c r="AD136" s="174"/>
      <c r="AE136" s="174"/>
      <c r="AF136" s="174"/>
      <c r="AG136" s="174"/>
      <c r="AH136" s="174"/>
      <c r="AI136" s="174"/>
      <c r="AJ136" s="174"/>
      <c r="AK136" s="174"/>
      <c r="AL136" s="174"/>
    </row>
    <row r="137" spans="1:38" s="169" customFormat="1" x14ac:dyDescent="0.25">
      <c r="A137" s="101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84">
        <v>132</v>
      </c>
      <c r="I137" s="185" t="str">
        <f t="shared" si="13"/>
        <v/>
      </c>
      <c r="J137" s="184" t="e">
        <f t="shared" si="17"/>
        <v>#NUM!</v>
      </c>
      <c r="K137" s="184" t="e">
        <f t="shared" si="14"/>
        <v>#NUM!</v>
      </c>
      <c r="L137" s="184"/>
      <c r="M137" s="186">
        <f t="shared" si="15"/>
        <v>0</v>
      </c>
      <c r="S137" s="174"/>
      <c r="T137" s="174"/>
      <c r="U137" s="174"/>
      <c r="V137" s="174"/>
      <c r="W137" s="174"/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</row>
    <row r="138" spans="1:38" s="169" customFormat="1" x14ac:dyDescent="0.25">
      <c r="A138" s="97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81">
        <v>133</v>
      </c>
      <c r="I138" s="182" t="str">
        <f t="shared" si="13"/>
        <v/>
      </c>
      <c r="J138" s="181" t="e">
        <f t="shared" si="17"/>
        <v>#NUM!</v>
      </c>
      <c r="K138" s="181" t="e">
        <f t="shared" si="14"/>
        <v>#NUM!</v>
      </c>
      <c r="L138" s="181"/>
      <c r="M138" s="183">
        <f t="shared" si="15"/>
        <v>0</v>
      </c>
      <c r="S138" s="174"/>
      <c r="T138" s="174"/>
      <c r="U138" s="174"/>
      <c r="V138" s="174"/>
      <c r="W138" s="174"/>
      <c r="X138" s="174"/>
      <c r="Y138" s="174"/>
      <c r="Z138" s="174"/>
      <c r="AA138" s="174"/>
      <c r="AB138" s="174"/>
      <c r="AC138" s="174"/>
      <c r="AD138" s="174"/>
      <c r="AE138" s="174"/>
      <c r="AF138" s="174"/>
      <c r="AG138" s="174"/>
      <c r="AH138" s="174"/>
      <c r="AI138" s="174"/>
      <c r="AJ138" s="174"/>
      <c r="AK138" s="174"/>
      <c r="AL138" s="174"/>
    </row>
    <row r="139" spans="1:38" s="169" customFormat="1" x14ac:dyDescent="0.25">
      <c r="A139" s="101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84">
        <v>134</v>
      </c>
      <c r="I139" s="185" t="str">
        <f t="shared" si="13"/>
        <v/>
      </c>
      <c r="J139" s="184" t="e">
        <f t="shared" si="17"/>
        <v>#NUM!</v>
      </c>
      <c r="K139" s="184" t="e">
        <f t="shared" si="14"/>
        <v>#NUM!</v>
      </c>
      <c r="L139" s="184"/>
      <c r="M139" s="186">
        <f t="shared" si="15"/>
        <v>0</v>
      </c>
      <c r="S139" s="174"/>
      <c r="T139" s="174"/>
      <c r="U139" s="174"/>
      <c r="V139" s="174"/>
      <c r="W139" s="174"/>
      <c r="X139" s="174"/>
      <c r="Y139" s="174"/>
      <c r="Z139" s="174"/>
      <c r="AA139" s="174"/>
      <c r="AB139" s="174"/>
      <c r="AC139" s="174"/>
      <c r="AD139" s="174"/>
      <c r="AE139" s="174"/>
      <c r="AF139" s="174"/>
      <c r="AG139" s="174"/>
      <c r="AH139" s="174"/>
      <c r="AI139" s="174"/>
      <c r="AJ139" s="174"/>
      <c r="AK139" s="174"/>
      <c r="AL139" s="174"/>
    </row>
    <row r="140" spans="1:38" s="169" customFormat="1" x14ac:dyDescent="0.25">
      <c r="A140" s="97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81">
        <v>135</v>
      </c>
      <c r="I140" s="182" t="str">
        <f t="shared" si="13"/>
        <v/>
      </c>
      <c r="J140" s="181" t="e">
        <f t="shared" si="17"/>
        <v>#NUM!</v>
      </c>
      <c r="K140" s="181" t="e">
        <f t="shared" si="14"/>
        <v>#NUM!</v>
      </c>
      <c r="L140" s="181"/>
      <c r="M140" s="183">
        <f t="shared" si="15"/>
        <v>0</v>
      </c>
      <c r="S140" s="174"/>
      <c r="T140" s="174"/>
      <c r="U140" s="174"/>
      <c r="V140" s="174"/>
      <c r="W140" s="174"/>
      <c r="X140" s="174"/>
      <c r="Y140" s="174"/>
      <c r="Z140" s="174"/>
      <c r="AA140" s="174"/>
      <c r="AB140" s="174"/>
      <c r="AC140" s="174"/>
      <c r="AD140" s="174"/>
      <c r="AE140" s="174"/>
      <c r="AF140" s="174"/>
      <c r="AG140" s="174"/>
      <c r="AH140" s="174"/>
      <c r="AI140" s="174"/>
      <c r="AJ140" s="174"/>
      <c r="AK140" s="174"/>
      <c r="AL140" s="174"/>
    </row>
    <row r="141" spans="1:38" x14ac:dyDescent="0.25">
      <c r="A141" s="198"/>
      <c r="G141" s="169"/>
      <c r="H141" s="184">
        <v>136</v>
      </c>
      <c r="I141" s="182" t="str">
        <f t="shared" si="13"/>
        <v/>
      </c>
      <c r="J141" s="181" t="e">
        <f t="shared" si="17"/>
        <v>#NUM!</v>
      </c>
      <c r="K141" s="181" t="e">
        <f t="shared" si="14"/>
        <v>#NUM!</v>
      </c>
      <c r="L141" s="181"/>
      <c r="M141" s="183">
        <f t="shared" si="15"/>
        <v>0</v>
      </c>
    </row>
    <row r="142" spans="1:38" x14ac:dyDescent="0.25">
      <c r="A142" s="198"/>
      <c r="G142" s="169"/>
      <c r="H142" s="181">
        <v>137</v>
      </c>
      <c r="I142" s="182" t="str">
        <f t="shared" si="13"/>
        <v/>
      </c>
      <c r="J142" s="181" t="e">
        <f t="shared" si="17"/>
        <v>#NUM!</v>
      </c>
      <c r="K142" s="181" t="e">
        <f t="shared" si="14"/>
        <v>#NUM!</v>
      </c>
      <c r="L142" s="181"/>
      <c r="M142" s="183">
        <f t="shared" si="15"/>
        <v>0</v>
      </c>
    </row>
    <row r="143" spans="1:38" x14ac:dyDescent="0.25">
      <c r="A143" s="198"/>
      <c r="G143" s="169"/>
      <c r="H143" s="184">
        <v>138</v>
      </c>
      <c r="I143" s="182" t="str">
        <f t="shared" si="13"/>
        <v/>
      </c>
      <c r="J143" s="181" t="e">
        <f t="shared" si="17"/>
        <v>#NUM!</v>
      </c>
      <c r="K143" s="181" t="e">
        <f t="shared" si="14"/>
        <v>#NUM!</v>
      </c>
      <c r="L143" s="181"/>
      <c r="M143" s="183">
        <f t="shared" si="15"/>
        <v>0</v>
      </c>
    </row>
    <row r="144" spans="1:38" x14ac:dyDescent="0.25">
      <c r="A144" s="198"/>
      <c r="G144" s="169"/>
      <c r="H144" s="181">
        <v>139</v>
      </c>
      <c r="I144" s="182" t="str">
        <f t="shared" si="13"/>
        <v/>
      </c>
      <c r="J144" s="181" t="e">
        <f t="shared" si="17"/>
        <v>#NUM!</v>
      </c>
      <c r="K144" s="181" t="e">
        <f t="shared" si="14"/>
        <v>#NUM!</v>
      </c>
      <c r="L144" s="181"/>
      <c r="M144" s="183">
        <f t="shared" si="15"/>
        <v>0</v>
      </c>
    </row>
    <row r="145" spans="1:13" x14ac:dyDescent="0.25">
      <c r="A145" s="198"/>
      <c r="G145" s="169"/>
      <c r="H145" s="184">
        <v>140</v>
      </c>
      <c r="I145" s="182" t="str">
        <f t="shared" si="13"/>
        <v/>
      </c>
      <c r="J145" s="181" t="e">
        <f t="shared" si="17"/>
        <v>#NUM!</v>
      </c>
      <c r="K145" s="181" t="e">
        <f t="shared" si="14"/>
        <v>#NUM!</v>
      </c>
      <c r="L145" s="181"/>
      <c r="M145" s="183">
        <f t="shared" si="15"/>
        <v>0</v>
      </c>
    </row>
    <row r="146" spans="1:13" x14ac:dyDescent="0.25">
      <c r="A146" s="198"/>
      <c r="G146" s="169"/>
      <c r="H146" s="181">
        <v>141</v>
      </c>
      <c r="I146" s="182" t="str">
        <f t="shared" si="13"/>
        <v/>
      </c>
      <c r="J146" s="181" t="e">
        <f t="shared" si="17"/>
        <v>#NUM!</v>
      </c>
      <c r="K146" s="181" t="e">
        <f t="shared" si="14"/>
        <v>#NUM!</v>
      </c>
      <c r="L146" s="181"/>
      <c r="M146" s="183">
        <f t="shared" si="15"/>
        <v>0</v>
      </c>
    </row>
    <row r="147" spans="1:13" x14ac:dyDescent="0.25">
      <c r="A147" s="198"/>
      <c r="G147" s="169"/>
      <c r="H147" s="184">
        <v>142</v>
      </c>
      <c r="I147" s="182" t="str">
        <f t="shared" si="13"/>
        <v/>
      </c>
      <c r="J147" s="181" t="e">
        <f t="shared" si="17"/>
        <v>#NUM!</v>
      </c>
      <c r="K147" s="181" t="e">
        <f t="shared" si="14"/>
        <v>#NUM!</v>
      </c>
      <c r="L147" s="181"/>
      <c r="M147" s="183">
        <f t="shared" si="15"/>
        <v>0</v>
      </c>
    </row>
    <row r="148" spans="1:13" x14ac:dyDescent="0.25">
      <c r="A148" s="198"/>
      <c r="G148" s="169"/>
      <c r="H148" s="181">
        <v>143</v>
      </c>
      <c r="I148" s="182" t="str">
        <f t="shared" si="13"/>
        <v/>
      </c>
      <c r="J148" s="181" t="e">
        <f t="shared" si="17"/>
        <v>#NUM!</v>
      </c>
      <c r="K148" s="181" t="e">
        <f t="shared" si="14"/>
        <v>#NUM!</v>
      </c>
      <c r="L148" s="181"/>
      <c r="M148" s="183">
        <f t="shared" si="15"/>
        <v>0</v>
      </c>
    </row>
    <row r="149" spans="1:13" x14ac:dyDescent="0.25">
      <c r="A149" s="198"/>
      <c r="G149" s="169"/>
      <c r="H149" s="184">
        <v>144</v>
      </c>
      <c r="I149" s="182" t="str">
        <f t="shared" si="13"/>
        <v/>
      </c>
      <c r="J149" s="181" t="e">
        <f t="shared" si="17"/>
        <v>#NUM!</v>
      </c>
      <c r="K149" s="181" t="e">
        <f t="shared" si="14"/>
        <v>#NUM!</v>
      </c>
      <c r="L149" s="181"/>
      <c r="M149" s="183">
        <f t="shared" si="15"/>
        <v>0</v>
      </c>
    </row>
    <row r="150" spans="1:13" x14ac:dyDescent="0.25">
      <c r="A150" s="198"/>
      <c r="G150" s="169"/>
      <c r="H150" s="181">
        <v>145</v>
      </c>
      <c r="I150" s="182" t="str">
        <f t="shared" si="13"/>
        <v/>
      </c>
      <c r="J150" s="181" t="e">
        <f t="shared" si="17"/>
        <v>#NUM!</v>
      </c>
      <c r="K150" s="181" t="e">
        <f t="shared" si="14"/>
        <v>#NUM!</v>
      </c>
      <c r="L150" s="181"/>
      <c r="M150" s="183">
        <f t="shared" si="15"/>
        <v>0</v>
      </c>
    </row>
    <row r="151" spans="1:13" x14ac:dyDescent="0.25">
      <c r="A151" s="198"/>
      <c r="G151" s="169"/>
      <c r="H151" s="184">
        <v>146</v>
      </c>
      <c r="I151" s="182" t="str">
        <f t="shared" si="13"/>
        <v/>
      </c>
      <c r="J151" s="181" t="e">
        <f t="shared" si="17"/>
        <v>#NUM!</v>
      </c>
      <c r="K151" s="181" t="e">
        <f t="shared" si="14"/>
        <v>#NUM!</v>
      </c>
      <c r="L151" s="181"/>
      <c r="M151" s="183">
        <f t="shared" si="15"/>
        <v>0</v>
      </c>
    </row>
    <row r="152" spans="1:13" x14ac:dyDescent="0.25">
      <c r="A152" s="198"/>
      <c r="G152" s="169"/>
      <c r="H152" s="181">
        <v>147</v>
      </c>
      <c r="I152" s="182" t="str">
        <f t="shared" si="13"/>
        <v/>
      </c>
      <c r="J152" s="181" t="e">
        <f t="shared" si="17"/>
        <v>#NUM!</v>
      </c>
      <c r="K152" s="181" t="e">
        <f t="shared" si="14"/>
        <v>#NUM!</v>
      </c>
      <c r="L152" s="181"/>
      <c r="M152" s="183">
        <f t="shared" si="15"/>
        <v>0</v>
      </c>
    </row>
    <row r="153" spans="1:13" x14ac:dyDescent="0.25">
      <c r="A153" s="198"/>
      <c r="G153" s="169"/>
      <c r="H153" s="184">
        <v>148</v>
      </c>
      <c r="I153" s="182" t="str">
        <f t="shared" si="13"/>
        <v/>
      </c>
      <c r="J153" s="181" t="e">
        <f t="shared" si="17"/>
        <v>#NUM!</v>
      </c>
      <c r="K153" s="181" t="e">
        <f t="shared" si="14"/>
        <v>#NUM!</v>
      </c>
      <c r="L153" s="181"/>
      <c r="M153" s="183">
        <f t="shared" si="15"/>
        <v>0</v>
      </c>
    </row>
    <row r="154" spans="1:13" x14ac:dyDescent="0.25">
      <c r="A154" s="198"/>
      <c r="G154" s="169"/>
      <c r="H154" s="181">
        <v>149</v>
      </c>
      <c r="I154" s="182" t="str">
        <f t="shared" si="13"/>
        <v/>
      </c>
      <c r="J154" s="181" t="e">
        <f t="shared" si="17"/>
        <v>#NUM!</v>
      </c>
      <c r="K154" s="181" t="e">
        <f t="shared" si="14"/>
        <v>#NUM!</v>
      </c>
      <c r="L154" s="181"/>
      <c r="M154" s="183">
        <f t="shared" si="15"/>
        <v>0</v>
      </c>
    </row>
    <row r="155" spans="1:13" x14ac:dyDescent="0.25">
      <c r="A155" s="198"/>
      <c r="G155" s="169"/>
      <c r="H155" s="184">
        <v>150</v>
      </c>
      <c r="I155" s="182" t="str">
        <f t="shared" si="13"/>
        <v/>
      </c>
      <c r="J155" s="181" t="e">
        <f t="shared" si="17"/>
        <v>#NUM!</v>
      </c>
      <c r="K155" s="181" t="e">
        <f t="shared" si="14"/>
        <v>#NUM!</v>
      </c>
      <c r="L155" s="181"/>
      <c r="M155" s="183">
        <f t="shared" si="15"/>
        <v>0</v>
      </c>
    </row>
    <row r="156" spans="1:13" x14ac:dyDescent="0.25">
      <c r="A156" s="198"/>
      <c r="G156" s="169"/>
      <c r="H156" s="181">
        <v>151</v>
      </c>
      <c r="I156" s="182" t="str">
        <f t="shared" si="13"/>
        <v/>
      </c>
      <c r="J156" s="181" t="e">
        <f t="shared" si="17"/>
        <v>#NUM!</v>
      </c>
      <c r="K156" s="181" t="e">
        <f t="shared" si="14"/>
        <v>#NUM!</v>
      </c>
      <c r="L156" s="181"/>
      <c r="M156" s="183">
        <f t="shared" si="15"/>
        <v>0</v>
      </c>
    </row>
    <row r="157" spans="1:13" x14ac:dyDescent="0.25">
      <c r="A157" s="198"/>
      <c r="G157" s="169"/>
      <c r="H157" s="184">
        <v>152</v>
      </c>
      <c r="I157" s="182" t="str">
        <f t="shared" si="13"/>
        <v/>
      </c>
      <c r="J157" s="181" t="e">
        <f t="shared" si="17"/>
        <v>#NUM!</v>
      </c>
      <c r="K157" s="181" t="e">
        <f t="shared" si="14"/>
        <v>#NUM!</v>
      </c>
      <c r="L157" s="181"/>
      <c r="M157" s="183">
        <f t="shared" si="15"/>
        <v>0</v>
      </c>
    </row>
    <row r="158" spans="1:13" x14ac:dyDescent="0.25">
      <c r="A158" s="198"/>
      <c r="G158" s="169"/>
      <c r="H158" s="181">
        <v>153</v>
      </c>
      <c r="I158" s="182" t="str">
        <f t="shared" si="13"/>
        <v/>
      </c>
      <c r="J158" s="181" t="e">
        <f t="shared" si="17"/>
        <v>#NUM!</v>
      </c>
      <c r="K158" s="181" t="e">
        <f t="shared" si="14"/>
        <v>#NUM!</v>
      </c>
      <c r="L158" s="181"/>
      <c r="M158" s="183">
        <f t="shared" si="15"/>
        <v>0</v>
      </c>
    </row>
    <row r="159" spans="1:13" x14ac:dyDescent="0.25">
      <c r="A159" s="198"/>
      <c r="G159" s="169"/>
      <c r="H159" s="184">
        <v>154</v>
      </c>
      <c r="I159" s="182" t="str">
        <f t="shared" si="13"/>
        <v/>
      </c>
      <c r="J159" s="181" t="e">
        <f t="shared" si="17"/>
        <v>#NUM!</v>
      </c>
      <c r="K159" s="181" t="e">
        <f t="shared" si="14"/>
        <v>#NUM!</v>
      </c>
      <c r="L159" s="181"/>
      <c r="M159" s="183">
        <f t="shared" si="15"/>
        <v>0</v>
      </c>
    </row>
    <row r="160" spans="1:13" x14ac:dyDescent="0.25">
      <c r="A160" s="198"/>
      <c r="G160" s="169"/>
      <c r="H160" s="181">
        <v>155</v>
      </c>
      <c r="I160" s="182" t="str">
        <f t="shared" si="13"/>
        <v/>
      </c>
      <c r="J160" s="181" t="e">
        <f t="shared" si="17"/>
        <v>#NUM!</v>
      </c>
      <c r="K160" s="181" t="e">
        <f t="shared" si="14"/>
        <v>#NUM!</v>
      </c>
      <c r="L160" s="181"/>
      <c r="M160" s="183">
        <f t="shared" si="15"/>
        <v>0</v>
      </c>
    </row>
    <row r="161" spans="1:13" x14ac:dyDescent="0.25">
      <c r="A161" s="198"/>
      <c r="G161" s="169"/>
      <c r="H161" s="184">
        <v>156</v>
      </c>
      <c r="I161" s="182" t="str">
        <f t="shared" si="13"/>
        <v/>
      </c>
      <c r="J161" s="181" t="e">
        <f t="shared" si="17"/>
        <v>#NUM!</v>
      </c>
      <c r="K161" s="181" t="e">
        <f t="shared" si="14"/>
        <v>#NUM!</v>
      </c>
      <c r="L161" s="181"/>
      <c r="M161" s="183">
        <f t="shared" si="15"/>
        <v>0</v>
      </c>
    </row>
    <row r="162" spans="1:13" x14ac:dyDescent="0.25">
      <c r="A162" s="198"/>
      <c r="G162" s="169"/>
      <c r="H162" s="181">
        <v>157</v>
      </c>
      <c r="I162" s="182" t="str">
        <f t="shared" si="13"/>
        <v/>
      </c>
      <c r="J162" s="181" t="e">
        <f t="shared" si="17"/>
        <v>#NUM!</v>
      </c>
      <c r="K162" s="181" t="e">
        <f t="shared" si="14"/>
        <v>#NUM!</v>
      </c>
      <c r="L162" s="181"/>
      <c r="M162" s="183">
        <f t="shared" si="15"/>
        <v>0</v>
      </c>
    </row>
    <row r="163" spans="1:13" x14ac:dyDescent="0.25">
      <c r="A163" s="198"/>
      <c r="G163" s="169"/>
      <c r="H163" s="184">
        <v>158</v>
      </c>
      <c r="I163" s="182" t="str">
        <f t="shared" si="13"/>
        <v/>
      </c>
      <c r="J163" s="181" t="e">
        <f t="shared" si="17"/>
        <v>#NUM!</v>
      </c>
      <c r="K163" s="181" t="e">
        <f t="shared" si="14"/>
        <v>#NUM!</v>
      </c>
      <c r="L163" s="181"/>
      <c r="M163" s="183">
        <f t="shared" si="15"/>
        <v>0</v>
      </c>
    </row>
    <row r="164" spans="1:13" x14ac:dyDescent="0.25">
      <c r="A164" s="198"/>
      <c r="G164" s="169"/>
      <c r="H164" s="181">
        <v>159</v>
      </c>
      <c r="I164" s="182" t="str">
        <f t="shared" si="13"/>
        <v/>
      </c>
      <c r="J164" s="181" t="e">
        <f t="shared" si="17"/>
        <v>#NUM!</v>
      </c>
      <c r="K164" s="181" t="e">
        <f t="shared" si="14"/>
        <v>#NUM!</v>
      </c>
      <c r="L164" s="181"/>
      <c r="M164" s="183">
        <f t="shared" si="15"/>
        <v>0</v>
      </c>
    </row>
    <row r="165" spans="1:13" x14ac:dyDescent="0.25">
      <c r="A165" s="198"/>
      <c r="G165" s="169"/>
      <c r="H165" s="184">
        <v>160</v>
      </c>
      <c r="I165" s="182" t="str">
        <f t="shared" si="13"/>
        <v/>
      </c>
      <c r="J165" s="181" t="e">
        <f t="shared" si="17"/>
        <v>#NUM!</v>
      </c>
      <c r="K165" s="181" t="e">
        <f t="shared" si="14"/>
        <v>#NUM!</v>
      </c>
      <c r="L165" s="181"/>
      <c r="M165" s="183">
        <f t="shared" si="15"/>
        <v>0</v>
      </c>
    </row>
    <row r="166" spans="1:13" x14ac:dyDescent="0.25">
      <c r="A166" s="198"/>
      <c r="G166" s="169"/>
      <c r="H166" s="181">
        <v>161</v>
      </c>
      <c r="I166" s="182" t="str">
        <f t="shared" si="13"/>
        <v/>
      </c>
      <c r="J166" s="181" t="e">
        <f t="shared" si="17"/>
        <v>#NUM!</v>
      </c>
      <c r="K166" s="181" t="e">
        <f t="shared" si="14"/>
        <v>#NUM!</v>
      </c>
      <c r="L166" s="181"/>
      <c r="M166" s="183">
        <f t="shared" si="15"/>
        <v>0</v>
      </c>
    </row>
    <row r="167" spans="1:13" x14ac:dyDescent="0.25">
      <c r="A167" s="198"/>
      <c r="G167" s="169"/>
      <c r="H167" s="184">
        <v>162</v>
      </c>
      <c r="I167" s="182" t="str">
        <f t="shared" si="13"/>
        <v/>
      </c>
      <c r="J167" s="181" t="e">
        <f t="shared" si="17"/>
        <v>#NUM!</v>
      </c>
      <c r="K167" s="181" t="e">
        <f t="shared" si="14"/>
        <v>#NUM!</v>
      </c>
      <c r="L167" s="181"/>
      <c r="M167" s="183">
        <f t="shared" si="15"/>
        <v>0</v>
      </c>
    </row>
    <row r="168" spans="1:13" x14ac:dyDescent="0.25">
      <c r="A168" s="198"/>
      <c r="G168" s="169"/>
      <c r="H168" s="181">
        <v>163</v>
      </c>
      <c r="I168" s="182" t="str">
        <f t="shared" si="13"/>
        <v/>
      </c>
      <c r="J168" s="181" t="e">
        <f t="shared" si="17"/>
        <v>#NUM!</v>
      </c>
      <c r="K168" s="181" t="e">
        <f t="shared" si="14"/>
        <v>#NUM!</v>
      </c>
      <c r="L168" s="181"/>
      <c r="M168" s="183">
        <f t="shared" si="15"/>
        <v>0</v>
      </c>
    </row>
    <row r="169" spans="1:13" x14ac:dyDescent="0.25">
      <c r="A169" s="198"/>
      <c r="C169" s="197" t="s">
        <v>54</v>
      </c>
      <c r="G169" s="169"/>
      <c r="H169" s="184">
        <v>164</v>
      </c>
      <c r="I169" s="182" t="str">
        <f t="shared" si="13"/>
        <v/>
      </c>
      <c r="J169" s="181" t="e">
        <f t="shared" si="17"/>
        <v>#NUM!</v>
      </c>
      <c r="K169" s="181" t="e">
        <f t="shared" si="14"/>
        <v>#NUM!</v>
      </c>
      <c r="L169" s="181"/>
      <c r="M169" s="183">
        <f t="shared" si="15"/>
        <v>0</v>
      </c>
    </row>
    <row r="170" spans="1:13" x14ac:dyDescent="0.25">
      <c r="A170" s="198"/>
      <c r="G170" s="169"/>
      <c r="H170" s="181">
        <v>165</v>
      </c>
      <c r="I170" s="182" t="str">
        <f t="shared" si="13"/>
        <v/>
      </c>
      <c r="J170" s="181" t="e">
        <f t="shared" si="17"/>
        <v>#NUM!</v>
      </c>
      <c r="K170" s="181" t="e">
        <f t="shared" si="14"/>
        <v>#NUM!</v>
      </c>
      <c r="L170" s="181"/>
      <c r="M170" s="183">
        <f t="shared" si="15"/>
        <v>0</v>
      </c>
    </row>
    <row r="171" spans="1:13" x14ac:dyDescent="0.25">
      <c r="A171" s="198"/>
      <c r="G171" s="169"/>
      <c r="H171" s="184">
        <v>166</v>
      </c>
      <c r="I171" s="182" t="str">
        <f t="shared" si="13"/>
        <v/>
      </c>
      <c r="J171" s="181" t="e">
        <f t="shared" si="17"/>
        <v>#NUM!</v>
      </c>
      <c r="K171" s="181" t="e">
        <f t="shared" si="14"/>
        <v>#NUM!</v>
      </c>
      <c r="L171" s="181"/>
      <c r="M171" s="183">
        <f t="shared" si="15"/>
        <v>0</v>
      </c>
    </row>
    <row r="172" spans="1:13" x14ac:dyDescent="0.25">
      <c r="A172" s="198"/>
      <c r="G172" s="169"/>
      <c r="H172" s="181">
        <v>167</v>
      </c>
      <c r="I172" s="182" t="str">
        <f t="shared" si="13"/>
        <v/>
      </c>
      <c r="J172" s="181" t="e">
        <f t="shared" si="17"/>
        <v>#NUM!</v>
      </c>
      <c r="K172" s="181" t="e">
        <f t="shared" si="14"/>
        <v>#NUM!</v>
      </c>
      <c r="L172" s="181"/>
      <c r="M172" s="183">
        <f t="shared" si="15"/>
        <v>0</v>
      </c>
    </row>
    <row r="173" spans="1:13" x14ac:dyDescent="0.25">
      <c r="A173" s="198"/>
      <c r="G173" s="169"/>
      <c r="H173" s="184">
        <v>168</v>
      </c>
      <c r="I173" s="182" t="str">
        <f t="shared" si="13"/>
        <v/>
      </c>
      <c r="J173" s="181" t="e">
        <f t="shared" si="17"/>
        <v>#NUM!</v>
      </c>
      <c r="K173" s="181" t="e">
        <f t="shared" si="14"/>
        <v>#NUM!</v>
      </c>
      <c r="L173" s="181"/>
      <c r="M173" s="183">
        <f t="shared" si="15"/>
        <v>0</v>
      </c>
    </row>
    <row r="174" spans="1:13" x14ac:dyDescent="0.25">
      <c r="A174" s="198"/>
      <c r="G174" s="169"/>
      <c r="H174" s="181">
        <v>169</v>
      </c>
      <c r="I174" s="182" t="str">
        <f t="shared" si="13"/>
        <v/>
      </c>
      <c r="J174" s="181" t="e">
        <f t="shared" si="17"/>
        <v>#NUM!</v>
      </c>
      <c r="K174" s="181" t="e">
        <f t="shared" si="14"/>
        <v>#NUM!</v>
      </c>
      <c r="L174" s="181"/>
      <c r="M174" s="183">
        <f t="shared" si="15"/>
        <v>0</v>
      </c>
    </row>
    <row r="175" spans="1:13" x14ac:dyDescent="0.25">
      <c r="A175" s="198"/>
      <c r="G175" s="169"/>
      <c r="H175" s="184">
        <v>170</v>
      </c>
      <c r="I175" s="182" t="str">
        <f t="shared" si="13"/>
        <v/>
      </c>
      <c r="J175" s="181" t="e">
        <f t="shared" si="17"/>
        <v>#NUM!</v>
      </c>
      <c r="K175" s="181" t="e">
        <f t="shared" si="14"/>
        <v>#NUM!</v>
      </c>
      <c r="L175" s="181"/>
      <c r="M175" s="183">
        <f t="shared" si="15"/>
        <v>0</v>
      </c>
    </row>
    <row r="176" spans="1:13" x14ac:dyDescent="0.25">
      <c r="A176" s="198"/>
      <c r="G176" s="169"/>
      <c r="H176" s="181">
        <v>171</v>
      </c>
      <c r="I176" s="182" t="str">
        <f t="shared" si="13"/>
        <v/>
      </c>
      <c r="J176" s="181" t="e">
        <f t="shared" si="17"/>
        <v>#NUM!</v>
      </c>
      <c r="K176" s="181" t="e">
        <f t="shared" si="14"/>
        <v>#NUM!</v>
      </c>
      <c r="L176" s="181"/>
      <c r="M176" s="183">
        <f t="shared" si="15"/>
        <v>0</v>
      </c>
    </row>
    <row r="177" spans="1:13" x14ac:dyDescent="0.25">
      <c r="A177" s="198"/>
      <c r="G177" s="169"/>
      <c r="H177" s="184">
        <v>172</v>
      </c>
      <c r="I177" s="182" t="str">
        <f t="shared" si="13"/>
        <v/>
      </c>
      <c r="J177" s="181" t="e">
        <f t="shared" si="17"/>
        <v>#NUM!</v>
      </c>
      <c r="K177" s="181" t="e">
        <f t="shared" si="14"/>
        <v>#NUM!</v>
      </c>
      <c r="L177" s="181"/>
      <c r="M177" s="183">
        <f t="shared" si="15"/>
        <v>0</v>
      </c>
    </row>
    <row r="178" spans="1:13" x14ac:dyDescent="0.25">
      <c r="A178" s="198"/>
      <c r="G178" s="169"/>
      <c r="H178" s="181">
        <v>173</v>
      </c>
      <c r="I178" s="182" t="str">
        <f t="shared" si="13"/>
        <v/>
      </c>
      <c r="J178" s="181" t="e">
        <f t="shared" si="17"/>
        <v>#NUM!</v>
      </c>
      <c r="K178" s="181" t="e">
        <f t="shared" si="14"/>
        <v>#NUM!</v>
      </c>
      <c r="L178" s="181"/>
      <c r="M178" s="183">
        <f t="shared" si="15"/>
        <v>0</v>
      </c>
    </row>
    <row r="179" spans="1:13" x14ac:dyDescent="0.25">
      <c r="A179" s="198"/>
      <c r="G179" s="169"/>
      <c r="H179" s="184">
        <v>174</v>
      </c>
      <c r="I179" s="182" t="str">
        <f t="shared" si="13"/>
        <v/>
      </c>
      <c r="J179" s="181" t="e">
        <f t="shared" si="17"/>
        <v>#NUM!</v>
      </c>
      <c r="K179" s="181" t="e">
        <f t="shared" si="14"/>
        <v>#NUM!</v>
      </c>
      <c r="L179" s="181"/>
      <c r="M179" s="183">
        <f t="shared" si="15"/>
        <v>0</v>
      </c>
    </row>
    <row r="180" spans="1:13" x14ac:dyDescent="0.25">
      <c r="A180" s="198"/>
      <c r="G180" s="169"/>
      <c r="H180" s="181">
        <v>175</v>
      </c>
      <c r="I180" s="182" t="str">
        <f t="shared" si="13"/>
        <v/>
      </c>
      <c r="J180" s="181" t="e">
        <f t="shared" si="17"/>
        <v>#NUM!</v>
      </c>
      <c r="K180" s="181" t="e">
        <f t="shared" si="14"/>
        <v>#NUM!</v>
      </c>
      <c r="L180" s="181"/>
      <c r="M180" s="183">
        <f t="shared" si="15"/>
        <v>0</v>
      </c>
    </row>
    <row r="181" spans="1:13" x14ac:dyDescent="0.25">
      <c r="A181" s="198"/>
      <c r="G181" s="169"/>
      <c r="H181" s="184">
        <v>176</v>
      </c>
      <c r="I181" s="182" t="str">
        <f t="shared" si="13"/>
        <v/>
      </c>
      <c r="J181" s="181" t="e">
        <f t="shared" si="17"/>
        <v>#NUM!</v>
      </c>
      <c r="K181" s="181" t="e">
        <f t="shared" si="14"/>
        <v>#NUM!</v>
      </c>
      <c r="L181" s="181"/>
      <c r="M181" s="183">
        <f t="shared" si="15"/>
        <v>0</v>
      </c>
    </row>
    <row r="182" spans="1:13" x14ac:dyDescent="0.25">
      <c r="A182" s="198"/>
      <c r="G182" s="169"/>
      <c r="H182" s="181">
        <v>177</v>
      </c>
      <c r="I182" s="182" t="str">
        <f t="shared" si="13"/>
        <v/>
      </c>
      <c r="J182" s="181" t="e">
        <f t="shared" si="17"/>
        <v>#NUM!</v>
      </c>
      <c r="K182" s="181" t="e">
        <f t="shared" si="14"/>
        <v>#NUM!</v>
      </c>
      <c r="L182" s="181"/>
      <c r="M182" s="183">
        <f t="shared" si="15"/>
        <v>0</v>
      </c>
    </row>
    <row r="183" spans="1:13" x14ac:dyDescent="0.25">
      <c r="A183" s="198"/>
      <c r="G183" s="169"/>
      <c r="H183" s="184">
        <v>178</v>
      </c>
      <c r="I183" s="182" t="str">
        <f t="shared" si="13"/>
        <v/>
      </c>
      <c r="J183" s="181" t="e">
        <f t="shared" si="17"/>
        <v>#NUM!</v>
      </c>
      <c r="K183" s="181" t="e">
        <f t="shared" si="14"/>
        <v>#NUM!</v>
      </c>
      <c r="L183" s="181"/>
      <c r="M183" s="183">
        <f t="shared" si="15"/>
        <v>0</v>
      </c>
    </row>
    <row r="184" spans="1:13" x14ac:dyDescent="0.25">
      <c r="A184" s="198"/>
      <c r="G184" s="169"/>
      <c r="H184" s="181">
        <v>179</v>
      </c>
      <c r="I184" s="182" t="str">
        <f t="shared" si="13"/>
        <v/>
      </c>
      <c r="J184" s="181" t="e">
        <f t="shared" si="17"/>
        <v>#NUM!</v>
      </c>
      <c r="K184" s="181" t="e">
        <f t="shared" si="14"/>
        <v>#NUM!</v>
      </c>
      <c r="L184" s="181"/>
      <c r="M184" s="183">
        <f t="shared" si="15"/>
        <v>0</v>
      </c>
    </row>
    <row r="185" spans="1:13" x14ac:dyDescent="0.25">
      <c r="A185" s="198"/>
      <c r="G185" s="169"/>
      <c r="H185" s="184">
        <v>180</v>
      </c>
      <c r="I185" s="182" t="str">
        <f t="shared" si="13"/>
        <v/>
      </c>
      <c r="J185" s="181" t="e">
        <f t="shared" si="17"/>
        <v>#NUM!</v>
      </c>
      <c r="K185" s="181" t="e">
        <f t="shared" si="14"/>
        <v>#NUM!</v>
      </c>
      <c r="L185" s="181"/>
      <c r="M185" s="183">
        <f t="shared" si="15"/>
        <v>0</v>
      </c>
    </row>
    <row r="186" spans="1:13" x14ac:dyDescent="0.25">
      <c r="A186" s="198"/>
      <c r="G186" s="169"/>
      <c r="H186" s="181">
        <v>181</v>
      </c>
      <c r="I186" s="182" t="str">
        <f t="shared" si="13"/>
        <v/>
      </c>
      <c r="J186" s="181" t="e">
        <f t="shared" si="17"/>
        <v>#NUM!</v>
      </c>
      <c r="K186" s="181" t="e">
        <f t="shared" si="14"/>
        <v>#NUM!</v>
      </c>
      <c r="L186" s="181"/>
      <c r="M186" s="183">
        <f t="shared" si="15"/>
        <v>0</v>
      </c>
    </row>
    <row r="187" spans="1:13" x14ac:dyDescent="0.25">
      <c r="A187" s="198"/>
      <c r="G187" s="169"/>
      <c r="H187" s="184">
        <v>182</v>
      </c>
      <c r="I187" s="182" t="str">
        <f t="shared" si="13"/>
        <v/>
      </c>
      <c r="J187" s="181" t="e">
        <f t="shared" si="17"/>
        <v>#NUM!</v>
      </c>
      <c r="K187" s="181" t="e">
        <f t="shared" si="14"/>
        <v>#NUM!</v>
      </c>
      <c r="L187" s="181"/>
      <c r="M187" s="183">
        <f t="shared" si="15"/>
        <v>0</v>
      </c>
    </row>
    <row r="188" spans="1:13" x14ac:dyDescent="0.25">
      <c r="A188" s="198"/>
      <c r="G188" s="169"/>
      <c r="H188" s="181">
        <v>183</v>
      </c>
      <c r="I188" s="182" t="str">
        <f t="shared" si="13"/>
        <v/>
      </c>
      <c r="J188" s="181" t="e">
        <f t="shared" si="17"/>
        <v>#NUM!</v>
      </c>
      <c r="K188" s="181" t="e">
        <f t="shared" si="14"/>
        <v>#NUM!</v>
      </c>
      <c r="L188" s="181"/>
      <c r="M188" s="183">
        <f t="shared" si="15"/>
        <v>0</v>
      </c>
    </row>
    <row r="189" spans="1:13" x14ac:dyDescent="0.25">
      <c r="A189" s="198"/>
      <c r="G189" s="169"/>
      <c r="H189" s="184">
        <v>184</v>
      </c>
      <c r="I189" s="182" t="str">
        <f t="shared" si="13"/>
        <v/>
      </c>
      <c r="J189" s="181" t="e">
        <f t="shared" si="17"/>
        <v>#NUM!</v>
      </c>
      <c r="K189" s="181" t="e">
        <f t="shared" si="14"/>
        <v>#NUM!</v>
      </c>
      <c r="L189" s="181"/>
      <c r="M189" s="183">
        <f t="shared" si="15"/>
        <v>0</v>
      </c>
    </row>
    <row r="190" spans="1:13" x14ac:dyDescent="0.25">
      <c r="A190" s="198"/>
      <c r="G190" s="169"/>
      <c r="H190" s="181">
        <v>185</v>
      </c>
      <c r="I190" s="182" t="str">
        <f t="shared" si="13"/>
        <v/>
      </c>
      <c r="J190" s="181" t="e">
        <f t="shared" si="17"/>
        <v>#NUM!</v>
      </c>
      <c r="K190" s="181" t="e">
        <f t="shared" si="14"/>
        <v>#NUM!</v>
      </c>
      <c r="L190" s="181"/>
      <c r="M190" s="183">
        <f t="shared" si="15"/>
        <v>0</v>
      </c>
    </row>
    <row r="191" spans="1:13" x14ac:dyDescent="0.25">
      <c r="A191" s="198"/>
      <c r="G191" s="169"/>
      <c r="H191" s="184">
        <v>186</v>
      </c>
      <c r="I191" s="182" t="str">
        <f t="shared" si="13"/>
        <v/>
      </c>
      <c r="J191" s="181" t="e">
        <f t="shared" si="17"/>
        <v>#NUM!</v>
      </c>
      <c r="K191" s="181" t="e">
        <f t="shared" si="14"/>
        <v>#NUM!</v>
      </c>
      <c r="L191" s="181"/>
      <c r="M191" s="183">
        <f t="shared" si="15"/>
        <v>0</v>
      </c>
    </row>
    <row r="192" spans="1:13" x14ac:dyDescent="0.25">
      <c r="A192" s="198"/>
      <c r="G192" s="169"/>
      <c r="H192" s="181">
        <v>187</v>
      </c>
      <c r="I192" s="182" t="str">
        <f t="shared" si="13"/>
        <v/>
      </c>
      <c r="J192" s="181" t="e">
        <f t="shared" si="17"/>
        <v>#NUM!</v>
      </c>
      <c r="K192" s="181" t="e">
        <f t="shared" si="14"/>
        <v>#NUM!</v>
      </c>
      <c r="L192" s="181"/>
      <c r="M192" s="183">
        <f t="shared" si="15"/>
        <v>0</v>
      </c>
    </row>
    <row r="193" spans="1:13" x14ac:dyDescent="0.25">
      <c r="A193" s="198"/>
      <c r="G193" s="169"/>
      <c r="H193" s="184">
        <v>188</v>
      </c>
      <c r="I193" s="182" t="str">
        <f t="shared" si="13"/>
        <v/>
      </c>
      <c r="J193" s="181" t="e">
        <f t="shared" si="17"/>
        <v>#NUM!</v>
      </c>
      <c r="K193" s="181" t="e">
        <f t="shared" si="14"/>
        <v>#NUM!</v>
      </c>
      <c r="L193" s="181"/>
      <c r="M193" s="183">
        <f t="shared" si="15"/>
        <v>0</v>
      </c>
    </row>
    <row r="194" spans="1:13" x14ac:dyDescent="0.25">
      <c r="A194" s="198"/>
      <c r="G194" s="169"/>
      <c r="H194" s="181">
        <v>189</v>
      </c>
      <c r="I194" s="182" t="str">
        <f t="shared" si="13"/>
        <v/>
      </c>
      <c r="J194" s="181" t="e">
        <f t="shared" si="17"/>
        <v>#NUM!</v>
      </c>
      <c r="K194" s="181" t="e">
        <f t="shared" si="14"/>
        <v>#NUM!</v>
      </c>
      <c r="L194" s="181"/>
      <c r="M194" s="183">
        <f t="shared" si="15"/>
        <v>0</v>
      </c>
    </row>
    <row r="195" spans="1:13" x14ac:dyDescent="0.25">
      <c r="A195" s="198"/>
      <c r="G195" s="169"/>
      <c r="H195" s="184">
        <v>190</v>
      </c>
      <c r="I195" s="182" t="str">
        <f t="shared" si="13"/>
        <v/>
      </c>
      <c r="J195" s="181" t="e">
        <f t="shared" si="17"/>
        <v>#NUM!</v>
      </c>
      <c r="K195" s="181" t="e">
        <f t="shared" si="14"/>
        <v>#NUM!</v>
      </c>
      <c r="L195" s="181"/>
      <c r="M195" s="183">
        <f t="shared" si="15"/>
        <v>0</v>
      </c>
    </row>
    <row r="196" spans="1:13" x14ac:dyDescent="0.25">
      <c r="A196" s="198"/>
      <c r="G196" s="169"/>
      <c r="H196" s="181">
        <v>191</v>
      </c>
      <c r="I196" s="182" t="str">
        <f t="shared" si="13"/>
        <v/>
      </c>
      <c r="J196" s="181" t="e">
        <f t="shared" si="17"/>
        <v>#NUM!</v>
      </c>
      <c r="K196" s="181" t="e">
        <f t="shared" si="14"/>
        <v>#NUM!</v>
      </c>
      <c r="L196" s="181"/>
      <c r="M196" s="183">
        <f t="shared" si="15"/>
        <v>0</v>
      </c>
    </row>
    <row r="197" spans="1:13" x14ac:dyDescent="0.25">
      <c r="A197" s="198"/>
      <c r="G197" s="169"/>
      <c r="H197" s="184">
        <v>192</v>
      </c>
      <c r="I197" s="182" t="str">
        <f t="shared" si="13"/>
        <v/>
      </c>
      <c r="J197" s="181" t="e">
        <f t="shared" si="17"/>
        <v>#NUM!</v>
      </c>
      <c r="K197" s="181" t="e">
        <f t="shared" si="14"/>
        <v>#NUM!</v>
      </c>
      <c r="L197" s="181"/>
      <c r="M197" s="183">
        <f t="shared" si="15"/>
        <v>0</v>
      </c>
    </row>
    <row r="198" spans="1:13" x14ac:dyDescent="0.25">
      <c r="A198" s="198"/>
      <c r="G198" s="169"/>
      <c r="H198" s="181">
        <v>193</v>
      </c>
      <c r="I198" s="182" t="str">
        <f t="shared" ref="I198:I261" si="18">IF(H198&lt;$H$2+1,($I$2-($I$2-1)*(LOG(H198)/LOG($H$2))),"")</f>
        <v/>
      </c>
      <c r="J198" s="181" t="e">
        <f t="shared" si="17"/>
        <v>#NUM!</v>
      </c>
      <c r="K198" s="181" t="e">
        <f t="shared" ref="K198:K261" si="19">J198*$J$2</f>
        <v>#NUM!</v>
      </c>
      <c r="L198" s="181"/>
      <c r="M198" s="183">
        <f t="shared" ref="M198:M261" si="20">IF(I198&lt;&gt;"",K198+I198+L198,0)</f>
        <v>0</v>
      </c>
    </row>
    <row r="199" spans="1:13" x14ac:dyDescent="0.25">
      <c r="A199" s="198"/>
      <c r="G199" s="169"/>
      <c r="H199" s="184">
        <v>194</v>
      </c>
      <c r="I199" s="182" t="str">
        <f t="shared" si="18"/>
        <v/>
      </c>
      <c r="J199" s="181" t="e">
        <f t="shared" ref="J199:J262" si="21">INT(LOG($H$2,2))-ROUNDUP(LOG(H199,2),0)+IF(OR($H$2=1,$H$2=2,$H$2=4,$H$2=8,$H$2=16,$H$2=32,$H$2=64,$H$2=128,$H$2=256),0,1)</f>
        <v>#NUM!</v>
      </c>
      <c r="K199" s="181" t="e">
        <f t="shared" si="19"/>
        <v>#NUM!</v>
      </c>
      <c r="L199" s="181"/>
      <c r="M199" s="183">
        <f t="shared" si="20"/>
        <v>0</v>
      </c>
    </row>
    <row r="200" spans="1:13" x14ac:dyDescent="0.25">
      <c r="A200" s="198"/>
      <c r="G200" s="169"/>
      <c r="H200" s="181">
        <v>195</v>
      </c>
      <c r="I200" s="182" t="str">
        <f t="shared" si="18"/>
        <v/>
      </c>
      <c r="J200" s="181" t="e">
        <f t="shared" si="21"/>
        <v>#NUM!</v>
      </c>
      <c r="K200" s="181" t="e">
        <f t="shared" si="19"/>
        <v>#NUM!</v>
      </c>
      <c r="L200" s="181"/>
      <c r="M200" s="183">
        <f t="shared" si="20"/>
        <v>0</v>
      </c>
    </row>
    <row r="201" spans="1:13" x14ac:dyDescent="0.25">
      <c r="A201" s="198"/>
      <c r="G201" s="169"/>
      <c r="H201" s="184">
        <v>196</v>
      </c>
      <c r="I201" s="182" t="str">
        <f t="shared" si="18"/>
        <v/>
      </c>
      <c r="J201" s="181" t="e">
        <f t="shared" si="21"/>
        <v>#NUM!</v>
      </c>
      <c r="K201" s="181" t="e">
        <f t="shared" si="19"/>
        <v>#NUM!</v>
      </c>
      <c r="L201" s="181"/>
      <c r="M201" s="183">
        <f t="shared" si="20"/>
        <v>0</v>
      </c>
    </row>
    <row r="202" spans="1:13" x14ac:dyDescent="0.25">
      <c r="A202" s="198"/>
      <c r="G202" s="169"/>
      <c r="H202" s="181">
        <v>197</v>
      </c>
      <c r="I202" s="182" t="str">
        <f t="shared" si="18"/>
        <v/>
      </c>
      <c r="J202" s="181" t="e">
        <f t="shared" si="21"/>
        <v>#NUM!</v>
      </c>
      <c r="K202" s="181" t="e">
        <f t="shared" si="19"/>
        <v>#NUM!</v>
      </c>
      <c r="L202" s="181"/>
      <c r="M202" s="183">
        <f t="shared" si="20"/>
        <v>0</v>
      </c>
    </row>
    <row r="203" spans="1:13" x14ac:dyDescent="0.25">
      <c r="A203" s="198"/>
      <c r="G203" s="169"/>
      <c r="H203" s="184">
        <v>198</v>
      </c>
      <c r="I203" s="182" t="str">
        <f t="shared" si="18"/>
        <v/>
      </c>
      <c r="J203" s="181" t="e">
        <f t="shared" si="21"/>
        <v>#NUM!</v>
      </c>
      <c r="K203" s="181" t="e">
        <f t="shared" si="19"/>
        <v>#NUM!</v>
      </c>
      <c r="L203" s="181"/>
      <c r="M203" s="183">
        <f t="shared" si="20"/>
        <v>0</v>
      </c>
    </row>
    <row r="204" spans="1:13" x14ac:dyDescent="0.25">
      <c r="A204" s="198"/>
      <c r="G204" s="169"/>
      <c r="H204" s="181">
        <v>199</v>
      </c>
      <c r="I204" s="182" t="str">
        <f t="shared" si="18"/>
        <v/>
      </c>
      <c r="J204" s="181" t="e">
        <f t="shared" si="21"/>
        <v>#NUM!</v>
      </c>
      <c r="K204" s="181" t="e">
        <f t="shared" si="19"/>
        <v>#NUM!</v>
      </c>
      <c r="L204" s="181"/>
      <c r="M204" s="183">
        <f t="shared" si="20"/>
        <v>0</v>
      </c>
    </row>
    <row r="205" spans="1:13" x14ac:dyDescent="0.25">
      <c r="A205" s="198"/>
      <c r="G205" s="169"/>
      <c r="H205" s="184">
        <v>200</v>
      </c>
      <c r="I205" s="182" t="str">
        <f t="shared" si="18"/>
        <v/>
      </c>
      <c r="J205" s="181" t="e">
        <f t="shared" si="21"/>
        <v>#NUM!</v>
      </c>
      <c r="K205" s="181" t="e">
        <f t="shared" si="19"/>
        <v>#NUM!</v>
      </c>
      <c r="L205" s="181"/>
      <c r="M205" s="183">
        <f t="shared" si="20"/>
        <v>0</v>
      </c>
    </row>
    <row r="206" spans="1:13" x14ac:dyDescent="0.25">
      <c r="A206" s="198"/>
      <c r="G206" s="169"/>
      <c r="H206" s="181">
        <v>201</v>
      </c>
      <c r="I206" s="182" t="str">
        <f t="shared" si="18"/>
        <v/>
      </c>
      <c r="J206" s="181" t="e">
        <f t="shared" si="21"/>
        <v>#NUM!</v>
      </c>
      <c r="K206" s="181" t="e">
        <f t="shared" si="19"/>
        <v>#NUM!</v>
      </c>
      <c r="L206" s="181"/>
      <c r="M206" s="183">
        <f t="shared" si="20"/>
        <v>0</v>
      </c>
    </row>
    <row r="207" spans="1:13" x14ac:dyDescent="0.25">
      <c r="A207" s="198"/>
      <c r="G207" s="169"/>
      <c r="H207" s="184">
        <v>202</v>
      </c>
      <c r="I207" s="182" t="str">
        <f t="shared" si="18"/>
        <v/>
      </c>
      <c r="J207" s="181" t="e">
        <f t="shared" si="21"/>
        <v>#NUM!</v>
      </c>
      <c r="K207" s="181" t="e">
        <f t="shared" si="19"/>
        <v>#NUM!</v>
      </c>
      <c r="L207" s="181"/>
      <c r="M207" s="183">
        <f t="shared" si="20"/>
        <v>0</v>
      </c>
    </row>
    <row r="208" spans="1:13" x14ac:dyDescent="0.25">
      <c r="A208" s="198"/>
      <c r="G208" s="169"/>
      <c r="H208" s="181">
        <v>203</v>
      </c>
      <c r="I208" s="182" t="str">
        <f t="shared" si="18"/>
        <v/>
      </c>
      <c r="J208" s="181" t="e">
        <f t="shared" si="21"/>
        <v>#NUM!</v>
      </c>
      <c r="K208" s="181" t="e">
        <f t="shared" si="19"/>
        <v>#NUM!</v>
      </c>
      <c r="L208" s="181"/>
      <c r="M208" s="183">
        <f t="shared" si="20"/>
        <v>0</v>
      </c>
    </row>
    <row r="209" spans="1:13" x14ac:dyDescent="0.25">
      <c r="A209" s="198"/>
      <c r="G209" s="169"/>
      <c r="H209" s="184">
        <v>204</v>
      </c>
      <c r="I209" s="182" t="str">
        <f t="shared" si="18"/>
        <v/>
      </c>
      <c r="J209" s="181" t="e">
        <f t="shared" si="21"/>
        <v>#NUM!</v>
      </c>
      <c r="K209" s="181" t="e">
        <f t="shared" si="19"/>
        <v>#NUM!</v>
      </c>
      <c r="L209" s="181"/>
      <c r="M209" s="183">
        <f t="shared" si="20"/>
        <v>0</v>
      </c>
    </row>
    <row r="210" spans="1:13" x14ac:dyDescent="0.25">
      <c r="A210" s="198"/>
      <c r="G210" s="169"/>
      <c r="H210" s="181">
        <v>205</v>
      </c>
      <c r="I210" s="182" t="str">
        <f t="shared" si="18"/>
        <v/>
      </c>
      <c r="J210" s="181" t="e">
        <f t="shared" si="21"/>
        <v>#NUM!</v>
      </c>
      <c r="K210" s="181" t="e">
        <f t="shared" si="19"/>
        <v>#NUM!</v>
      </c>
      <c r="L210" s="181"/>
      <c r="M210" s="183">
        <f t="shared" si="20"/>
        <v>0</v>
      </c>
    </row>
    <row r="211" spans="1:13" x14ac:dyDescent="0.25">
      <c r="A211" s="198"/>
      <c r="G211" s="169"/>
      <c r="H211" s="184">
        <v>206</v>
      </c>
      <c r="I211" s="182" t="str">
        <f t="shared" si="18"/>
        <v/>
      </c>
      <c r="J211" s="181" t="e">
        <f t="shared" si="21"/>
        <v>#NUM!</v>
      </c>
      <c r="K211" s="181" t="e">
        <f t="shared" si="19"/>
        <v>#NUM!</v>
      </c>
      <c r="L211" s="181"/>
      <c r="M211" s="183">
        <f t="shared" si="20"/>
        <v>0</v>
      </c>
    </row>
    <row r="212" spans="1:13" x14ac:dyDescent="0.25">
      <c r="A212" s="198"/>
      <c r="G212" s="169"/>
      <c r="H212" s="181">
        <v>207</v>
      </c>
      <c r="I212" s="182" t="str">
        <f t="shared" si="18"/>
        <v/>
      </c>
      <c r="J212" s="181" t="e">
        <f t="shared" si="21"/>
        <v>#NUM!</v>
      </c>
      <c r="K212" s="181" t="e">
        <f t="shared" si="19"/>
        <v>#NUM!</v>
      </c>
      <c r="L212" s="181"/>
      <c r="M212" s="183">
        <f t="shared" si="20"/>
        <v>0</v>
      </c>
    </row>
    <row r="213" spans="1:13" x14ac:dyDescent="0.25">
      <c r="A213" s="198"/>
      <c r="G213" s="169"/>
      <c r="H213" s="184">
        <v>208</v>
      </c>
      <c r="I213" s="182" t="str">
        <f t="shared" si="18"/>
        <v/>
      </c>
      <c r="J213" s="181" t="e">
        <f t="shared" si="21"/>
        <v>#NUM!</v>
      </c>
      <c r="K213" s="181" t="e">
        <f t="shared" si="19"/>
        <v>#NUM!</v>
      </c>
      <c r="L213" s="181"/>
      <c r="M213" s="183">
        <f t="shared" si="20"/>
        <v>0</v>
      </c>
    </row>
    <row r="214" spans="1:13" x14ac:dyDescent="0.25">
      <c r="A214" s="198"/>
      <c r="G214" s="169"/>
      <c r="H214" s="181">
        <v>209</v>
      </c>
      <c r="I214" s="182" t="str">
        <f t="shared" si="18"/>
        <v/>
      </c>
      <c r="J214" s="181" t="e">
        <f t="shared" si="21"/>
        <v>#NUM!</v>
      </c>
      <c r="K214" s="181" t="e">
        <f t="shared" si="19"/>
        <v>#NUM!</v>
      </c>
      <c r="L214" s="181"/>
      <c r="M214" s="183">
        <f t="shared" si="20"/>
        <v>0</v>
      </c>
    </row>
    <row r="215" spans="1:13" x14ac:dyDescent="0.25">
      <c r="A215" s="198"/>
      <c r="G215" s="169"/>
      <c r="H215" s="184">
        <v>210</v>
      </c>
      <c r="I215" s="182" t="str">
        <f t="shared" si="18"/>
        <v/>
      </c>
      <c r="J215" s="181" t="e">
        <f t="shared" si="21"/>
        <v>#NUM!</v>
      </c>
      <c r="K215" s="181" t="e">
        <f t="shared" si="19"/>
        <v>#NUM!</v>
      </c>
      <c r="L215" s="181"/>
      <c r="M215" s="183">
        <f t="shared" si="20"/>
        <v>0</v>
      </c>
    </row>
    <row r="216" spans="1:13" x14ac:dyDescent="0.25">
      <c r="A216" s="198"/>
      <c r="G216" s="169"/>
      <c r="H216" s="181">
        <v>211</v>
      </c>
      <c r="I216" s="182" t="str">
        <f t="shared" si="18"/>
        <v/>
      </c>
      <c r="J216" s="181" t="e">
        <f t="shared" si="21"/>
        <v>#NUM!</v>
      </c>
      <c r="K216" s="181" t="e">
        <f t="shared" si="19"/>
        <v>#NUM!</v>
      </c>
      <c r="L216" s="181"/>
      <c r="M216" s="183">
        <f t="shared" si="20"/>
        <v>0</v>
      </c>
    </row>
    <row r="217" spans="1:13" x14ac:dyDescent="0.25">
      <c r="A217" s="198"/>
      <c r="G217" s="169"/>
      <c r="H217" s="184">
        <v>212</v>
      </c>
      <c r="I217" s="182" t="str">
        <f t="shared" si="18"/>
        <v/>
      </c>
      <c r="J217" s="181" t="e">
        <f t="shared" si="21"/>
        <v>#NUM!</v>
      </c>
      <c r="K217" s="181" t="e">
        <f t="shared" si="19"/>
        <v>#NUM!</v>
      </c>
      <c r="L217" s="181"/>
      <c r="M217" s="183">
        <f t="shared" si="20"/>
        <v>0</v>
      </c>
    </row>
    <row r="218" spans="1:13" x14ac:dyDescent="0.25">
      <c r="A218" s="198"/>
      <c r="G218" s="169"/>
      <c r="H218" s="181">
        <v>213</v>
      </c>
      <c r="I218" s="182" t="str">
        <f t="shared" si="18"/>
        <v/>
      </c>
      <c r="J218" s="181" t="e">
        <f t="shared" si="21"/>
        <v>#NUM!</v>
      </c>
      <c r="K218" s="181" t="e">
        <f t="shared" si="19"/>
        <v>#NUM!</v>
      </c>
      <c r="L218" s="181"/>
      <c r="M218" s="183">
        <f t="shared" si="20"/>
        <v>0</v>
      </c>
    </row>
    <row r="219" spans="1:13" x14ac:dyDescent="0.25">
      <c r="A219" s="198"/>
      <c r="G219" s="169"/>
      <c r="H219" s="184">
        <v>214</v>
      </c>
      <c r="I219" s="182" t="str">
        <f t="shared" si="18"/>
        <v/>
      </c>
      <c r="J219" s="181" t="e">
        <f t="shared" si="21"/>
        <v>#NUM!</v>
      </c>
      <c r="K219" s="181" t="e">
        <f t="shared" si="19"/>
        <v>#NUM!</v>
      </c>
      <c r="L219" s="181"/>
      <c r="M219" s="183">
        <f t="shared" si="20"/>
        <v>0</v>
      </c>
    </row>
    <row r="220" spans="1:13" x14ac:dyDescent="0.25">
      <c r="A220" s="198"/>
      <c r="G220" s="169"/>
      <c r="H220" s="181">
        <v>215</v>
      </c>
      <c r="I220" s="182" t="str">
        <f t="shared" si="18"/>
        <v/>
      </c>
      <c r="J220" s="181" t="e">
        <f t="shared" si="21"/>
        <v>#NUM!</v>
      </c>
      <c r="K220" s="181" t="e">
        <f t="shared" si="19"/>
        <v>#NUM!</v>
      </c>
      <c r="L220" s="181"/>
      <c r="M220" s="183">
        <f t="shared" si="20"/>
        <v>0</v>
      </c>
    </row>
    <row r="221" spans="1:13" x14ac:dyDescent="0.25">
      <c r="A221" s="198"/>
      <c r="G221" s="169"/>
      <c r="H221" s="184">
        <v>216</v>
      </c>
      <c r="I221" s="182" t="str">
        <f t="shared" si="18"/>
        <v/>
      </c>
      <c r="J221" s="181" t="e">
        <f t="shared" si="21"/>
        <v>#NUM!</v>
      </c>
      <c r="K221" s="181" t="e">
        <f t="shared" si="19"/>
        <v>#NUM!</v>
      </c>
      <c r="L221" s="181"/>
      <c r="M221" s="183">
        <f t="shared" si="20"/>
        <v>0</v>
      </c>
    </row>
    <row r="222" spans="1:13" x14ac:dyDescent="0.25">
      <c r="A222" s="198"/>
      <c r="G222" s="169"/>
      <c r="H222" s="181">
        <v>217</v>
      </c>
      <c r="I222" s="182" t="str">
        <f t="shared" si="18"/>
        <v/>
      </c>
      <c r="J222" s="181" t="e">
        <f t="shared" si="21"/>
        <v>#NUM!</v>
      </c>
      <c r="K222" s="181" t="e">
        <f t="shared" si="19"/>
        <v>#NUM!</v>
      </c>
      <c r="L222" s="181"/>
      <c r="M222" s="183">
        <f t="shared" si="20"/>
        <v>0</v>
      </c>
    </row>
    <row r="223" spans="1:13" x14ac:dyDescent="0.25">
      <c r="A223" s="198"/>
      <c r="G223" s="169"/>
      <c r="H223" s="184">
        <v>218</v>
      </c>
      <c r="I223" s="182" t="str">
        <f t="shared" si="18"/>
        <v/>
      </c>
      <c r="J223" s="181" t="e">
        <f t="shared" si="21"/>
        <v>#NUM!</v>
      </c>
      <c r="K223" s="181" t="e">
        <f t="shared" si="19"/>
        <v>#NUM!</v>
      </c>
      <c r="L223" s="181"/>
      <c r="M223" s="183">
        <f t="shared" si="20"/>
        <v>0</v>
      </c>
    </row>
    <row r="224" spans="1:13" x14ac:dyDescent="0.25">
      <c r="A224" s="198"/>
      <c r="G224" s="169"/>
      <c r="H224" s="181">
        <v>219</v>
      </c>
      <c r="I224" s="182" t="str">
        <f t="shared" si="18"/>
        <v/>
      </c>
      <c r="J224" s="181" t="e">
        <f t="shared" si="21"/>
        <v>#NUM!</v>
      </c>
      <c r="K224" s="181" t="e">
        <f t="shared" si="19"/>
        <v>#NUM!</v>
      </c>
      <c r="L224" s="181"/>
      <c r="M224" s="183">
        <f t="shared" si="20"/>
        <v>0</v>
      </c>
    </row>
    <row r="225" spans="1:13" x14ac:dyDescent="0.25">
      <c r="A225" s="198"/>
      <c r="G225" s="169"/>
      <c r="H225" s="184">
        <v>220</v>
      </c>
      <c r="I225" s="182" t="str">
        <f t="shared" si="18"/>
        <v/>
      </c>
      <c r="J225" s="181" t="e">
        <f t="shared" si="21"/>
        <v>#NUM!</v>
      </c>
      <c r="K225" s="181" t="e">
        <f t="shared" si="19"/>
        <v>#NUM!</v>
      </c>
      <c r="L225" s="181"/>
      <c r="M225" s="183">
        <f t="shared" si="20"/>
        <v>0</v>
      </c>
    </row>
    <row r="226" spans="1:13" x14ac:dyDescent="0.25">
      <c r="A226" s="198"/>
      <c r="G226" s="169"/>
      <c r="H226" s="181">
        <v>221</v>
      </c>
      <c r="I226" s="182" t="str">
        <f t="shared" si="18"/>
        <v/>
      </c>
      <c r="J226" s="181" t="e">
        <f t="shared" si="21"/>
        <v>#NUM!</v>
      </c>
      <c r="K226" s="181" t="e">
        <f t="shared" si="19"/>
        <v>#NUM!</v>
      </c>
      <c r="L226" s="181"/>
      <c r="M226" s="183">
        <f t="shared" si="20"/>
        <v>0</v>
      </c>
    </row>
    <row r="227" spans="1:13" x14ac:dyDescent="0.25">
      <c r="A227" s="198"/>
      <c r="G227" s="169"/>
      <c r="H227" s="184">
        <v>222</v>
      </c>
      <c r="I227" s="182" t="str">
        <f t="shared" si="18"/>
        <v/>
      </c>
      <c r="J227" s="181" t="e">
        <f t="shared" si="21"/>
        <v>#NUM!</v>
      </c>
      <c r="K227" s="181" t="e">
        <f t="shared" si="19"/>
        <v>#NUM!</v>
      </c>
      <c r="L227" s="181"/>
      <c r="M227" s="183">
        <f t="shared" si="20"/>
        <v>0</v>
      </c>
    </row>
    <row r="228" spans="1:13" x14ac:dyDescent="0.25">
      <c r="A228" s="198"/>
      <c r="G228" s="169"/>
      <c r="H228" s="181">
        <v>223</v>
      </c>
      <c r="I228" s="182" t="str">
        <f t="shared" si="18"/>
        <v/>
      </c>
      <c r="J228" s="181" t="e">
        <f t="shared" si="21"/>
        <v>#NUM!</v>
      </c>
      <c r="K228" s="181" t="e">
        <f t="shared" si="19"/>
        <v>#NUM!</v>
      </c>
      <c r="L228" s="181"/>
      <c r="M228" s="183">
        <f t="shared" si="20"/>
        <v>0</v>
      </c>
    </row>
    <row r="229" spans="1:13" x14ac:dyDescent="0.25">
      <c r="A229" s="198"/>
      <c r="G229" s="169"/>
      <c r="H229" s="184">
        <v>224</v>
      </c>
      <c r="I229" s="182" t="str">
        <f t="shared" si="18"/>
        <v/>
      </c>
      <c r="J229" s="181" t="e">
        <f t="shared" si="21"/>
        <v>#NUM!</v>
      </c>
      <c r="K229" s="181" t="e">
        <f t="shared" si="19"/>
        <v>#NUM!</v>
      </c>
      <c r="L229" s="181"/>
      <c r="M229" s="183">
        <f t="shared" si="20"/>
        <v>0</v>
      </c>
    </row>
    <row r="230" spans="1:13" x14ac:dyDescent="0.25">
      <c r="A230" s="198"/>
      <c r="G230" s="169"/>
      <c r="H230" s="181">
        <v>225</v>
      </c>
      <c r="I230" s="182" t="str">
        <f t="shared" si="18"/>
        <v/>
      </c>
      <c r="J230" s="181" t="e">
        <f t="shared" si="21"/>
        <v>#NUM!</v>
      </c>
      <c r="K230" s="181" t="e">
        <f t="shared" si="19"/>
        <v>#NUM!</v>
      </c>
      <c r="L230" s="181"/>
      <c r="M230" s="183">
        <f t="shared" si="20"/>
        <v>0</v>
      </c>
    </row>
    <row r="231" spans="1:13" x14ac:dyDescent="0.25">
      <c r="A231" s="198"/>
      <c r="G231" s="169"/>
      <c r="H231" s="184">
        <v>226</v>
      </c>
      <c r="I231" s="182" t="str">
        <f t="shared" si="18"/>
        <v/>
      </c>
      <c r="J231" s="181" t="e">
        <f t="shared" si="21"/>
        <v>#NUM!</v>
      </c>
      <c r="K231" s="181" t="e">
        <f t="shared" si="19"/>
        <v>#NUM!</v>
      </c>
      <c r="L231" s="181"/>
      <c r="M231" s="183">
        <f t="shared" si="20"/>
        <v>0</v>
      </c>
    </row>
    <row r="232" spans="1:13" x14ac:dyDescent="0.25">
      <c r="A232" s="198"/>
      <c r="G232" s="169"/>
      <c r="H232" s="181">
        <v>227</v>
      </c>
      <c r="I232" s="182" t="str">
        <f t="shared" si="18"/>
        <v/>
      </c>
      <c r="J232" s="181" t="e">
        <f t="shared" si="21"/>
        <v>#NUM!</v>
      </c>
      <c r="K232" s="181" t="e">
        <f t="shared" si="19"/>
        <v>#NUM!</v>
      </c>
      <c r="L232" s="181"/>
      <c r="M232" s="183">
        <f t="shared" si="20"/>
        <v>0</v>
      </c>
    </row>
    <row r="233" spans="1:13" x14ac:dyDescent="0.25">
      <c r="A233" s="198"/>
      <c r="G233" s="169"/>
      <c r="H233" s="184">
        <v>228</v>
      </c>
      <c r="I233" s="182" t="str">
        <f t="shared" si="18"/>
        <v/>
      </c>
      <c r="J233" s="181" t="e">
        <f t="shared" si="21"/>
        <v>#NUM!</v>
      </c>
      <c r="K233" s="181" t="e">
        <f t="shared" si="19"/>
        <v>#NUM!</v>
      </c>
      <c r="L233" s="181"/>
      <c r="M233" s="183">
        <f t="shared" si="20"/>
        <v>0</v>
      </c>
    </row>
    <row r="234" spans="1:13" x14ac:dyDescent="0.25">
      <c r="A234" s="198"/>
      <c r="G234" s="169"/>
      <c r="H234" s="181">
        <v>229</v>
      </c>
      <c r="I234" s="182" t="str">
        <f t="shared" si="18"/>
        <v/>
      </c>
      <c r="J234" s="181" t="e">
        <f t="shared" si="21"/>
        <v>#NUM!</v>
      </c>
      <c r="K234" s="181" t="e">
        <f t="shared" si="19"/>
        <v>#NUM!</v>
      </c>
      <c r="L234" s="181"/>
      <c r="M234" s="183">
        <f t="shared" si="20"/>
        <v>0</v>
      </c>
    </row>
    <row r="235" spans="1:13" x14ac:dyDescent="0.25">
      <c r="A235" s="198"/>
      <c r="G235" s="169"/>
      <c r="H235" s="184">
        <v>230</v>
      </c>
      <c r="I235" s="182" t="str">
        <f t="shared" si="18"/>
        <v/>
      </c>
      <c r="J235" s="181" t="e">
        <f t="shared" si="21"/>
        <v>#NUM!</v>
      </c>
      <c r="K235" s="181" t="e">
        <f t="shared" si="19"/>
        <v>#NUM!</v>
      </c>
      <c r="L235" s="181"/>
      <c r="M235" s="183">
        <f t="shared" si="20"/>
        <v>0</v>
      </c>
    </row>
    <row r="236" spans="1:13" x14ac:dyDescent="0.25">
      <c r="A236" s="198"/>
      <c r="G236" s="169"/>
      <c r="H236" s="181">
        <v>231</v>
      </c>
      <c r="I236" s="182" t="str">
        <f t="shared" si="18"/>
        <v/>
      </c>
      <c r="J236" s="181" t="e">
        <f t="shared" si="21"/>
        <v>#NUM!</v>
      </c>
      <c r="K236" s="181" t="e">
        <f t="shared" si="19"/>
        <v>#NUM!</v>
      </c>
      <c r="L236" s="181"/>
      <c r="M236" s="183">
        <f t="shared" si="20"/>
        <v>0</v>
      </c>
    </row>
    <row r="237" spans="1:13" x14ac:dyDescent="0.25">
      <c r="A237" s="198"/>
      <c r="G237" s="169"/>
      <c r="H237" s="184">
        <v>232</v>
      </c>
      <c r="I237" s="182" t="str">
        <f t="shared" si="18"/>
        <v/>
      </c>
      <c r="J237" s="181" t="e">
        <f t="shared" si="21"/>
        <v>#NUM!</v>
      </c>
      <c r="K237" s="181" t="e">
        <f t="shared" si="19"/>
        <v>#NUM!</v>
      </c>
      <c r="L237" s="181"/>
      <c r="M237" s="183">
        <f t="shared" si="20"/>
        <v>0</v>
      </c>
    </row>
    <row r="238" spans="1:13" x14ac:dyDescent="0.25">
      <c r="A238" s="198"/>
      <c r="G238" s="169"/>
      <c r="H238" s="181">
        <v>233</v>
      </c>
      <c r="I238" s="182" t="str">
        <f t="shared" si="18"/>
        <v/>
      </c>
      <c r="J238" s="181" t="e">
        <f t="shared" si="21"/>
        <v>#NUM!</v>
      </c>
      <c r="K238" s="181" t="e">
        <f t="shared" si="19"/>
        <v>#NUM!</v>
      </c>
      <c r="L238" s="181"/>
      <c r="M238" s="183">
        <f t="shared" si="20"/>
        <v>0</v>
      </c>
    </row>
    <row r="239" spans="1:13" x14ac:dyDescent="0.25">
      <c r="A239" s="198"/>
      <c r="G239" s="169"/>
      <c r="H239" s="184">
        <v>234</v>
      </c>
      <c r="I239" s="182" t="str">
        <f t="shared" si="18"/>
        <v/>
      </c>
      <c r="J239" s="181" t="e">
        <f t="shared" si="21"/>
        <v>#NUM!</v>
      </c>
      <c r="K239" s="181" t="e">
        <f t="shared" si="19"/>
        <v>#NUM!</v>
      </c>
      <c r="L239" s="181"/>
      <c r="M239" s="183">
        <f t="shared" si="20"/>
        <v>0</v>
      </c>
    </row>
    <row r="240" spans="1:13" x14ac:dyDescent="0.25">
      <c r="A240" s="198"/>
      <c r="G240" s="169"/>
      <c r="H240" s="181">
        <v>235</v>
      </c>
      <c r="I240" s="182" t="str">
        <f t="shared" si="18"/>
        <v/>
      </c>
      <c r="J240" s="181" t="e">
        <f t="shared" si="21"/>
        <v>#NUM!</v>
      </c>
      <c r="K240" s="181" t="e">
        <f t="shared" si="19"/>
        <v>#NUM!</v>
      </c>
      <c r="L240" s="181"/>
      <c r="M240" s="183">
        <f t="shared" si="20"/>
        <v>0</v>
      </c>
    </row>
    <row r="241" spans="1:13" x14ac:dyDescent="0.25">
      <c r="A241" s="198"/>
      <c r="G241" s="169"/>
      <c r="H241" s="184">
        <v>236</v>
      </c>
      <c r="I241" s="182" t="str">
        <f t="shared" si="18"/>
        <v/>
      </c>
      <c r="J241" s="181" t="e">
        <f t="shared" si="21"/>
        <v>#NUM!</v>
      </c>
      <c r="K241" s="181" t="e">
        <f t="shared" si="19"/>
        <v>#NUM!</v>
      </c>
      <c r="L241" s="181"/>
      <c r="M241" s="183">
        <f t="shared" si="20"/>
        <v>0</v>
      </c>
    </row>
    <row r="242" spans="1:13" x14ac:dyDescent="0.25">
      <c r="A242" s="198"/>
      <c r="G242" s="169"/>
      <c r="H242" s="181">
        <v>237</v>
      </c>
      <c r="I242" s="182" t="str">
        <f t="shared" si="18"/>
        <v/>
      </c>
      <c r="J242" s="181" t="e">
        <f t="shared" si="21"/>
        <v>#NUM!</v>
      </c>
      <c r="K242" s="181" t="e">
        <f t="shared" si="19"/>
        <v>#NUM!</v>
      </c>
      <c r="L242" s="181"/>
      <c r="M242" s="183">
        <f t="shared" si="20"/>
        <v>0</v>
      </c>
    </row>
    <row r="243" spans="1:13" x14ac:dyDescent="0.25">
      <c r="A243" s="198"/>
      <c r="G243" s="169"/>
      <c r="H243" s="184">
        <v>238</v>
      </c>
      <c r="I243" s="182" t="str">
        <f t="shared" si="18"/>
        <v/>
      </c>
      <c r="J243" s="181" t="e">
        <f t="shared" si="21"/>
        <v>#NUM!</v>
      </c>
      <c r="K243" s="181" t="e">
        <f t="shared" si="19"/>
        <v>#NUM!</v>
      </c>
      <c r="L243" s="181"/>
      <c r="M243" s="183">
        <f t="shared" si="20"/>
        <v>0</v>
      </c>
    </row>
    <row r="244" spans="1:13" x14ac:dyDescent="0.25">
      <c r="A244" s="198"/>
      <c r="G244" s="169"/>
      <c r="H244" s="181">
        <v>239</v>
      </c>
      <c r="I244" s="182" t="str">
        <f t="shared" si="18"/>
        <v/>
      </c>
      <c r="J244" s="181" t="e">
        <f t="shared" si="21"/>
        <v>#NUM!</v>
      </c>
      <c r="K244" s="181" t="e">
        <f t="shared" si="19"/>
        <v>#NUM!</v>
      </c>
      <c r="L244" s="181"/>
      <c r="M244" s="183">
        <f t="shared" si="20"/>
        <v>0</v>
      </c>
    </row>
    <row r="245" spans="1:13" x14ac:dyDescent="0.25">
      <c r="A245" s="198"/>
      <c r="G245" s="169"/>
      <c r="H245" s="184">
        <v>240</v>
      </c>
      <c r="I245" s="182" t="str">
        <f t="shared" si="18"/>
        <v/>
      </c>
      <c r="J245" s="181" t="e">
        <f t="shared" si="21"/>
        <v>#NUM!</v>
      </c>
      <c r="K245" s="181" t="e">
        <f t="shared" si="19"/>
        <v>#NUM!</v>
      </c>
      <c r="L245" s="181"/>
      <c r="M245" s="183">
        <f t="shared" si="20"/>
        <v>0</v>
      </c>
    </row>
    <row r="246" spans="1:13" x14ac:dyDescent="0.25">
      <c r="A246" s="198"/>
      <c r="G246" s="169"/>
      <c r="H246" s="181">
        <v>241</v>
      </c>
      <c r="I246" s="182" t="str">
        <f t="shared" si="18"/>
        <v/>
      </c>
      <c r="J246" s="181" t="e">
        <f t="shared" si="21"/>
        <v>#NUM!</v>
      </c>
      <c r="K246" s="181" t="e">
        <f t="shared" si="19"/>
        <v>#NUM!</v>
      </c>
      <c r="L246" s="181"/>
      <c r="M246" s="183">
        <f t="shared" si="20"/>
        <v>0</v>
      </c>
    </row>
    <row r="247" spans="1:13" x14ac:dyDescent="0.25">
      <c r="A247" s="198"/>
      <c r="G247" s="169"/>
      <c r="H247" s="184">
        <v>242</v>
      </c>
      <c r="I247" s="182" t="str">
        <f t="shared" si="18"/>
        <v/>
      </c>
      <c r="J247" s="181" t="e">
        <f t="shared" si="21"/>
        <v>#NUM!</v>
      </c>
      <c r="K247" s="181" t="e">
        <f t="shared" si="19"/>
        <v>#NUM!</v>
      </c>
      <c r="L247" s="181"/>
      <c r="M247" s="183">
        <f t="shared" si="20"/>
        <v>0</v>
      </c>
    </row>
    <row r="248" spans="1:13" x14ac:dyDescent="0.25">
      <c r="A248" s="198"/>
      <c r="G248" s="169"/>
      <c r="H248" s="181">
        <v>243</v>
      </c>
      <c r="I248" s="182" t="str">
        <f t="shared" si="18"/>
        <v/>
      </c>
      <c r="J248" s="181" t="e">
        <f t="shared" si="21"/>
        <v>#NUM!</v>
      </c>
      <c r="K248" s="181" t="e">
        <f t="shared" si="19"/>
        <v>#NUM!</v>
      </c>
      <c r="L248" s="181"/>
      <c r="M248" s="183">
        <f t="shared" si="20"/>
        <v>0</v>
      </c>
    </row>
    <row r="249" spans="1:13" x14ac:dyDescent="0.25">
      <c r="A249" s="198"/>
      <c r="G249" s="169"/>
      <c r="H249" s="184">
        <v>244</v>
      </c>
      <c r="I249" s="182" t="str">
        <f t="shared" si="18"/>
        <v/>
      </c>
      <c r="J249" s="181" t="e">
        <f t="shared" si="21"/>
        <v>#NUM!</v>
      </c>
      <c r="K249" s="181" t="e">
        <f t="shared" si="19"/>
        <v>#NUM!</v>
      </c>
      <c r="L249" s="181"/>
      <c r="M249" s="183">
        <f t="shared" si="20"/>
        <v>0</v>
      </c>
    </row>
    <row r="250" spans="1:13" x14ac:dyDescent="0.25">
      <c r="A250" s="198"/>
      <c r="G250" s="169"/>
      <c r="H250" s="181">
        <v>245</v>
      </c>
      <c r="I250" s="182" t="str">
        <f t="shared" si="18"/>
        <v/>
      </c>
      <c r="J250" s="181" t="e">
        <f t="shared" si="21"/>
        <v>#NUM!</v>
      </c>
      <c r="K250" s="181" t="e">
        <f t="shared" si="19"/>
        <v>#NUM!</v>
      </c>
      <c r="L250" s="181"/>
      <c r="M250" s="183">
        <f t="shared" si="20"/>
        <v>0</v>
      </c>
    </row>
    <row r="251" spans="1:13" x14ac:dyDescent="0.25">
      <c r="A251" s="198"/>
      <c r="G251" s="169"/>
      <c r="H251" s="184">
        <v>246</v>
      </c>
      <c r="I251" s="182" t="str">
        <f t="shared" si="18"/>
        <v/>
      </c>
      <c r="J251" s="181" t="e">
        <f t="shared" si="21"/>
        <v>#NUM!</v>
      </c>
      <c r="K251" s="181" t="e">
        <f t="shared" si="19"/>
        <v>#NUM!</v>
      </c>
      <c r="L251" s="181"/>
      <c r="M251" s="183">
        <f t="shared" si="20"/>
        <v>0</v>
      </c>
    </row>
    <row r="252" spans="1:13" x14ac:dyDescent="0.25">
      <c r="A252" s="198"/>
      <c r="G252" s="169"/>
      <c r="H252" s="181">
        <v>247</v>
      </c>
      <c r="I252" s="182" t="str">
        <f t="shared" si="18"/>
        <v/>
      </c>
      <c r="J252" s="181" t="e">
        <f t="shared" si="21"/>
        <v>#NUM!</v>
      </c>
      <c r="K252" s="181" t="e">
        <f t="shared" si="19"/>
        <v>#NUM!</v>
      </c>
      <c r="L252" s="181"/>
      <c r="M252" s="183">
        <f t="shared" si="20"/>
        <v>0</v>
      </c>
    </row>
    <row r="253" spans="1:13" x14ac:dyDescent="0.25">
      <c r="A253" s="198"/>
      <c r="G253" s="169"/>
      <c r="H253" s="184">
        <v>248</v>
      </c>
      <c r="I253" s="182" t="str">
        <f t="shared" si="18"/>
        <v/>
      </c>
      <c r="J253" s="181" t="e">
        <f t="shared" si="21"/>
        <v>#NUM!</v>
      </c>
      <c r="K253" s="181" t="e">
        <f t="shared" si="19"/>
        <v>#NUM!</v>
      </c>
      <c r="L253" s="181"/>
      <c r="M253" s="183">
        <f t="shared" si="20"/>
        <v>0</v>
      </c>
    </row>
    <row r="254" spans="1:13" x14ac:dyDescent="0.25">
      <c r="A254" s="198"/>
      <c r="G254" s="169"/>
      <c r="H254" s="181">
        <v>249</v>
      </c>
      <c r="I254" s="182" t="str">
        <f t="shared" si="18"/>
        <v/>
      </c>
      <c r="J254" s="181" t="e">
        <f t="shared" si="21"/>
        <v>#NUM!</v>
      </c>
      <c r="K254" s="181" t="e">
        <f t="shared" si="19"/>
        <v>#NUM!</v>
      </c>
      <c r="L254" s="181"/>
      <c r="M254" s="183">
        <f t="shared" si="20"/>
        <v>0</v>
      </c>
    </row>
    <row r="255" spans="1:13" x14ac:dyDescent="0.25">
      <c r="A255" s="198"/>
      <c r="G255" s="169"/>
      <c r="H255" s="184">
        <v>250</v>
      </c>
      <c r="I255" s="182" t="str">
        <f t="shared" si="18"/>
        <v/>
      </c>
      <c r="J255" s="181" t="e">
        <f t="shared" si="21"/>
        <v>#NUM!</v>
      </c>
      <c r="K255" s="181" t="e">
        <f t="shared" si="19"/>
        <v>#NUM!</v>
      </c>
      <c r="L255" s="181"/>
      <c r="M255" s="183">
        <f t="shared" si="20"/>
        <v>0</v>
      </c>
    </row>
    <row r="256" spans="1:13" x14ac:dyDescent="0.25">
      <c r="A256" s="198"/>
      <c r="G256" s="169"/>
      <c r="H256" s="181">
        <v>251</v>
      </c>
      <c r="I256" s="182" t="str">
        <f t="shared" si="18"/>
        <v/>
      </c>
      <c r="J256" s="181" t="e">
        <f t="shared" si="21"/>
        <v>#NUM!</v>
      </c>
      <c r="K256" s="181" t="e">
        <f t="shared" si="19"/>
        <v>#NUM!</v>
      </c>
      <c r="L256" s="181"/>
      <c r="M256" s="183">
        <f t="shared" si="20"/>
        <v>0</v>
      </c>
    </row>
    <row r="257" spans="1:13" x14ac:dyDescent="0.25">
      <c r="A257" s="198"/>
      <c r="G257" s="169"/>
      <c r="H257" s="184">
        <v>252</v>
      </c>
      <c r="I257" s="182" t="str">
        <f t="shared" si="18"/>
        <v/>
      </c>
      <c r="J257" s="181" t="e">
        <f t="shared" si="21"/>
        <v>#NUM!</v>
      </c>
      <c r="K257" s="181" t="e">
        <f t="shared" si="19"/>
        <v>#NUM!</v>
      </c>
      <c r="L257" s="181"/>
      <c r="M257" s="183">
        <f t="shared" si="20"/>
        <v>0</v>
      </c>
    </row>
    <row r="258" spans="1:13" x14ac:dyDescent="0.25">
      <c r="A258" s="198"/>
      <c r="G258" s="169"/>
      <c r="H258" s="181">
        <v>253</v>
      </c>
      <c r="I258" s="182" t="str">
        <f t="shared" si="18"/>
        <v/>
      </c>
      <c r="J258" s="181" t="e">
        <f t="shared" si="21"/>
        <v>#NUM!</v>
      </c>
      <c r="K258" s="181" t="e">
        <f t="shared" si="19"/>
        <v>#NUM!</v>
      </c>
      <c r="L258" s="181"/>
      <c r="M258" s="183">
        <f t="shared" si="20"/>
        <v>0</v>
      </c>
    </row>
    <row r="259" spans="1:13" x14ac:dyDescent="0.25">
      <c r="A259" s="198"/>
      <c r="G259" s="169"/>
      <c r="H259" s="184">
        <v>254</v>
      </c>
      <c r="I259" s="182" t="str">
        <f t="shared" si="18"/>
        <v/>
      </c>
      <c r="J259" s="181" t="e">
        <f t="shared" si="21"/>
        <v>#NUM!</v>
      </c>
      <c r="K259" s="181" t="e">
        <f t="shared" si="19"/>
        <v>#NUM!</v>
      </c>
      <c r="L259" s="181"/>
      <c r="M259" s="183">
        <f t="shared" si="20"/>
        <v>0</v>
      </c>
    </row>
    <row r="260" spans="1:13" x14ac:dyDescent="0.25">
      <c r="A260" s="198"/>
      <c r="G260" s="169"/>
      <c r="H260" s="181">
        <v>255</v>
      </c>
      <c r="I260" s="182" t="str">
        <f t="shared" si="18"/>
        <v/>
      </c>
      <c r="J260" s="181" t="e">
        <f t="shared" si="21"/>
        <v>#NUM!</v>
      </c>
      <c r="K260" s="181" t="e">
        <f t="shared" si="19"/>
        <v>#NUM!</v>
      </c>
      <c r="L260" s="181"/>
      <c r="M260" s="183">
        <f t="shared" si="20"/>
        <v>0</v>
      </c>
    </row>
    <row r="261" spans="1:13" x14ac:dyDescent="0.25">
      <c r="A261" s="198"/>
      <c r="G261" s="169"/>
      <c r="H261" s="184">
        <v>256</v>
      </c>
      <c r="I261" s="182" t="str">
        <f t="shared" si="18"/>
        <v/>
      </c>
      <c r="J261" s="181" t="e">
        <f t="shared" si="21"/>
        <v>#NUM!</v>
      </c>
      <c r="K261" s="181" t="e">
        <f t="shared" si="19"/>
        <v>#NUM!</v>
      </c>
      <c r="L261" s="181"/>
      <c r="M261" s="183">
        <f t="shared" si="20"/>
        <v>0</v>
      </c>
    </row>
    <row r="262" spans="1:13" x14ac:dyDescent="0.25">
      <c r="A262" s="198"/>
      <c r="G262" s="169"/>
      <c r="H262" s="181">
        <v>257</v>
      </c>
      <c r="I262" s="182" t="str">
        <f t="shared" ref="I262:I305" si="22">IF(H262&lt;$H$2+1,($I$2-($I$2-1)*(LOG(H262)/LOG($H$2))),"")</f>
        <v/>
      </c>
      <c r="J262" s="181" t="e">
        <f t="shared" si="21"/>
        <v>#NUM!</v>
      </c>
      <c r="K262" s="181" t="e">
        <f t="shared" ref="K262:K305" si="23">J262*$J$2</f>
        <v>#NUM!</v>
      </c>
      <c r="L262" s="181"/>
      <c r="M262" s="183">
        <f t="shared" ref="M262:M305" si="24">IF(I262&lt;&gt;"",K262+I262+L262,0)</f>
        <v>0</v>
      </c>
    </row>
    <row r="263" spans="1:13" x14ac:dyDescent="0.25">
      <c r="A263" s="198"/>
      <c r="G263" s="169"/>
      <c r="H263" s="184">
        <v>258</v>
      </c>
      <c r="I263" s="182" t="str">
        <f t="shared" si="22"/>
        <v/>
      </c>
      <c r="J263" s="181" t="e">
        <f t="shared" ref="J263:J305" si="25">INT(LOG($H$2,2))-ROUNDUP(LOG(H263,2),0)+IF(OR($H$2=1,$H$2=2,$H$2=4,$H$2=8,$H$2=16,$H$2=32,$H$2=64,$H$2=128,$H$2=256),0,1)</f>
        <v>#NUM!</v>
      </c>
      <c r="K263" s="181" t="e">
        <f t="shared" si="23"/>
        <v>#NUM!</v>
      </c>
      <c r="L263" s="181"/>
      <c r="M263" s="183">
        <f t="shared" si="24"/>
        <v>0</v>
      </c>
    </row>
    <row r="264" spans="1:13" x14ac:dyDescent="0.25">
      <c r="A264" s="198"/>
      <c r="G264" s="169"/>
      <c r="H264" s="181">
        <v>259</v>
      </c>
      <c r="I264" s="182" t="str">
        <f t="shared" si="22"/>
        <v/>
      </c>
      <c r="J264" s="181" t="e">
        <f t="shared" si="25"/>
        <v>#NUM!</v>
      </c>
      <c r="K264" s="181" t="e">
        <f t="shared" si="23"/>
        <v>#NUM!</v>
      </c>
      <c r="L264" s="181"/>
      <c r="M264" s="183">
        <f t="shared" si="24"/>
        <v>0</v>
      </c>
    </row>
    <row r="265" spans="1:13" x14ac:dyDescent="0.25">
      <c r="A265" s="198"/>
      <c r="G265" s="169"/>
      <c r="H265" s="184">
        <v>260</v>
      </c>
      <c r="I265" s="182" t="str">
        <f t="shared" si="22"/>
        <v/>
      </c>
      <c r="J265" s="181" t="e">
        <f t="shared" si="25"/>
        <v>#NUM!</v>
      </c>
      <c r="K265" s="181" t="e">
        <f t="shared" si="23"/>
        <v>#NUM!</v>
      </c>
      <c r="L265" s="181"/>
      <c r="M265" s="183">
        <f t="shared" si="24"/>
        <v>0</v>
      </c>
    </row>
    <row r="266" spans="1:13" x14ac:dyDescent="0.25">
      <c r="A266" s="198"/>
      <c r="G266" s="169"/>
      <c r="H266" s="181">
        <v>261</v>
      </c>
      <c r="I266" s="182" t="str">
        <f t="shared" si="22"/>
        <v/>
      </c>
      <c r="J266" s="181" t="e">
        <f t="shared" si="25"/>
        <v>#NUM!</v>
      </c>
      <c r="K266" s="181" t="e">
        <f t="shared" si="23"/>
        <v>#NUM!</v>
      </c>
      <c r="L266" s="181"/>
      <c r="M266" s="183">
        <f t="shared" si="24"/>
        <v>0</v>
      </c>
    </row>
    <row r="267" spans="1:13" x14ac:dyDescent="0.25">
      <c r="A267" s="198"/>
      <c r="G267" s="169"/>
      <c r="H267" s="184">
        <v>262</v>
      </c>
      <c r="I267" s="182" t="str">
        <f t="shared" si="22"/>
        <v/>
      </c>
      <c r="J267" s="181" t="e">
        <f t="shared" si="25"/>
        <v>#NUM!</v>
      </c>
      <c r="K267" s="181" t="e">
        <f t="shared" si="23"/>
        <v>#NUM!</v>
      </c>
      <c r="L267" s="181"/>
      <c r="M267" s="183">
        <f t="shared" si="24"/>
        <v>0</v>
      </c>
    </row>
    <row r="268" spans="1:13" x14ac:dyDescent="0.25">
      <c r="A268" s="198"/>
      <c r="G268" s="169"/>
      <c r="H268" s="181">
        <v>263</v>
      </c>
      <c r="I268" s="182" t="str">
        <f t="shared" si="22"/>
        <v/>
      </c>
      <c r="J268" s="181" t="e">
        <f t="shared" si="25"/>
        <v>#NUM!</v>
      </c>
      <c r="K268" s="181" t="e">
        <f t="shared" si="23"/>
        <v>#NUM!</v>
      </c>
      <c r="L268" s="181"/>
      <c r="M268" s="183">
        <f t="shared" si="24"/>
        <v>0</v>
      </c>
    </row>
    <row r="269" spans="1:13" x14ac:dyDescent="0.25">
      <c r="A269" s="198"/>
      <c r="G269" s="169"/>
      <c r="H269" s="184">
        <v>264</v>
      </c>
      <c r="I269" s="182" t="str">
        <f t="shared" si="22"/>
        <v/>
      </c>
      <c r="J269" s="181" t="e">
        <f t="shared" si="25"/>
        <v>#NUM!</v>
      </c>
      <c r="K269" s="181" t="e">
        <f t="shared" si="23"/>
        <v>#NUM!</v>
      </c>
      <c r="L269" s="181"/>
      <c r="M269" s="183">
        <f t="shared" si="24"/>
        <v>0</v>
      </c>
    </row>
    <row r="270" spans="1:13" x14ac:dyDescent="0.25">
      <c r="A270" s="198"/>
      <c r="G270" s="169"/>
      <c r="H270" s="181">
        <v>265</v>
      </c>
      <c r="I270" s="182" t="str">
        <f t="shared" si="22"/>
        <v/>
      </c>
      <c r="J270" s="181" t="e">
        <f t="shared" si="25"/>
        <v>#NUM!</v>
      </c>
      <c r="K270" s="181" t="e">
        <f t="shared" si="23"/>
        <v>#NUM!</v>
      </c>
      <c r="L270" s="181"/>
      <c r="M270" s="183">
        <f t="shared" si="24"/>
        <v>0</v>
      </c>
    </row>
    <row r="271" spans="1:13" x14ac:dyDescent="0.25">
      <c r="A271" s="198"/>
      <c r="G271" s="169"/>
      <c r="H271" s="184">
        <v>266</v>
      </c>
      <c r="I271" s="182" t="str">
        <f t="shared" si="22"/>
        <v/>
      </c>
      <c r="J271" s="181" t="e">
        <f t="shared" si="25"/>
        <v>#NUM!</v>
      </c>
      <c r="K271" s="181" t="e">
        <f t="shared" si="23"/>
        <v>#NUM!</v>
      </c>
      <c r="L271" s="181"/>
      <c r="M271" s="183">
        <f t="shared" si="24"/>
        <v>0</v>
      </c>
    </row>
    <row r="272" spans="1:13" x14ac:dyDescent="0.25">
      <c r="A272" s="198"/>
      <c r="G272" s="169"/>
      <c r="H272" s="181">
        <v>267</v>
      </c>
      <c r="I272" s="182" t="str">
        <f t="shared" si="22"/>
        <v/>
      </c>
      <c r="J272" s="181" t="e">
        <f t="shared" si="25"/>
        <v>#NUM!</v>
      </c>
      <c r="K272" s="181" t="e">
        <f t="shared" si="23"/>
        <v>#NUM!</v>
      </c>
      <c r="L272" s="181"/>
      <c r="M272" s="183">
        <f t="shared" si="24"/>
        <v>0</v>
      </c>
    </row>
    <row r="273" spans="1:13" x14ac:dyDescent="0.25">
      <c r="A273" s="198"/>
      <c r="G273" s="169"/>
      <c r="H273" s="184">
        <v>268</v>
      </c>
      <c r="I273" s="182" t="str">
        <f t="shared" si="22"/>
        <v/>
      </c>
      <c r="J273" s="181" t="e">
        <f t="shared" si="25"/>
        <v>#NUM!</v>
      </c>
      <c r="K273" s="181" t="e">
        <f t="shared" si="23"/>
        <v>#NUM!</v>
      </c>
      <c r="L273" s="181"/>
      <c r="M273" s="183">
        <f t="shared" si="24"/>
        <v>0</v>
      </c>
    </row>
    <row r="274" spans="1:13" x14ac:dyDescent="0.25">
      <c r="A274" s="198"/>
      <c r="G274" s="169"/>
      <c r="H274" s="181">
        <v>269</v>
      </c>
      <c r="I274" s="182" t="str">
        <f t="shared" si="22"/>
        <v/>
      </c>
      <c r="J274" s="181" t="e">
        <f t="shared" si="25"/>
        <v>#NUM!</v>
      </c>
      <c r="K274" s="181" t="e">
        <f t="shared" si="23"/>
        <v>#NUM!</v>
      </c>
      <c r="L274" s="181"/>
      <c r="M274" s="183">
        <f t="shared" si="24"/>
        <v>0</v>
      </c>
    </row>
    <row r="275" spans="1:13" x14ac:dyDescent="0.25">
      <c r="A275" s="198"/>
      <c r="G275" s="169"/>
      <c r="H275" s="184">
        <v>270</v>
      </c>
      <c r="I275" s="182" t="str">
        <f t="shared" si="22"/>
        <v/>
      </c>
      <c r="J275" s="181" t="e">
        <f t="shared" si="25"/>
        <v>#NUM!</v>
      </c>
      <c r="K275" s="181" t="e">
        <f t="shared" si="23"/>
        <v>#NUM!</v>
      </c>
      <c r="L275" s="181"/>
      <c r="M275" s="183">
        <f t="shared" si="24"/>
        <v>0</v>
      </c>
    </row>
    <row r="276" spans="1:13" x14ac:dyDescent="0.25">
      <c r="A276" s="198"/>
      <c r="G276" s="169"/>
      <c r="H276" s="181">
        <v>271</v>
      </c>
      <c r="I276" s="182" t="str">
        <f t="shared" si="22"/>
        <v/>
      </c>
      <c r="J276" s="181" t="e">
        <f t="shared" si="25"/>
        <v>#NUM!</v>
      </c>
      <c r="K276" s="181" t="e">
        <f t="shared" si="23"/>
        <v>#NUM!</v>
      </c>
      <c r="L276" s="181"/>
      <c r="M276" s="183">
        <f t="shared" si="24"/>
        <v>0</v>
      </c>
    </row>
    <row r="277" spans="1:13" x14ac:dyDescent="0.25">
      <c r="A277" s="198"/>
      <c r="G277" s="169"/>
      <c r="H277" s="184">
        <v>272</v>
      </c>
      <c r="I277" s="182" t="str">
        <f t="shared" si="22"/>
        <v/>
      </c>
      <c r="J277" s="181" t="e">
        <f t="shared" si="25"/>
        <v>#NUM!</v>
      </c>
      <c r="K277" s="181" t="e">
        <f t="shared" si="23"/>
        <v>#NUM!</v>
      </c>
      <c r="L277" s="181"/>
      <c r="M277" s="183">
        <f t="shared" si="24"/>
        <v>0</v>
      </c>
    </row>
    <row r="278" spans="1:13" x14ac:dyDescent="0.25">
      <c r="A278" s="198"/>
      <c r="G278" s="169"/>
      <c r="H278" s="181">
        <v>273</v>
      </c>
      <c r="I278" s="182" t="str">
        <f t="shared" si="22"/>
        <v/>
      </c>
      <c r="J278" s="181" t="e">
        <f t="shared" si="25"/>
        <v>#NUM!</v>
      </c>
      <c r="K278" s="181" t="e">
        <f t="shared" si="23"/>
        <v>#NUM!</v>
      </c>
      <c r="L278" s="181"/>
      <c r="M278" s="183">
        <f t="shared" si="24"/>
        <v>0</v>
      </c>
    </row>
    <row r="279" spans="1:13" x14ac:dyDescent="0.25">
      <c r="A279" s="198"/>
      <c r="G279" s="169"/>
      <c r="H279" s="184">
        <v>274</v>
      </c>
      <c r="I279" s="182" t="str">
        <f t="shared" si="22"/>
        <v/>
      </c>
      <c r="J279" s="181" t="e">
        <f t="shared" si="25"/>
        <v>#NUM!</v>
      </c>
      <c r="K279" s="181" t="e">
        <f t="shared" si="23"/>
        <v>#NUM!</v>
      </c>
      <c r="L279" s="181"/>
      <c r="M279" s="183">
        <f t="shared" si="24"/>
        <v>0</v>
      </c>
    </row>
    <row r="280" spans="1:13" x14ac:dyDescent="0.25">
      <c r="A280" s="198"/>
      <c r="G280" s="169"/>
      <c r="H280" s="181">
        <v>275</v>
      </c>
      <c r="I280" s="182" t="str">
        <f t="shared" si="22"/>
        <v/>
      </c>
      <c r="J280" s="181" t="e">
        <f t="shared" si="25"/>
        <v>#NUM!</v>
      </c>
      <c r="K280" s="181" t="e">
        <f t="shared" si="23"/>
        <v>#NUM!</v>
      </c>
      <c r="L280" s="181"/>
      <c r="M280" s="183">
        <f t="shared" si="24"/>
        <v>0</v>
      </c>
    </row>
    <row r="281" spans="1:13" x14ac:dyDescent="0.25">
      <c r="A281" s="198"/>
      <c r="G281" s="169"/>
      <c r="H281" s="184">
        <v>276</v>
      </c>
      <c r="I281" s="182" t="str">
        <f t="shared" si="22"/>
        <v/>
      </c>
      <c r="J281" s="181" t="e">
        <f t="shared" si="25"/>
        <v>#NUM!</v>
      </c>
      <c r="K281" s="181" t="e">
        <f t="shared" si="23"/>
        <v>#NUM!</v>
      </c>
      <c r="L281" s="181"/>
      <c r="M281" s="183">
        <f t="shared" si="24"/>
        <v>0</v>
      </c>
    </row>
    <row r="282" spans="1:13" x14ac:dyDescent="0.25">
      <c r="A282" s="198"/>
      <c r="G282" s="169"/>
      <c r="H282" s="181">
        <v>277</v>
      </c>
      <c r="I282" s="182" t="str">
        <f t="shared" si="22"/>
        <v/>
      </c>
      <c r="J282" s="181" t="e">
        <f t="shared" si="25"/>
        <v>#NUM!</v>
      </c>
      <c r="K282" s="181" t="e">
        <f t="shared" si="23"/>
        <v>#NUM!</v>
      </c>
      <c r="L282" s="181"/>
      <c r="M282" s="183">
        <f t="shared" si="24"/>
        <v>0</v>
      </c>
    </row>
    <row r="283" spans="1:13" x14ac:dyDescent="0.25">
      <c r="A283" s="198"/>
      <c r="G283" s="169"/>
      <c r="H283" s="184">
        <v>278</v>
      </c>
      <c r="I283" s="182" t="str">
        <f t="shared" si="22"/>
        <v/>
      </c>
      <c r="J283" s="181" t="e">
        <f t="shared" si="25"/>
        <v>#NUM!</v>
      </c>
      <c r="K283" s="181" t="e">
        <f t="shared" si="23"/>
        <v>#NUM!</v>
      </c>
      <c r="L283" s="181"/>
      <c r="M283" s="183">
        <f t="shared" si="24"/>
        <v>0</v>
      </c>
    </row>
    <row r="284" spans="1:13" x14ac:dyDescent="0.25">
      <c r="A284" s="198"/>
      <c r="G284" s="169"/>
      <c r="H284" s="181">
        <v>279</v>
      </c>
      <c r="I284" s="182" t="str">
        <f t="shared" si="22"/>
        <v/>
      </c>
      <c r="J284" s="181" t="e">
        <f t="shared" si="25"/>
        <v>#NUM!</v>
      </c>
      <c r="K284" s="181" t="e">
        <f t="shared" si="23"/>
        <v>#NUM!</v>
      </c>
      <c r="L284" s="181"/>
      <c r="M284" s="183">
        <f t="shared" si="24"/>
        <v>0</v>
      </c>
    </row>
    <row r="285" spans="1:13" x14ac:dyDescent="0.25">
      <c r="A285" s="198"/>
      <c r="G285" s="169"/>
      <c r="H285" s="184">
        <v>280</v>
      </c>
      <c r="I285" s="182" t="str">
        <f t="shared" si="22"/>
        <v/>
      </c>
      <c r="J285" s="181" t="e">
        <f t="shared" si="25"/>
        <v>#NUM!</v>
      </c>
      <c r="K285" s="181" t="e">
        <f t="shared" si="23"/>
        <v>#NUM!</v>
      </c>
      <c r="L285" s="181"/>
      <c r="M285" s="183">
        <f t="shared" si="24"/>
        <v>0</v>
      </c>
    </row>
    <row r="286" spans="1:13" x14ac:dyDescent="0.25">
      <c r="A286" s="198"/>
      <c r="G286" s="169"/>
      <c r="H286" s="181">
        <v>281</v>
      </c>
      <c r="I286" s="182" t="str">
        <f t="shared" si="22"/>
        <v/>
      </c>
      <c r="J286" s="181" t="e">
        <f t="shared" si="25"/>
        <v>#NUM!</v>
      </c>
      <c r="K286" s="181" t="e">
        <f t="shared" si="23"/>
        <v>#NUM!</v>
      </c>
      <c r="L286" s="181"/>
      <c r="M286" s="183">
        <f t="shared" si="24"/>
        <v>0</v>
      </c>
    </row>
    <row r="287" spans="1:13" x14ac:dyDescent="0.25">
      <c r="A287" s="198"/>
      <c r="G287" s="169"/>
      <c r="H287" s="184">
        <v>282</v>
      </c>
      <c r="I287" s="182" t="str">
        <f t="shared" si="22"/>
        <v/>
      </c>
      <c r="J287" s="181" t="e">
        <f t="shared" si="25"/>
        <v>#NUM!</v>
      </c>
      <c r="K287" s="181" t="e">
        <f t="shared" si="23"/>
        <v>#NUM!</v>
      </c>
      <c r="L287" s="181"/>
      <c r="M287" s="183">
        <f t="shared" si="24"/>
        <v>0</v>
      </c>
    </row>
    <row r="288" spans="1:13" x14ac:dyDescent="0.25">
      <c r="A288" s="198"/>
      <c r="G288" s="169"/>
      <c r="H288" s="181">
        <v>283</v>
      </c>
      <c r="I288" s="182" t="str">
        <f t="shared" si="22"/>
        <v/>
      </c>
      <c r="J288" s="181" t="e">
        <f t="shared" si="25"/>
        <v>#NUM!</v>
      </c>
      <c r="K288" s="181" t="e">
        <f t="shared" si="23"/>
        <v>#NUM!</v>
      </c>
      <c r="L288" s="181"/>
      <c r="M288" s="183">
        <f t="shared" si="24"/>
        <v>0</v>
      </c>
    </row>
    <row r="289" spans="1:13" x14ac:dyDescent="0.25">
      <c r="A289" s="198"/>
      <c r="G289" s="169"/>
      <c r="H289" s="184">
        <v>284</v>
      </c>
      <c r="I289" s="182" t="str">
        <f t="shared" si="22"/>
        <v/>
      </c>
      <c r="J289" s="181" t="e">
        <f t="shared" si="25"/>
        <v>#NUM!</v>
      </c>
      <c r="K289" s="181" t="e">
        <f t="shared" si="23"/>
        <v>#NUM!</v>
      </c>
      <c r="L289" s="181"/>
      <c r="M289" s="183">
        <f t="shared" si="24"/>
        <v>0</v>
      </c>
    </row>
    <row r="290" spans="1:13" x14ac:dyDescent="0.25">
      <c r="A290" s="198"/>
      <c r="G290" s="169"/>
      <c r="H290" s="181">
        <v>285</v>
      </c>
      <c r="I290" s="182" t="str">
        <f t="shared" si="22"/>
        <v/>
      </c>
      <c r="J290" s="181" t="e">
        <f t="shared" si="25"/>
        <v>#NUM!</v>
      </c>
      <c r="K290" s="181" t="e">
        <f t="shared" si="23"/>
        <v>#NUM!</v>
      </c>
      <c r="L290" s="181"/>
      <c r="M290" s="183">
        <f t="shared" si="24"/>
        <v>0</v>
      </c>
    </row>
    <row r="291" spans="1:13" x14ac:dyDescent="0.25">
      <c r="A291" s="198"/>
      <c r="G291" s="169"/>
      <c r="H291" s="184">
        <v>286</v>
      </c>
      <c r="I291" s="182" t="str">
        <f t="shared" si="22"/>
        <v/>
      </c>
      <c r="J291" s="181" t="e">
        <f t="shared" si="25"/>
        <v>#NUM!</v>
      </c>
      <c r="K291" s="181" t="e">
        <f t="shared" si="23"/>
        <v>#NUM!</v>
      </c>
      <c r="L291" s="181"/>
      <c r="M291" s="183">
        <f t="shared" si="24"/>
        <v>0</v>
      </c>
    </row>
    <row r="292" spans="1:13" x14ac:dyDescent="0.25">
      <c r="A292" s="198"/>
      <c r="G292" s="169"/>
      <c r="H292" s="181">
        <v>287</v>
      </c>
      <c r="I292" s="182" t="str">
        <f t="shared" si="22"/>
        <v/>
      </c>
      <c r="J292" s="181" t="e">
        <f t="shared" si="25"/>
        <v>#NUM!</v>
      </c>
      <c r="K292" s="181" t="e">
        <f t="shared" si="23"/>
        <v>#NUM!</v>
      </c>
      <c r="L292" s="181"/>
      <c r="M292" s="183">
        <f t="shared" si="24"/>
        <v>0</v>
      </c>
    </row>
    <row r="293" spans="1:13" x14ac:dyDescent="0.25">
      <c r="A293" s="198"/>
      <c r="G293" s="169"/>
      <c r="H293" s="181">
        <v>288</v>
      </c>
      <c r="I293" s="182" t="str">
        <f t="shared" si="22"/>
        <v/>
      </c>
      <c r="J293" s="181" t="e">
        <f t="shared" si="25"/>
        <v>#NUM!</v>
      </c>
      <c r="K293" s="181" t="e">
        <f t="shared" si="23"/>
        <v>#NUM!</v>
      </c>
      <c r="L293" s="181"/>
      <c r="M293" s="183">
        <f t="shared" si="24"/>
        <v>0</v>
      </c>
    </row>
    <row r="294" spans="1:13" x14ac:dyDescent="0.25">
      <c r="A294" s="198"/>
      <c r="G294" s="169"/>
      <c r="H294" s="181">
        <v>289</v>
      </c>
      <c r="I294" s="182" t="str">
        <f t="shared" si="22"/>
        <v/>
      </c>
      <c r="J294" s="181" t="e">
        <f t="shared" si="25"/>
        <v>#NUM!</v>
      </c>
      <c r="K294" s="181" t="e">
        <f t="shared" si="23"/>
        <v>#NUM!</v>
      </c>
      <c r="L294" s="181"/>
      <c r="M294" s="183">
        <f t="shared" si="24"/>
        <v>0</v>
      </c>
    </row>
    <row r="295" spans="1:13" x14ac:dyDescent="0.25">
      <c r="A295" s="198"/>
      <c r="G295" s="169"/>
      <c r="H295" s="181">
        <v>290</v>
      </c>
      <c r="I295" s="182" t="str">
        <f t="shared" si="22"/>
        <v/>
      </c>
      <c r="J295" s="181" t="e">
        <f t="shared" si="25"/>
        <v>#NUM!</v>
      </c>
      <c r="K295" s="181" t="e">
        <f t="shared" si="23"/>
        <v>#NUM!</v>
      </c>
      <c r="L295" s="181"/>
      <c r="M295" s="183">
        <f t="shared" si="24"/>
        <v>0</v>
      </c>
    </row>
    <row r="296" spans="1:13" x14ac:dyDescent="0.25">
      <c r="A296" s="198"/>
      <c r="G296" s="169"/>
      <c r="H296" s="181">
        <v>291</v>
      </c>
      <c r="I296" s="182" t="str">
        <f t="shared" si="22"/>
        <v/>
      </c>
      <c r="J296" s="181" t="e">
        <f t="shared" si="25"/>
        <v>#NUM!</v>
      </c>
      <c r="K296" s="181" t="e">
        <f t="shared" si="23"/>
        <v>#NUM!</v>
      </c>
      <c r="L296" s="181"/>
      <c r="M296" s="183">
        <f t="shared" si="24"/>
        <v>0</v>
      </c>
    </row>
    <row r="297" spans="1:13" x14ac:dyDescent="0.25">
      <c r="A297" s="198"/>
      <c r="G297" s="169"/>
      <c r="H297" s="181">
        <v>292</v>
      </c>
      <c r="I297" s="182" t="str">
        <f t="shared" si="22"/>
        <v/>
      </c>
      <c r="J297" s="181" t="e">
        <f t="shared" si="25"/>
        <v>#NUM!</v>
      </c>
      <c r="K297" s="181" t="e">
        <f t="shared" si="23"/>
        <v>#NUM!</v>
      </c>
      <c r="L297" s="181"/>
      <c r="M297" s="183">
        <f t="shared" si="24"/>
        <v>0</v>
      </c>
    </row>
    <row r="298" spans="1:13" x14ac:dyDescent="0.25">
      <c r="A298" s="198"/>
      <c r="G298" s="169"/>
      <c r="H298" s="181">
        <v>293</v>
      </c>
      <c r="I298" s="182" t="str">
        <f t="shared" si="22"/>
        <v/>
      </c>
      <c r="J298" s="181" t="e">
        <f t="shared" si="25"/>
        <v>#NUM!</v>
      </c>
      <c r="K298" s="181" t="e">
        <f t="shared" si="23"/>
        <v>#NUM!</v>
      </c>
      <c r="L298" s="181"/>
      <c r="M298" s="183">
        <f t="shared" si="24"/>
        <v>0</v>
      </c>
    </row>
    <row r="299" spans="1:13" x14ac:dyDescent="0.25">
      <c r="A299" s="198"/>
      <c r="G299" s="169"/>
      <c r="H299" s="181">
        <v>294</v>
      </c>
      <c r="I299" s="182" t="str">
        <f t="shared" si="22"/>
        <v/>
      </c>
      <c r="J299" s="181" t="e">
        <f t="shared" si="25"/>
        <v>#NUM!</v>
      </c>
      <c r="K299" s="181" t="e">
        <f t="shared" si="23"/>
        <v>#NUM!</v>
      </c>
      <c r="L299" s="181"/>
      <c r="M299" s="183">
        <f t="shared" si="24"/>
        <v>0</v>
      </c>
    </row>
    <row r="300" spans="1:13" x14ac:dyDescent="0.25">
      <c r="A300" s="198"/>
      <c r="G300" s="169"/>
      <c r="H300" s="181">
        <v>295</v>
      </c>
      <c r="I300" s="182" t="str">
        <f t="shared" si="22"/>
        <v/>
      </c>
      <c r="J300" s="181" t="e">
        <f t="shared" si="25"/>
        <v>#NUM!</v>
      </c>
      <c r="K300" s="181" t="e">
        <f t="shared" si="23"/>
        <v>#NUM!</v>
      </c>
      <c r="L300" s="181"/>
      <c r="M300" s="183">
        <f t="shared" si="24"/>
        <v>0</v>
      </c>
    </row>
    <row r="301" spans="1:13" x14ac:dyDescent="0.25">
      <c r="A301" s="198"/>
      <c r="G301" s="169"/>
      <c r="H301" s="181">
        <v>296</v>
      </c>
      <c r="I301" s="182" t="str">
        <f t="shared" si="22"/>
        <v/>
      </c>
      <c r="J301" s="181" t="e">
        <f t="shared" si="25"/>
        <v>#NUM!</v>
      </c>
      <c r="K301" s="181" t="e">
        <f t="shared" si="23"/>
        <v>#NUM!</v>
      </c>
      <c r="L301" s="181"/>
      <c r="M301" s="183">
        <f t="shared" si="24"/>
        <v>0</v>
      </c>
    </row>
    <row r="302" spans="1:13" x14ac:dyDescent="0.25">
      <c r="A302" s="198"/>
      <c r="G302" s="169"/>
      <c r="H302" s="181">
        <v>297</v>
      </c>
      <c r="I302" s="182" t="str">
        <f t="shared" si="22"/>
        <v/>
      </c>
      <c r="J302" s="181" t="e">
        <f t="shared" si="25"/>
        <v>#NUM!</v>
      </c>
      <c r="K302" s="181" t="e">
        <f t="shared" si="23"/>
        <v>#NUM!</v>
      </c>
      <c r="L302" s="181"/>
      <c r="M302" s="183">
        <f t="shared" si="24"/>
        <v>0</v>
      </c>
    </row>
    <row r="303" spans="1:13" x14ac:dyDescent="0.25">
      <c r="A303" s="198"/>
      <c r="G303" s="169"/>
      <c r="H303" s="181">
        <v>298</v>
      </c>
      <c r="I303" s="182" t="str">
        <f t="shared" si="22"/>
        <v/>
      </c>
      <c r="J303" s="181" t="e">
        <f t="shared" si="25"/>
        <v>#NUM!</v>
      </c>
      <c r="K303" s="181" t="e">
        <f t="shared" si="23"/>
        <v>#NUM!</v>
      </c>
      <c r="L303" s="181"/>
      <c r="M303" s="183">
        <f t="shared" si="24"/>
        <v>0</v>
      </c>
    </row>
    <row r="304" spans="1:13" x14ac:dyDescent="0.25">
      <c r="A304" s="198"/>
      <c r="G304" s="169"/>
      <c r="H304" s="181">
        <v>299</v>
      </c>
      <c r="I304" s="182" t="str">
        <f t="shared" si="22"/>
        <v/>
      </c>
      <c r="J304" s="181" t="e">
        <f t="shared" si="25"/>
        <v>#NUM!</v>
      </c>
      <c r="K304" s="181" t="e">
        <f t="shared" si="23"/>
        <v>#NUM!</v>
      </c>
      <c r="L304" s="181"/>
      <c r="M304" s="183">
        <f t="shared" si="24"/>
        <v>0</v>
      </c>
    </row>
    <row r="305" spans="1:16" x14ac:dyDescent="0.25">
      <c r="A305" s="198"/>
      <c r="G305" s="169"/>
      <c r="H305" s="181">
        <v>300</v>
      </c>
      <c r="I305" s="182" t="str">
        <f t="shared" si="22"/>
        <v/>
      </c>
      <c r="J305" s="181" t="e">
        <f t="shared" si="25"/>
        <v>#NUM!</v>
      </c>
      <c r="K305" s="181" t="e">
        <f t="shared" si="23"/>
        <v>#NUM!</v>
      </c>
      <c r="L305" s="181"/>
      <c r="M305" s="183">
        <f t="shared" si="24"/>
        <v>0</v>
      </c>
    </row>
    <row r="306" spans="1:16" x14ac:dyDescent="0.25">
      <c r="A306" s="199"/>
    </row>
    <row r="314" spans="1:16" x14ac:dyDescent="0.25">
      <c r="L314" s="202"/>
      <c r="P314" s="192"/>
    </row>
    <row r="315" spans="1:16" x14ac:dyDescent="0.25">
      <c r="L315" s="202"/>
      <c r="P315" s="192"/>
    </row>
    <row r="316" spans="1:16" x14ac:dyDescent="0.25">
      <c r="L316" s="202"/>
      <c r="P316" s="192"/>
    </row>
    <row r="317" spans="1:16" x14ac:dyDescent="0.25">
      <c r="L317" s="202"/>
      <c r="P317" s="192"/>
    </row>
  </sheetData>
  <conditionalFormatting sqref="J6:K305">
    <cfRule type="cellIs" dxfId="3" priority="1" operator="lessThanOrEqual">
      <formula>0</formula>
    </cfRule>
  </conditionalFormatting>
  <hyperlinks>
    <hyperlink ref="C2" r:id="rId1" xr:uid="{4FA00ED3-8F5A-43A9-B416-181E674DC151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AFDC-8AD0-4847-BCC5-1DC74889F6A0}">
  <sheetPr>
    <tabColor rgb="FF92D050"/>
  </sheetPr>
  <dimension ref="A1:AM317"/>
  <sheetViews>
    <sheetView topLeftCell="A24" workbookViewId="0">
      <selection activeCell="K39" sqref="K39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1.75" style="121" customWidth="1"/>
    <col min="14" max="14" width="11.75" style="122" customWidth="1"/>
    <col min="15" max="16" width="13.875" style="83" customWidth="1"/>
    <col min="17" max="19" width="8.875" style="83"/>
    <col min="20" max="21" width="8.875" style="88"/>
    <col min="22" max="22" width="12.125" style="88" customWidth="1"/>
    <col min="23" max="23" width="27.375" style="88" customWidth="1"/>
    <col min="24" max="39" width="8.875" style="88"/>
    <col min="40" max="16384" width="8.875" style="118"/>
  </cols>
  <sheetData>
    <row r="1" spans="1:37" s="88" customFormat="1" x14ac:dyDescent="0.25">
      <c r="A1" s="83"/>
      <c r="B1" s="83"/>
      <c r="C1" s="83"/>
      <c r="D1" s="83"/>
      <c r="E1" s="83"/>
      <c r="F1" s="83"/>
      <c r="G1" s="83"/>
      <c r="H1" s="84" t="s">
        <v>29</v>
      </c>
      <c r="I1" s="85" t="s">
        <v>30</v>
      </c>
      <c r="J1" s="85" t="s">
        <v>31</v>
      </c>
      <c r="K1" s="86" t="s">
        <v>96</v>
      </c>
      <c r="L1" s="126" t="s">
        <v>97</v>
      </c>
      <c r="M1" s="127"/>
      <c r="N1" s="87"/>
      <c r="O1" s="83"/>
      <c r="P1" s="83"/>
      <c r="Q1" s="83"/>
      <c r="R1" s="83"/>
      <c r="S1" s="83"/>
    </row>
    <row r="2" spans="1:37" s="88" customFormat="1" x14ac:dyDescent="0.25">
      <c r="A2" s="83"/>
      <c r="B2" s="19" t="s">
        <v>33</v>
      </c>
      <c r="C2" s="307" t="s">
        <v>138</v>
      </c>
      <c r="D2" s="307"/>
      <c r="E2" s="20"/>
      <c r="F2" s="20"/>
      <c r="G2" s="20"/>
      <c r="H2" s="89">
        <v>46</v>
      </c>
      <c r="I2" s="90">
        <v>50</v>
      </c>
      <c r="J2" s="90">
        <v>10</v>
      </c>
      <c r="K2" s="124">
        <f>3*H2^(1/3)</f>
        <v>10.749143613047838</v>
      </c>
      <c r="L2" s="128">
        <v>1.2</v>
      </c>
      <c r="M2" s="87"/>
      <c r="N2" s="87"/>
      <c r="O2" s="83"/>
      <c r="P2" s="83"/>
      <c r="Q2" s="83"/>
      <c r="R2" s="83"/>
      <c r="S2" s="83"/>
    </row>
    <row r="3" spans="1:37" s="88" customFormat="1" ht="14.3" customHeight="1" x14ac:dyDescent="0.25">
      <c r="A3" s="83"/>
      <c r="B3" s="92" t="s">
        <v>35</v>
      </c>
      <c r="C3" s="308">
        <v>2023</v>
      </c>
      <c r="D3" s="308"/>
      <c r="E3" s="25"/>
      <c r="F3" s="25"/>
      <c r="G3" s="25"/>
      <c r="H3" s="87"/>
      <c r="I3" s="87"/>
      <c r="J3" s="93"/>
      <c r="K3" s="87"/>
      <c r="L3" s="87"/>
      <c r="M3" s="87"/>
      <c r="N3" s="87"/>
      <c r="O3" s="83"/>
      <c r="P3" s="83"/>
      <c r="Q3" s="83"/>
      <c r="R3" s="83"/>
      <c r="S3" s="83"/>
    </row>
    <row r="4" spans="1:37" s="88" customFormat="1" ht="10.199999999999999" customHeight="1" x14ac:dyDescent="0.25">
      <c r="A4" s="27"/>
      <c r="B4" s="25"/>
      <c r="C4" s="27"/>
      <c r="D4" s="27"/>
      <c r="E4" s="27"/>
      <c r="F4" s="27"/>
      <c r="G4" s="27"/>
      <c r="H4" s="87"/>
      <c r="I4" s="87"/>
      <c r="J4" s="93"/>
      <c r="K4" s="87"/>
      <c r="L4" s="87"/>
      <c r="M4" s="87"/>
      <c r="N4" s="87"/>
      <c r="O4" s="83"/>
      <c r="P4" s="83"/>
      <c r="Q4" s="83"/>
      <c r="R4" s="83"/>
      <c r="S4" s="83"/>
    </row>
    <row r="5" spans="1:37" s="88" customFormat="1" ht="34.65" x14ac:dyDescent="0.25">
      <c r="A5" s="1" t="s">
        <v>37</v>
      </c>
      <c r="B5" s="28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7"/>
      <c r="H5" s="94" t="s">
        <v>43</v>
      </c>
      <c r="I5" s="95" t="s">
        <v>44</v>
      </c>
      <c r="J5" s="96" t="s">
        <v>45</v>
      </c>
      <c r="K5" s="95" t="s">
        <v>46</v>
      </c>
      <c r="L5" s="95" t="s">
        <v>47</v>
      </c>
      <c r="M5" s="94" t="s">
        <v>48</v>
      </c>
      <c r="N5" s="94" t="s">
        <v>98</v>
      </c>
      <c r="O5" s="83"/>
      <c r="P5" s="83"/>
      <c r="Q5" s="83"/>
      <c r="R5" s="83"/>
      <c r="S5" s="83"/>
    </row>
    <row r="6" spans="1:37" s="88" customFormat="1" ht="14.45" customHeight="1" x14ac:dyDescent="0.25">
      <c r="A6" s="97">
        <f t="shared" ref="A6:A69" si="0">N6</f>
        <v>170.69691700697223</v>
      </c>
      <c r="B6" s="33">
        <f t="shared" ref="B6:B69" si="1">IF(H6&gt;$H$2,"",(ROW()-5))</f>
        <v>1</v>
      </c>
      <c r="C6" s="34" t="s">
        <v>139</v>
      </c>
      <c r="D6" s="34" t="s">
        <v>140</v>
      </c>
      <c r="E6" s="34" t="s">
        <v>141</v>
      </c>
      <c r="F6" s="34"/>
      <c r="G6" s="27"/>
      <c r="H6" s="98">
        <v>1</v>
      </c>
      <c r="I6" s="99">
        <f t="shared" ref="I6:I69" si="2">IF(H6&lt;$H$2+1,($I$2-($I$2-1)*(LOG(H6)/LOG($H$2))),"")</f>
        <v>50</v>
      </c>
      <c r="J6" s="98">
        <f t="shared" ref="J6:J69" si="3">INT(LOG($H$2,2))-ROUNDUP(LOG(H6,2),0)+IF(OR($H$2=1,$H$2=2,$H$2=4,$H$2=8,$H$2=16,$H$2=32,$H$2=64,$H$2=128,$H$2=256),0,1)</f>
        <v>6</v>
      </c>
      <c r="K6" s="98">
        <f t="shared" ref="K6:K69" si="4">J6*$J$2</f>
        <v>60</v>
      </c>
      <c r="L6" s="100">
        <f>3*K2</f>
        <v>32.247430839143519</v>
      </c>
      <c r="M6" s="100">
        <f t="shared" ref="M6:M69" si="5">IF(I6&lt;&gt;"",K6+I6+L6,0)</f>
        <v>142.24743083914353</v>
      </c>
      <c r="N6" s="100">
        <f t="shared" ref="N6:N69" si="6">IF(I6&lt;&gt;"",M6*L$2,0)</f>
        <v>170.69691700697223</v>
      </c>
      <c r="O6" s="83"/>
      <c r="P6" s="83"/>
      <c r="Q6" s="83"/>
      <c r="R6" s="83"/>
      <c r="S6" s="83"/>
    </row>
    <row r="7" spans="1:37" s="88" customFormat="1" ht="14.45" customHeight="1" x14ac:dyDescent="0.25">
      <c r="A7" s="101">
        <f t="shared" si="0"/>
        <v>135.15263998064844</v>
      </c>
      <c r="B7" s="39">
        <f t="shared" si="1"/>
        <v>2</v>
      </c>
      <c r="C7" s="40" t="s">
        <v>142</v>
      </c>
      <c r="D7" s="40" t="s">
        <v>143</v>
      </c>
      <c r="E7" s="40" t="s">
        <v>144</v>
      </c>
      <c r="F7" s="40"/>
      <c r="G7" s="27"/>
      <c r="H7" s="102">
        <v>2</v>
      </c>
      <c r="I7" s="103">
        <f t="shared" si="2"/>
        <v>41.128912757778025</v>
      </c>
      <c r="J7" s="102">
        <f t="shared" si="3"/>
        <v>5</v>
      </c>
      <c r="K7" s="102">
        <f t="shared" si="4"/>
        <v>50</v>
      </c>
      <c r="L7" s="104">
        <f>2*K2</f>
        <v>21.498287226095677</v>
      </c>
      <c r="M7" s="104">
        <f t="shared" si="5"/>
        <v>112.62719998387371</v>
      </c>
      <c r="N7" s="104">
        <f t="shared" si="6"/>
        <v>135.15263998064844</v>
      </c>
      <c r="O7" s="83"/>
      <c r="P7" s="83"/>
      <c r="Q7" s="83"/>
      <c r="R7" s="83"/>
      <c r="S7" s="83"/>
    </row>
    <row r="8" spans="1:37" s="88" customFormat="1" ht="14.45" customHeight="1" x14ac:dyDescent="0.25">
      <c r="A8" s="97">
        <f t="shared" si="0"/>
        <v>104.02656359220019</v>
      </c>
      <c r="B8" s="33">
        <f t="shared" si="1"/>
        <v>3</v>
      </c>
      <c r="C8" s="34" t="s">
        <v>145</v>
      </c>
      <c r="D8" s="34" t="s">
        <v>146</v>
      </c>
      <c r="E8" s="34" t="s">
        <v>144</v>
      </c>
      <c r="F8" s="34"/>
      <c r="G8" s="27"/>
      <c r="H8" s="98">
        <v>3</v>
      </c>
      <c r="I8" s="99">
        <f t="shared" si="2"/>
        <v>35.939659380452319</v>
      </c>
      <c r="J8" s="98">
        <f t="shared" si="3"/>
        <v>4</v>
      </c>
      <c r="K8" s="98">
        <f t="shared" si="4"/>
        <v>40</v>
      </c>
      <c r="L8" s="100">
        <f>K2</f>
        <v>10.749143613047838</v>
      </c>
      <c r="M8" s="100">
        <f t="shared" si="5"/>
        <v>86.688802993500161</v>
      </c>
      <c r="N8" s="100">
        <f t="shared" si="6"/>
        <v>104.02656359220019</v>
      </c>
      <c r="O8" s="83"/>
      <c r="P8" s="83"/>
      <c r="Q8" s="83"/>
      <c r="R8" s="83"/>
      <c r="S8" s="83"/>
    </row>
    <row r="9" spans="1:37" s="88" customFormat="1" ht="14.45" customHeight="1" x14ac:dyDescent="0.25">
      <c r="A9" s="101">
        <f t="shared" si="0"/>
        <v>104.02656359220019</v>
      </c>
      <c r="B9" s="39">
        <f t="shared" si="1"/>
        <v>4</v>
      </c>
      <c r="C9" s="40" t="s">
        <v>147</v>
      </c>
      <c r="D9" s="40" t="s">
        <v>148</v>
      </c>
      <c r="E9" s="40" t="s">
        <v>149</v>
      </c>
      <c r="F9" s="40"/>
      <c r="G9" s="27"/>
      <c r="H9" s="102">
        <v>3</v>
      </c>
      <c r="I9" s="103">
        <f t="shared" si="2"/>
        <v>35.939659380452319</v>
      </c>
      <c r="J9" s="102">
        <f t="shared" si="3"/>
        <v>4</v>
      </c>
      <c r="K9" s="102">
        <f t="shared" si="4"/>
        <v>40</v>
      </c>
      <c r="L9" s="104">
        <f>K2</f>
        <v>10.749143613047838</v>
      </c>
      <c r="M9" s="104">
        <f t="shared" si="5"/>
        <v>86.688802993500161</v>
      </c>
      <c r="N9" s="104">
        <f t="shared" si="6"/>
        <v>104.02656359220019</v>
      </c>
      <c r="O9" s="83"/>
      <c r="P9" s="83"/>
      <c r="Q9" s="83"/>
      <c r="R9" s="83"/>
      <c r="S9" s="83"/>
      <c r="V9" s="105"/>
      <c r="Z9" s="106"/>
      <c r="AA9" s="106"/>
      <c r="AG9" s="107"/>
      <c r="AH9" s="88" t="s">
        <v>54</v>
      </c>
      <c r="AI9" s="88">
        <v>23</v>
      </c>
    </row>
    <row r="10" spans="1:37" s="88" customFormat="1" ht="14.45" customHeight="1" x14ac:dyDescent="0.25">
      <c r="A10" s="97">
        <f t="shared" si="0"/>
        <v>71.282367960105546</v>
      </c>
      <c r="B10" s="33">
        <f t="shared" si="1"/>
        <v>5</v>
      </c>
      <c r="C10" s="34" t="s">
        <v>150</v>
      </c>
      <c r="D10" s="34" t="s">
        <v>151</v>
      </c>
      <c r="E10" s="34" t="s">
        <v>152</v>
      </c>
      <c r="F10" s="34"/>
      <c r="G10" s="27"/>
      <c r="H10" s="98">
        <v>5</v>
      </c>
      <c r="I10" s="99">
        <f t="shared" si="2"/>
        <v>29.401973300087953</v>
      </c>
      <c r="J10" s="98">
        <f t="shared" si="3"/>
        <v>3</v>
      </c>
      <c r="K10" s="98">
        <f t="shared" si="4"/>
        <v>30</v>
      </c>
      <c r="L10" s="98"/>
      <c r="M10" s="100">
        <f t="shared" si="5"/>
        <v>59.401973300087953</v>
      </c>
      <c r="N10" s="100">
        <f t="shared" si="6"/>
        <v>71.282367960105546</v>
      </c>
      <c r="O10" s="83"/>
      <c r="P10" s="83"/>
      <c r="Q10" s="83"/>
      <c r="R10" s="83"/>
      <c r="S10" s="83"/>
      <c r="W10" s="105"/>
      <c r="AA10" s="106"/>
      <c r="AB10" s="106"/>
      <c r="AH10" s="107"/>
      <c r="AI10" s="88" t="s">
        <v>55</v>
      </c>
      <c r="AJ10" s="88">
        <v>45</v>
      </c>
    </row>
    <row r="11" spans="1:37" s="88" customFormat="1" ht="14.45" customHeight="1" x14ac:dyDescent="0.25">
      <c r="A11" s="101">
        <f t="shared" si="0"/>
        <v>68.482286565876421</v>
      </c>
      <c r="B11" s="39">
        <f t="shared" si="1"/>
        <v>6</v>
      </c>
      <c r="C11" s="40" t="s">
        <v>153</v>
      </c>
      <c r="D11" s="40" t="s">
        <v>154</v>
      </c>
      <c r="E11" s="40" t="s">
        <v>155</v>
      </c>
      <c r="F11" s="40"/>
      <c r="G11" s="27"/>
      <c r="H11" s="102">
        <v>6</v>
      </c>
      <c r="I11" s="103">
        <f t="shared" si="2"/>
        <v>27.068572138230348</v>
      </c>
      <c r="J11" s="102">
        <f t="shared" si="3"/>
        <v>3</v>
      </c>
      <c r="K11" s="102">
        <f t="shared" si="4"/>
        <v>30</v>
      </c>
      <c r="L11" s="102"/>
      <c r="M11" s="104">
        <f t="shared" si="5"/>
        <v>57.068572138230351</v>
      </c>
      <c r="N11" s="104">
        <f t="shared" si="6"/>
        <v>68.482286565876421</v>
      </c>
      <c r="O11" s="83"/>
      <c r="P11" s="83"/>
      <c r="Q11" s="83"/>
      <c r="R11" s="83"/>
      <c r="S11" s="83"/>
      <c r="W11" s="108"/>
      <c r="AA11" s="106"/>
      <c r="AB11" s="106"/>
      <c r="AH11" s="107"/>
      <c r="AI11" s="88" t="s">
        <v>56</v>
      </c>
      <c r="AJ11" s="88">
        <v>50</v>
      </c>
    </row>
    <row r="12" spans="1:37" s="88" customFormat="1" ht="14.45" customHeight="1" x14ac:dyDescent="0.25">
      <c r="A12" s="97">
        <f t="shared" si="0"/>
        <v>66.114851479854877</v>
      </c>
      <c r="B12" s="33">
        <f t="shared" si="1"/>
        <v>7</v>
      </c>
      <c r="C12" s="34" t="s">
        <v>156</v>
      </c>
      <c r="D12" s="34" t="s">
        <v>157</v>
      </c>
      <c r="E12" s="34" t="s">
        <v>155</v>
      </c>
      <c r="F12" s="34"/>
      <c r="G12" s="27"/>
      <c r="H12" s="98">
        <v>7</v>
      </c>
      <c r="I12" s="99">
        <f t="shared" si="2"/>
        <v>25.095709566545732</v>
      </c>
      <c r="J12" s="98">
        <f t="shared" si="3"/>
        <v>3</v>
      </c>
      <c r="K12" s="98">
        <f t="shared" si="4"/>
        <v>30</v>
      </c>
      <c r="L12" s="98"/>
      <c r="M12" s="100">
        <f t="shared" si="5"/>
        <v>55.095709566545736</v>
      </c>
      <c r="N12" s="100">
        <f t="shared" si="6"/>
        <v>66.114851479854877</v>
      </c>
      <c r="O12" s="83"/>
      <c r="P12" s="83"/>
      <c r="Q12" s="83"/>
      <c r="R12" s="83"/>
      <c r="S12" s="83"/>
      <c r="AA12" s="106"/>
      <c r="AB12" s="106"/>
      <c r="AH12" s="107"/>
      <c r="AI12" s="88" t="s">
        <v>57</v>
      </c>
      <c r="AJ12" s="88">
        <f>AJ11-1</f>
        <v>49</v>
      </c>
    </row>
    <row r="13" spans="1:37" s="88" customFormat="1" ht="14.45" customHeight="1" x14ac:dyDescent="0.25">
      <c r="A13" s="101">
        <f t="shared" si="0"/>
        <v>64.064085928000907</v>
      </c>
      <c r="B13" s="39">
        <f t="shared" si="1"/>
        <v>8</v>
      </c>
      <c r="C13" s="40" t="s">
        <v>158</v>
      </c>
      <c r="D13" s="40" t="s">
        <v>159</v>
      </c>
      <c r="E13" s="40" t="s">
        <v>141</v>
      </c>
      <c r="F13" s="40"/>
      <c r="G13" s="27"/>
      <c r="H13" s="102">
        <v>8</v>
      </c>
      <c r="I13" s="103">
        <f t="shared" si="2"/>
        <v>23.386738273334089</v>
      </c>
      <c r="J13" s="102">
        <f t="shared" si="3"/>
        <v>3</v>
      </c>
      <c r="K13" s="102">
        <f t="shared" si="4"/>
        <v>30</v>
      </c>
      <c r="L13" s="102"/>
      <c r="M13" s="104">
        <f t="shared" si="5"/>
        <v>53.386738273334089</v>
      </c>
      <c r="N13" s="104">
        <f t="shared" si="6"/>
        <v>64.064085928000907</v>
      </c>
      <c r="O13" s="83"/>
      <c r="P13" s="83"/>
      <c r="Q13" s="83"/>
      <c r="R13" s="83"/>
      <c r="S13" s="83"/>
      <c r="Y13" s="105"/>
      <c r="AH13" s="107"/>
      <c r="AI13" s="88" t="s">
        <v>58</v>
      </c>
      <c r="AJ13" s="88" t="e">
        <f>LOG(AJ9)</f>
        <v>#NUM!</v>
      </c>
    </row>
    <row r="14" spans="1:37" s="88" customFormat="1" x14ac:dyDescent="0.25">
      <c r="A14" s="97">
        <f t="shared" si="0"/>
        <v>50.255182513085565</v>
      </c>
      <c r="B14" s="33">
        <f t="shared" si="1"/>
        <v>9</v>
      </c>
      <c r="C14" s="34" t="s">
        <v>160</v>
      </c>
      <c r="D14" s="34" t="s">
        <v>161</v>
      </c>
      <c r="E14" s="34" t="s">
        <v>144</v>
      </c>
      <c r="F14" s="34"/>
      <c r="G14" s="27"/>
      <c r="H14" s="98">
        <v>9</v>
      </c>
      <c r="I14" s="99">
        <f t="shared" si="2"/>
        <v>21.879318760904642</v>
      </c>
      <c r="J14" s="98">
        <f t="shared" si="3"/>
        <v>2</v>
      </c>
      <c r="K14" s="98">
        <f t="shared" si="4"/>
        <v>20</v>
      </c>
      <c r="L14" s="98"/>
      <c r="M14" s="100">
        <f t="shared" si="5"/>
        <v>41.879318760904638</v>
      </c>
      <c r="N14" s="100">
        <f t="shared" si="6"/>
        <v>50.255182513085565</v>
      </c>
      <c r="O14" s="83"/>
      <c r="P14" s="83"/>
      <c r="Q14" s="83"/>
      <c r="R14" s="83"/>
      <c r="S14" s="83"/>
      <c r="Y14" s="109"/>
      <c r="AA14" s="106"/>
      <c r="AB14" s="106"/>
      <c r="AH14" s="107"/>
      <c r="AI14" s="88" t="s">
        <v>59</v>
      </c>
      <c r="AJ14" s="88">
        <f>LOG(AJ10)</f>
        <v>1.6532125137753437</v>
      </c>
    </row>
    <row r="15" spans="1:37" s="88" customFormat="1" ht="25.85" x14ac:dyDescent="0.25">
      <c r="A15" s="101">
        <f t="shared" si="0"/>
        <v>48.637063269439182</v>
      </c>
      <c r="B15" s="39">
        <f t="shared" si="1"/>
        <v>10</v>
      </c>
      <c r="C15" s="40" t="s">
        <v>162</v>
      </c>
      <c r="D15" s="40" t="s">
        <v>163</v>
      </c>
      <c r="E15" s="40" t="s">
        <v>144</v>
      </c>
      <c r="F15" s="40"/>
      <c r="G15" s="27"/>
      <c r="H15" s="102">
        <v>10</v>
      </c>
      <c r="I15" s="103">
        <f t="shared" si="2"/>
        <v>20.530886057865985</v>
      </c>
      <c r="J15" s="102">
        <f t="shared" si="3"/>
        <v>2</v>
      </c>
      <c r="K15" s="102">
        <f t="shared" si="4"/>
        <v>20</v>
      </c>
      <c r="L15" s="102"/>
      <c r="M15" s="104">
        <f t="shared" si="5"/>
        <v>40.530886057865985</v>
      </c>
      <c r="N15" s="104">
        <f t="shared" si="6"/>
        <v>48.637063269439182</v>
      </c>
      <c r="O15" s="83"/>
      <c r="P15" s="83"/>
      <c r="Q15" s="83"/>
      <c r="R15" s="83"/>
      <c r="S15" s="83"/>
      <c r="Y15" s="105"/>
      <c r="AA15" s="106"/>
      <c r="AB15" s="106"/>
    </row>
    <row r="16" spans="1:37" s="88" customFormat="1" x14ac:dyDescent="0.25">
      <c r="A16" s="97">
        <f t="shared" si="0"/>
        <v>47.17329636308083</v>
      </c>
      <c r="B16" s="33">
        <f t="shared" si="1"/>
        <v>11</v>
      </c>
      <c r="C16" s="34" t="s">
        <v>164</v>
      </c>
      <c r="D16" s="34" t="s">
        <v>165</v>
      </c>
      <c r="E16" s="34" t="s">
        <v>141</v>
      </c>
      <c r="F16" s="34"/>
      <c r="G16" s="27"/>
      <c r="H16" s="98">
        <v>11</v>
      </c>
      <c r="I16" s="99">
        <f t="shared" si="2"/>
        <v>19.311080302567365</v>
      </c>
      <c r="J16" s="98">
        <f t="shared" si="3"/>
        <v>2</v>
      </c>
      <c r="K16" s="98">
        <f t="shared" si="4"/>
        <v>20</v>
      </c>
      <c r="L16" s="98"/>
      <c r="M16" s="100">
        <f t="shared" si="5"/>
        <v>39.311080302567362</v>
      </c>
      <c r="N16" s="100">
        <f t="shared" si="6"/>
        <v>47.17329636308083</v>
      </c>
      <c r="O16" s="83"/>
      <c r="P16" s="83"/>
      <c r="Q16" s="83"/>
      <c r="R16" s="83"/>
      <c r="S16" s="110"/>
      <c r="AA16" s="106"/>
      <c r="AB16" s="106"/>
      <c r="AI16" s="111" t="s">
        <v>60</v>
      </c>
      <c r="AJ16" s="88" t="e">
        <f>AJ11-AJ12*AJ13/AJ14</f>
        <v>#NUM!</v>
      </c>
      <c r="AK16" s="88" t="s">
        <v>61</v>
      </c>
    </row>
    <row r="17" spans="1:20" s="88" customFormat="1" x14ac:dyDescent="0.25">
      <c r="A17" s="101">
        <f t="shared" si="0"/>
        <v>45.83698187521005</v>
      </c>
      <c r="B17" s="39">
        <f t="shared" si="1"/>
        <v>12</v>
      </c>
      <c r="C17" s="40" t="s">
        <v>166</v>
      </c>
      <c r="D17" s="40" t="s">
        <v>167</v>
      </c>
      <c r="E17" s="40" t="s">
        <v>168</v>
      </c>
      <c r="F17" s="40"/>
      <c r="G17" s="27"/>
      <c r="H17" s="102">
        <v>12</v>
      </c>
      <c r="I17" s="103">
        <f t="shared" si="2"/>
        <v>18.197484896008376</v>
      </c>
      <c r="J17" s="102">
        <f t="shared" si="3"/>
        <v>2</v>
      </c>
      <c r="K17" s="102">
        <f t="shared" si="4"/>
        <v>20</v>
      </c>
      <c r="L17" s="102"/>
      <c r="M17" s="104">
        <f t="shared" si="5"/>
        <v>38.197484896008376</v>
      </c>
      <c r="N17" s="104">
        <f t="shared" si="6"/>
        <v>45.83698187521005</v>
      </c>
      <c r="O17" s="83"/>
      <c r="P17" s="83"/>
      <c r="Q17" s="83"/>
      <c r="R17" s="83"/>
      <c r="S17" s="83"/>
    </row>
    <row r="18" spans="1:20" s="88" customFormat="1" x14ac:dyDescent="0.25">
      <c r="A18" s="97">
        <f t="shared" si="0"/>
        <v>44.607691710944515</v>
      </c>
      <c r="B18" s="33">
        <f t="shared" si="1"/>
        <v>13</v>
      </c>
      <c r="C18" s="34" t="s">
        <v>169</v>
      </c>
      <c r="D18" s="34" t="s">
        <v>170</v>
      </c>
      <c r="E18" s="34" t="s">
        <v>171</v>
      </c>
      <c r="F18" s="34"/>
      <c r="G18" s="27"/>
      <c r="H18" s="98">
        <v>13</v>
      </c>
      <c r="I18" s="99">
        <f t="shared" si="2"/>
        <v>17.173076425787094</v>
      </c>
      <c r="J18" s="98">
        <f t="shared" si="3"/>
        <v>2</v>
      </c>
      <c r="K18" s="98">
        <f t="shared" si="4"/>
        <v>20</v>
      </c>
      <c r="L18" s="98"/>
      <c r="M18" s="100">
        <f t="shared" si="5"/>
        <v>37.173076425787094</v>
      </c>
      <c r="N18" s="100">
        <f t="shared" si="6"/>
        <v>44.607691710944515</v>
      </c>
      <c r="O18" s="83"/>
      <c r="P18" s="83"/>
      <c r="Q18" s="83"/>
      <c r="R18" s="83"/>
      <c r="S18" s="83"/>
    </row>
    <row r="19" spans="1:20" s="88" customFormat="1" x14ac:dyDescent="0.25">
      <c r="A19" s="101">
        <f t="shared" si="0"/>
        <v>43.469546789188513</v>
      </c>
      <c r="B19" s="39">
        <f t="shared" si="1"/>
        <v>14</v>
      </c>
      <c r="C19" s="40" t="s">
        <v>172</v>
      </c>
      <c r="D19" s="40" t="s">
        <v>173</v>
      </c>
      <c r="E19" s="40" t="s">
        <v>141</v>
      </c>
      <c r="F19" s="40"/>
      <c r="G19" s="27"/>
      <c r="H19" s="102">
        <v>14</v>
      </c>
      <c r="I19" s="103">
        <f t="shared" si="2"/>
        <v>16.224622324323761</v>
      </c>
      <c r="J19" s="102">
        <f t="shared" si="3"/>
        <v>2</v>
      </c>
      <c r="K19" s="102">
        <f t="shared" si="4"/>
        <v>20</v>
      </c>
      <c r="L19" s="102"/>
      <c r="M19" s="104">
        <f t="shared" si="5"/>
        <v>36.224622324323761</v>
      </c>
      <c r="N19" s="104">
        <f t="shared" si="6"/>
        <v>43.469546789188513</v>
      </c>
      <c r="O19" s="83"/>
      <c r="P19" s="83"/>
      <c r="Q19" s="83"/>
      <c r="R19" s="83"/>
      <c r="S19" s="83"/>
    </row>
    <row r="20" spans="1:20" s="88" customFormat="1" x14ac:dyDescent="0.25">
      <c r="A20" s="97">
        <f t="shared" si="0"/>
        <v>42.409959216648325</v>
      </c>
      <c r="B20" s="33">
        <f t="shared" si="1"/>
        <v>15</v>
      </c>
      <c r="C20" s="34" t="s">
        <v>174</v>
      </c>
      <c r="D20" s="34" t="s">
        <v>175</v>
      </c>
      <c r="E20" s="34" t="s">
        <v>152</v>
      </c>
      <c r="F20" s="34"/>
      <c r="G20" s="27"/>
      <c r="H20" s="98">
        <v>15</v>
      </c>
      <c r="I20" s="99">
        <f t="shared" si="2"/>
        <v>15.341632680540272</v>
      </c>
      <c r="J20" s="98">
        <f t="shared" si="3"/>
        <v>2</v>
      </c>
      <c r="K20" s="98">
        <f t="shared" si="4"/>
        <v>20</v>
      </c>
      <c r="L20" s="98"/>
      <c r="M20" s="100">
        <f t="shared" si="5"/>
        <v>35.341632680540272</v>
      </c>
      <c r="N20" s="100">
        <f t="shared" si="6"/>
        <v>42.409959216648325</v>
      </c>
      <c r="O20" s="83"/>
      <c r="P20" s="83"/>
      <c r="Q20" s="83"/>
      <c r="R20" s="83"/>
      <c r="S20" s="112"/>
      <c r="T20" s="113"/>
    </row>
    <row r="21" spans="1:20" s="88" customFormat="1" x14ac:dyDescent="0.25">
      <c r="A21" s="101">
        <f t="shared" si="0"/>
        <v>41.418781237334535</v>
      </c>
      <c r="B21" s="39">
        <f t="shared" si="1"/>
        <v>16</v>
      </c>
      <c r="C21" s="40" t="s">
        <v>19</v>
      </c>
      <c r="D21" s="40" t="s">
        <v>176</v>
      </c>
      <c r="E21" s="40" t="s">
        <v>50</v>
      </c>
      <c r="F21" s="40"/>
      <c r="G21" s="27"/>
      <c r="H21" s="102">
        <v>16</v>
      </c>
      <c r="I21" s="103">
        <f t="shared" si="2"/>
        <v>14.515651031112114</v>
      </c>
      <c r="J21" s="102">
        <f t="shared" si="3"/>
        <v>2</v>
      </c>
      <c r="K21" s="102">
        <f t="shared" si="4"/>
        <v>20</v>
      </c>
      <c r="L21" s="102"/>
      <c r="M21" s="104">
        <f t="shared" si="5"/>
        <v>34.515651031112114</v>
      </c>
      <c r="N21" s="104">
        <f t="shared" si="6"/>
        <v>41.418781237334535</v>
      </c>
      <c r="O21" s="83"/>
      <c r="P21" s="83"/>
      <c r="Q21" s="83"/>
      <c r="R21" s="83"/>
      <c r="S21" s="83"/>
    </row>
    <row r="22" spans="1:20" s="88" customFormat="1" ht="38.75" x14ac:dyDescent="0.25">
      <c r="A22" s="97">
        <f t="shared" si="0"/>
        <v>28.487712643113291</v>
      </c>
      <c r="B22" s="33">
        <f t="shared" si="1"/>
        <v>17</v>
      </c>
      <c r="C22" s="34" t="s">
        <v>177</v>
      </c>
      <c r="D22" s="34" t="s">
        <v>178</v>
      </c>
      <c r="E22" s="34" t="s">
        <v>179</v>
      </c>
      <c r="F22" s="34"/>
      <c r="G22" s="27"/>
      <c r="H22" s="98">
        <v>17</v>
      </c>
      <c r="I22" s="99">
        <f t="shared" si="2"/>
        <v>13.739760535927743</v>
      </c>
      <c r="J22" s="98">
        <f t="shared" si="3"/>
        <v>1</v>
      </c>
      <c r="K22" s="98">
        <f t="shared" si="4"/>
        <v>10</v>
      </c>
      <c r="L22" s="98"/>
      <c r="M22" s="100">
        <f t="shared" si="5"/>
        <v>23.739760535927743</v>
      </c>
      <c r="N22" s="100">
        <f t="shared" si="6"/>
        <v>28.487712643113291</v>
      </c>
      <c r="O22" s="83"/>
      <c r="P22" s="83"/>
      <c r="Q22" s="83"/>
      <c r="R22" s="83"/>
      <c r="S22" s="83"/>
    </row>
    <row r="23" spans="1:20" s="88" customFormat="1" x14ac:dyDescent="0.25">
      <c r="A23" s="101">
        <f t="shared" si="0"/>
        <v>27.609877822419204</v>
      </c>
      <c r="B23" s="39">
        <f t="shared" si="1"/>
        <v>18</v>
      </c>
      <c r="C23" s="40" t="s">
        <v>180</v>
      </c>
      <c r="D23" s="40" t="s">
        <v>181</v>
      </c>
      <c r="E23" s="40" t="s">
        <v>149</v>
      </c>
      <c r="F23" s="40"/>
      <c r="G23" s="27"/>
      <c r="H23" s="102">
        <v>18</v>
      </c>
      <c r="I23" s="103">
        <f t="shared" si="2"/>
        <v>13.00823151868267</v>
      </c>
      <c r="J23" s="102">
        <f t="shared" si="3"/>
        <v>1</v>
      </c>
      <c r="K23" s="102">
        <f t="shared" si="4"/>
        <v>10</v>
      </c>
      <c r="L23" s="102"/>
      <c r="M23" s="104">
        <f t="shared" si="5"/>
        <v>23.00823151868267</v>
      </c>
      <c r="N23" s="104">
        <f t="shared" si="6"/>
        <v>27.609877822419204</v>
      </c>
      <c r="O23" s="83"/>
      <c r="P23" s="83"/>
      <c r="Q23" s="83"/>
      <c r="R23" s="83"/>
      <c r="S23" s="83"/>
    </row>
    <row r="24" spans="1:20" s="88" customFormat="1" x14ac:dyDescent="0.25">
      <c r="A24" s="97">
        <f t="shared" si="0"/>
        <v>26.779517315528292</v>
      </c>
      <c r="B24" s="33">
        <f t="shared" si="1"/>
        <v>19</v>
      </c>
      <c r="C24" s="34" t="s">
        <v>182</v>
      </c>
      <c r="D24" s="34" t="s">
        <v>183</v>
      </c>
      <c r="E24" s="34" t="s">
        <v>155</v>
      </c>
      <c r="F24" s="34"/>
      <c r="G24" s="27"/>
      <c r="H24" s="98">
        <v>19</v>
      </c>
      <c r="I24" s="99">
        <f t="shared" si="2"/>
        <v>12.31626442960691</v>
      </c>
      <c r="J24" s="98">
        <f t="shared" si="3"/>
        <v>1</v>
      </c>
      <c r="K24" s="98">
        <f t="shared" si="4"/>
        <v>10</v>
      </c>
      <c r="L24" s="98"/>
      <c r="M24" s="100">
        <f t="shared" si="5"/>
        <v>22.31626442960691</v>
      </c>
      <c r="N24" s="100">
        <f t="shared" si="6"/>
        <v>26.779517315528292</v>
      </c>
      <c r="O24" s="83"/>
      <c r="P24" s="83"/>
      <c r="Q24" s="83"/>
      <c r="R24" s="83"/>
      <c r="S24" s="112"/>
      <c r="T24" s="113"/>
    </row>
    <row r="25" spans="1:20" s="88" customFormat="1" x14ac:dyDescent="0.25">
      <c r="A25" s="101">
        <f t="shared" si="0"/>
        <v>25.991758578772821</v>
      </c>
      <c r="B25" s="39">
        <f t="shared" si="1"/>
        <v>20</v>
      </c>
      <c r="C25" s="40" t="s">
        <v>184</v>
      </c>
      <c r="D25" s="40" t="s">
        <v>185</v>
      </c>
      <c r="E25" s="40" t="s">
        <v>155</v>
      </c>
      <c r="F25" s="40"/>
      <c r="G25" s="27"/>
      <c r="H25" s="102">
        <v>20</v>
      </c>
      <c r="I25" s="103">
        <f t="shared" si="2"/>
        <v>11.659798815644017</v>
      </c>
      <c r="J25" s="102">
        <f t="shared" si="3"/>
        <v>1</v>
      </c>
      <c r="K25" s="102">
        <f t="shared" si="4"/>
        <v>10</v>
      </c>
      <c r="L25" s="102"/>
      <c r="M25" s="104">
        <f t="shared" si="5"/>
        <v>21.659798815644017</v>
      </c>
      <c r="N25" s="104">
        <f t="shared" si="6"/>
        <v>25.991758578772821</v>
      </c>
      <c r="O25" s="83"/>
      <c r="P25" s="83"/>
      <c r="Q25" s="83"/>
      <c r="R25" s="83"/>
      <c r="S25" s="83"/>
    </row>
    <row r="26" spans="1:20" s="88" customFormat="1" x14ac:dyDescent="0.25">
      <c r="A26" s="97">
        <f t="shared" si="0"/>
        <v>25.242442736397667</v>
      </c>
      <c r="B26" s="33">
        <f t="shared" si="1"/>
        <v>21</v>
      </c>
      <c r="C26" s="34" t="s">
        <v>186</v>
      </c>
      <c r="D26" s="34" t="s">
        <v>187</v>
      </c>
      <c r="E26" s="34" t="s">
        <v>141</v>
      </c>
      <c r="F26" s="34"/>
      <c r="G26" s="27"/>
      <c r="H26" s="98">
        <v>21</v>
      </c>
      <c r="I26" s="99">
        <f t="shared" si="2"/>
        <v>11.035368946998055</v>
      </c>
      <c r="J26" s="98">
        <f t="shared" si="3"/>
        <v>1</v>
      </c>
      <c r="K26" s="98">
        <f t="shared" si="4"/>
        <v>10</v>
      </c>
      <c r="L26" s="98"/>
      <c r="M26" s="100">
        <f t="shared" si="5"/>
        <v>21.035368946998055</v>
      </c>
      <c r="N26" s="100">
        <f t="shared" si="6"/>
        <v>25.242442736397667</v>
      </c>
      <c r="O26" s="83"/>
      <c r="P26" s="83"/>
      <c r="Q26" s="83"/>
      <c r="R26" s="83"/>
      <c r="S26" s="83"/>
    </row>
    <row r="27" spans="1:20" s="88" customFormat="1" x14ac:dyDescent="0.25">
      <c r="A27" s="101">
        <f t="shared" si="0"/>
        <v>24.52799167241448</v>
      </c>
      <c r="B27" s="39">
        <f t="shared" si="1"/>
        <v>22</v>
      </c>
      <c r="C27" s="40" t="s">
        <v>188</v>
      </c>
      <c r="D27" s="40" t="s">
        <v>189</v>
      </c>
      <c r="E27" s="40" t="s">
        <v>141</v>
      </c>
      <c r="F27" s="40"/>
      <c r="G27" s="27"/>
      <c r="H27" s="102">
        <v>22</v>
      </c>
      <c r="I27" s="103">
        <f t="shared" si="2"/>
        <v>10.439993060345401</v>
      </c>
      <c r="J27" s="102">
        <f t="shared" si="3"/>
        <v>1</v>
      </c>
      <c r="K27" s="102">
        <f t="shared" si="4"/>
        <v>10</v>
      </c>
      <c r="L27" s="102"/>
      <c r="M27" s="104">
        <f t="shared" si="5"/>
        <v>20.439993060345401</v>
      </c>
      <c r="N27" s="104">
        <f t="shared" si="6"/>
        <v>24.52799167241448</v>
      </c>
      <c r="O27" s="83"/>
      <c r="P27" s="83"/>
      <c r="Q27" s="83"/>
      <c r="R27" s="83"/>
      <c r="S27" s="83"/>
    </row>
    <row r="28" spans="1:20" s="88" customFormat="1" x14ac:dyDescent="0.25">
      <c r="A28" s="97">
        <f t="shared" si="0"/>
        <v>23.84530469066636</v>
      </c>
      <c r="B28" s="33">
        <f t="shared" si="1"/>
        <v>23</v>
      </c>
      <c r="C28" s="34" t="s">
        <v>190</v>
      </c>
      <c r="D28" s="34" t="s">
        <v>191</v>
      </c>
      <c r="E28" s="34" t="s">
        <v>144</v>
      </c>
      <c r="F28" s="34"/>
      <c r="G28" s="27"/>
      <c r="H28" s="98">
        <v>23</v>
      </c>
      <c r="I28" s="99">
        <f t="shared" si="2"/>
        <v>9.871087242221968</v>
      </c>
      <c r="J28" s="98">
        <f t="shared" si="3"/>
        <v>1</v>
      </c>
      <c r="K28" s="98">
        <f t="shared" si="4"/>
        <v>10</v>
      </c>
      <c r="L28" s="98"/>
      <c r="M28" s="100">
        <f t="shared" si="5"/>
        <v>19.871087242221968</v>
      </c>
      <c r="N28" s="100">
        <f t="shared" si="6"/>
        <v>23.84530469066636</v>
      </c>
      <c r="O28" s="83"/>
      <c r="P28" s="83"/>
      <c r="Q28" s="83"/>
      <c r="R28" s="83"/>
      <c r="S28" s="112"/>
      <c r="T28" s="113"/>
    </row>
    <row r="29" spans="1:20" s="88" customFormat="1" x14ac:dyDescent="0.25">
      <c r="A29" s="101">
        <f t="shared" si="0"/>
        <v>23.191677184543696</v>
      </c>
      <c r="B29" s="39">
        <f t="shared" si="1"/>
        <v>24</v>
      </c>
      <c r="C29" s="40" t="s">
        <v>192</v>
      </c>
      <c r="D29" s="40" t="s">
        <v>193</v>
      </c>
      <c r="E29" s="40" t="s">
        <v>144</v>
      </c>
      <c r="F29" s="40"/>
      <c r="G29" s="83"/>
      <c r="H29" s="102">
        <v>24</v>
      </c>
      <c r="I29" s="103">
        <f t="shared" si="2"/>
        <v>9.3263976537864153</v>
      </c>
      <c r="J29" s="102">
        <f t="shared" si="3"/>
        <v>1</v>
      </c>
      <c r="K29" s="102">
        <f t="shared" si="4"/>
        <v>10</v>
      </c>
      <c r="L29" s="102"/>
      <c r="M29" s="104">
        <f t="shared" si="5"/>
        <v>19.326397653786415</v>
      </c>
      <c r="N29" s="104">
        <f t="shared" si="6"/>
        <v>23.191677184543696</v>
      </c>
      <c r="O29" s="83"/>
      <c r="P29" s="83"/>
      <c r="Q29" s="83"/>
      <c r="R29" s="83"/>
      <c r="S29" s="83"/>
    </row>
    <row r="30" spans="1:20" s="88" customFormat="1" x14ac:dyDescent="0.25">
      <c r="A30" s="97">
        <f t="shared" si="0"/>
        <v>22.564735920211085</v>
      </c>
      <c r="B30" s="33">
        <f t="shared" si="1"/>
        <v>25</v>
      </c>
      <c r="C30" s="34" t="s">
        <v>194</v>
      </c>
      <c r="D30" s="34" t="s">
        <v>195</v>
      </c>
      <c r="E30" s="34" t="s">
        <v>168</v>
      </c>
      <c r="F30" s="34"/>
      <c r="G30" s="83"/>
      <c r="H30" s="98">
        <v>25</v>
      </c>
      <c r="I30" s="99">
        <f t="shared" si="2"/>
        <v>8.8039466001759052</v>
      </c>
      <c r="J30" s="98">
        <f t="shared" si="3"/>
        <v>1</v>
      </c>
      <c r="K30" s="98">
        <f t="shared" si="4"/>
        <v>10</v>
      </c>
      <c r="L30" s="98"/>
      <c r="M30" s="100">
        <f t="shared" si="5"/>
        <v>18.803946600175905</v>
      </c>
      <c r="N30" s="100">
        <f t="shared" si="6"/>
        <v>22.564735920211085</v>
      </c>
      <c r="O30" s="83"/>
      <c r="P30" s="83"/>
      <c r="Q30" s="83"/>
      <c r="R30" s="83"/>
      <c r="S30" s="83"/>
    </row>
    <row r="31" spans="1:20" s="88" customFormat="1" x14ac:dyDescent="0.25">
      <c r="A31" s="101">
        <f t="shared" si="0"/>
        <v>21.962387020278143</v>
      </c>
      <c r="B31" s="39">
        <f t="shared" si="1"/>
        <v>26</v>
      </c>
      <c r="C31" s="40" t="s">
        <v>196</v>
      </c>
      <c r="D31" s="40" t="s">
        <v>197</v>
      </c>
      <c r="E31" s="40" t="s">
        <v>171</v>
      </c>
      <c r="F31" s="40"/>
      <c r="G31" s="83"/>
      <c r="H31" s="102">
        <v>26</v>
      </c>
      <c r="I31" s="103">
        <f t="shared" si="2"/>
        <v>8.3019891835651194</v>
      </c>
      <c r="J31" s="102">
        <f t="shared" si="3"/>
        <v>1</v>
      </c>
      <c r="K31" s="102">
        <f t="shared" si="4"/>
        <v>10</v>
      </c>
      <c r="L31" s="102"/>
      <c r="M31" s="104">
        <f t="shared" si="5"/>
        <v>18.301989183565119</v>
      </c>
      <c r="N31" s="104">
        <f t="shared" si="6"/>
        <v>21.962387020278143</v>
      </c>
      <c r="O31" s="83"/>
      <c r="P31" s="83"/>
      <c r="Q31" s="83"/>
      <c r="R31" s="83"/>
      <c r="S31" s="83"/>
    </row>
    <row r="32" spans="1:20" s="88" customFormat="1" ht="25.85" x14ac:dyDescent="0.25">
      <c r="A32" s="97">
        <f t="shared" si="0"/>
        <v>21.382773769628347</v>
      </c>
      <c r="B32" s="33">
        <f t="shared" si="1"/>
        <v>27</v>
      </c>
      <c r="C32" s="34" t="s">
        <v>198</v>
      </c>
      <c r="D32" s="34" t="s">
        <v>199</v>
      </c>
      <c r="E32" s="34" t="s">
        <v>200</v>
      </c>
      <c r="F32" s="34"/>
      <c r="G32" s="83"/>
      <c r="H32" s="98">
        <v>27</v>
      </c>
      <c r="I32" s="99">
        <f t="shared" si="2"/>
        <v>7.8189781413569577</v>
      </c>
      <c r="J32" s="98">
        <f t="shared" si="3"/>
        <v>1</v>
      </c>
      <c r="K32" s="98">
        <f t="shared" si="4"/>
        <v>10</v>
      </c>
      <c r="L32" s="98"/>
      <c r="M32" s="100">
        <f t="shared" si="5"/>
        <v>17.818978141356958</v>
      </c>
      <c r="N32" s="100">
        <f t="shared" si="6"/>
        <v>21.382773769628347</v>
      </c>
      <c r="O32" s="83"/>
      <c r="P32" s="83"/>
      <c r="Q32" s="83"/>
      <c r="R32" s="83"/>
      <c r="S32" s="112"/>
      <c r="T32" s="113"/>
    </row>
    <row r="33" spans="1:20" s="88" customFormat="1" x14ac:dyDescent="0.25">
      <c r="A33" s="101">
        <f t="shared" si="0"/>
        <v>20.824242098522152</v>
      </c>
      <c r="B33" s="39">
        <f t="shared" si="1"/>
        <v>28</v>
      </c>
      <c r="C33" s="40" t="s">
        <v>201</v>
      </c>
      <c r="D33" s="40" t="s">
        <v>202</v>
      </c>
      <c r="E33" s="40" t="s">
        <v>203</v>
      </c>
      <c r="F33" s="40"/>
      <c r="G33" s="83"/>
      <c r="H33" s="102">
        <v>28</v>
      </c>
      <c r="I33" s="103">
        <f t="shared" si="2"/>
        <v>7.3535350821017929</v>
      </c>
      <c r="J33" s="102">
        <f t="shared" si="3"/>
        <v>1</v>
      </c>
      <c r="K33" s="102">
        <f t="shared" si="4"/>
        <v>10</v>
      </c>
      <c r="L33" s="102"/>
      <c r="M33" s="104">
        <f t="shared" si="5"/>
        <v>17.353535082101793</v>
      </c>
      <c r="N33" s="104">
        <f t="shared" si="6"/>
        <v>20.824242098522152</v>
      </c>
      <c r="O33" s="83"/>
      <c r="P33" s="83"/>
      <c r="Q33" s="83"/>
      <c r="R33" s="83"/>
      <c r="S33" s="83"/>
    </row>
    <row r="34" spans="1:20" s="88" customFormat="1" x14ac:dyDescent="0.25">
      <c r="A34" s="97">
        <f t="shared" si="0"/>
        <v>20.285312125400402</v>
      </c>
      <c r="B34" s="33">
        <f t="shared" si="1"/>
        <v>29</v>
      </c>
      <c r="C34" s="34" t="s">
        <v>204</v>
      </c>
      <c r="D34" s="34" t="s">
        <v>205</v>
      </c>
      <c r="E34" s="34" t="s">
        <v>152</v>
      </c>
      <c r="F34" s="34"/>
      <c r="G34" s="83"/>
      <c r="H34" s="98">
        <v>29</v>
      </c>
      <c r="I34" s="99">
        <f t="shared" si="2"/>
        <v>6.9044267711670031</v>
      </c>
      <c r="J34" s="98">
        <f t="shared" si="3"/>
        <v>1</v>
      </c>
      <c r="K34" s="98">
        <f t="shared" si="4"/>
        <v>10</v>
      </c>
      <c r="L34" s="98"/>
      <c r="M34" s="100">
        <f t="shared" si="5"/>
        <v>16.904426771167003</v>
      </c>
      <c r="N34" s="100">
        <f t="shared" si="6"/>
        <v>20.285312125400402</v>
      </c>
      <c r="O34" s="83"/>
      <c r="P34" s="83"/>
      <c r="Q34" s="83"/>
      <c r="R34" s="83"/>
      <c r="S34" s="83"/>
    </row>
    <row r="35" spans="1:20" s="88" customFormat="1" x14ac:dyDescent="0.25">
      <c r="A35" s="101">
        <f t="shared" si="0"/>
        <v>19.764654525981964</v>
      </c>
      <c r="B35" s="39">
        <f t="shared" si="1"/>
        <v>30</v>
      </c>
      <c r="C35" s="40" t="s">
        <v>206</v>
      </c>
      <c r="D35" s="40" t="s">
        <v>207</v>
      </c>
      <c r="E35" s="40" t="s">
        <v>155</v>
      </c>
      <c r="F35" s="40"/>
      <c r="G35" s="83"/>
      <c r="H35" s="102">
        <v>30</v>
      </c>
      <c r="I35" s="103">
        <f t="shared" si="2"/>
        <v>6.4705454383183039</v>
      </c>
      <c r="J35" s="102">
        <f t="shared" si="3"/>
        <v>1</v>
      </c>
      <c r="K35" s="102">
        <f t="shared" si="4"/>
        <v>10</v>
      </c>
      <c r="L35" s="102"/>
      <c r="M35" s="104">
        <f t="shared" si="5"/>
        <v>16.470545438318304</v>
      </c>
      <c r="N35" s="104">
        <f t="shared" si="6"/>
        <v>19.764654525981964</v>
      </c>
      <c r="O35" s="83"/>
      <c r="P35" s="83"/>
      <c r="Q35" s="83"/>
      <c r="R35" s="83"/>
      <c r="S35" s="83"/>
    </row>
    <row r="36" spans="1:20" s="88" customFormat="1" x14ac:dyDescent="0.25">
      <c r="A36" s="97">
        <f t="shared" si="0"/>
        <v>19.261070778556601</v>
      </c>
      <c r="B36" s="33">
        <f t="shared" si="1"/>
        <v>31</v>
      </c>
      <c r="C36" s="34" t="s">
        <v>208</v>
      </c>
      <c r="D36" s="34" t="s">
        <v>209</v>
      </c>
      <c r="E36" s="34" t="s">
        <v>152</v>
      </c>
      <c r="F36" s="34"/>
      <c r="G36" s="83"/>
      <c r="H36" s="98">
        <v>31</v>
      </c>
      <c r="I36" s="99">
        <f t="shared" si="2"/>
        <v>6.0508923154638339</v>
      </c>
      <c r="J36" s="98">
        <f t="shared" si="3"/>
        <v>1</v>
      </c>
      <c r="K36" s="98">
        <f t="shared" si="4"/>
        <v>10</v>
      </c>
      <c r="L36" s="98"/>
      <c r="M36" s="100">
        <f t="shared" si="5"/>
        <v>16.050892315463834</v>
      </c>
      <c r="N36" s="100">
        <f t="shared" si="6"/>
        <v>19.261070778556601</v>
      </c>
      <c r="O36" s="83"/>
      <c r="P36" s="83"/>
      <c r="Q36" s="83"/>
      <c r="R36" s="83"/>
      <c r="S36" s="112"/>
      <c r="T36" s="113"/>
    </row>
    <row r="37" spans="1:20" s="88" customFormat="1" ht="38.75" x14ac:dyDescent="0.25">
      <c r="A37" s="101">
        <f t="shared" si="0"/>
        <v>18.773476546668174</v>
      </c>
      <c r="B37" s="39">
        <f t="shared" si="1"/>
        <v>32</v>
      </c>
      <c r="C37" s="40" t="s">
        <v>210</v>
      </c>
      <c r="D37" s="40" t="s">
        <v>211</v>
      </c>
      <c r="E37" s="40" t="s">
        <v>141</v>
      </c>
      <c r="F37" s="40"/>
      <c r="G37" s="83"/>
      <c r="H37" s="102">
        <v>32</v>
      </c>
      <c r="I37" s="103">
        <f t="shared" si="2"/>
        <v>5.6445637888901459</v>
      </c>
      <c r="J37" s="102">
        <f t="shared" si="3"/>
        <v>1</v>
      </c>
      <c r="K37" s="102">
        <f t="shared" si="4"/>
        <v>10</v>
      </c>
      <c r="L37" s="102"/>
      <c r="M37" s="104">
        <f t="shared" si="5"/>
        <v>15.644563788890146</v>
      </c>
      <c r="N37" s="104">
        <f t="shared" si="6"/>
        <v>18.773476546668174</v>
      </c>
      <c r="O37" s="83"/>
      <c r="P37" s="83"/>
      <c r="Q37" s="83"/>
      <c r="R37" s="83"/>
      <c r="S37" s="83"/>
    </row>
    <row r="38" spans="1:20" s="88" customFormat="1" ht="38.75" x14ac:dyDescent="0.25">
      <c r="A38" s="97">
        <f t="shared" si="0"/>
        <v>6.3008876196236256</v>
      </c>
      <c r="B38" s="33">
        <f t="shared" si="1"/>
        <v>33</v>
      </c>
      <c r="C38" s="34" t="s">
        <v>212</v>
      </c>
      <c r="D38" s="34" t="s">
        <v>213</v>
      </c>
      <c r="E38" s="34" t="s">
        <v>168</v>
      </c>
      <c r="F38" s="34"/>
      <c r="G38" s="83"/>
      <c r="H38" s="98">
        <v>33</v>
      </c>
      <c r="I38" s="99">
        <f t="shared" si="2"/>
        <v>5.2507396830196882</v>
      </c>
      <c r="J38" s="98">
        <f t="shared" si="3"/>
        <v>0</v>
      </c>
      <c r="K38" s="98">
        <f t="shared" si="4"/>
        <v>0</v>
      </c>
      <c r="L38" s="98"/>
      <c r="M38" s="100">
        <f t="shared" si="5"/>
        <v>5.2507396830196882</v>
      </c>
      <c r="N38" s="100">
        <f t="shared" si="6"/>
        <v>6.3008876196236256</v>
      </c>
      <c r="O38" s="83"/>
      <c r="P38" s="83"/>
      <c r="Q38" s="83"/>
      <c r="R38" s="83"/>
      <c r="S38" s="112"/>
      <c r="T38" s="113"/>
    </row>
    <row r="39" spans="1:20" s="88" customFormat="1" x14ac:dyDescent="0.25">
      <c r="A39" s="101">
        <f t="shared" si="0"/>
        <v>5.8424079524469308</v>
      </c>
      <c r="B39" s="39">
        <f t="shared" si="1"/>
        <v>34</v>
      </c>
      <c r="C39" s="40" t="s">
        <v>208</v>
      </c>
      <c r="D39" s="40" t="s">
        <v>214</v>
      </c>
      <c r="E39" s="40" t="s">
        <v>152</v>
      </c>
      <c r="F39" s="40"/>
      <c r="G39" s="83"/>
      <c r="H39" s="102">
        <v>34</v>
      </c>
      <c r="I39" s="103">
        <f t="shared" si="2"/>
        <v>4.8686732937057755</v>
      </c>
      <c r="J39" s="102">
        <f t="shared" si="3"/>
        <v>0</v>
      </c>
      <c r="K39" s="102">
        <f t="shared" si="4"/>
        <v>0</v>
      </c>
      <c r="L39" s="102"/>
      <c r="M39" s="104">
        <f t="shared" si="5"/>
        <v>4.8686732937057755</v>
      </c>
      <c r="N39" s="104">
        <f t="shared" si="6"/>
        <v>5.8424079524469308</v>
      </c>
      <c r="O39" s="83"/>
      <c r="P39" s="83"/>
      <c r="Q39" s="83"/>
      <c r="R39" s="83"/>
      <c r="S39" s="83"/>
    </row>
    <row r="40" spans="1:20" s="88" customFormat="1" x14ac:dyDescent="0.25">
      <c r="A40" s="97">
        <f t="shared" si="0"/>
        <v>5.3972194399604261</v>
      </c>
      <c r="B40" s="33">
        <f t="shared" si="1"/>
        <v>35</v>
      </c>
      <c r="C40" s="34" t="s">
        <v>215</v>
      </c>
      <c r="D40" s="34" t="s">
        <v>216</v>
      </c>
      <c r="E40" s="34" t="s">
        <v>141</v>
      </c>
      <c r="F40" s="34"/>
      <c r="G40" s="83"/>
      <c r="H40" s="98">
        <v>35</v>
      </c>
      <c r="I40" s="99">
        <f t="shared" si="2"/>
        <v>4.4976828666336885</v>
      </c>
      <c r="J40" s="98">
        <f t="shared" si="3"/>
        <v>0</v>
      </c>
      <c r="K40" s="98">
        <f t="shared" si="4"/>
        <v>0</v>
      </c>
      <c r="L40" s="98"/>
      <c r="M40" s="100">
        <f t="shared" si="5"/>
        <v>4.4976828666336885</v>
      </c>
      <c r="N40" s="100">
        <f t="shared" si="6"/>
        <v>5.3972194399604261</v>
      </c>
      <c r="O40" s="83"/>
      <c r="P40" s="83"/>
      <c r="Q40" s="83"/>
      <c r="R40" s="83"/>
      <c r="S40" s="112"/>
      <c r="T40" s="113"/>
    </row>
    <row r="41" spans="1:20" s="88" customFormat="1" ht="25.85" x14ac:dyDescent="0.25">
      <c r="A41" s="101">
        <f t="shared" si="0"/>
        <v>4.9645731317528341</v>
      </c>
      <c r="B41" s="39">
        <f t="shared" si="1"/>
        <v>36</v>
      </c>
      <c r="C41" s="40" t="s">
        <v>217</v>
      </c>
      <c r="D41" s="40" t="s">
        <v>218</v>
      </c>
      <c r="E41" s="40" t="s">
        <v>152</v>
      </c>
      <c r="F41" s="40"/>
      <c r="G41" s="83"/>
      <c r="H41" s="102">
        <v>36</v>
      </c>
      <c r="I41" s="103">
        <f t="shared" si="2"/>
        <v>4.1371442764606954</v>
      </c>
      <c r="J41" s="102">
        <f t="shared" si="3"/>
        <v>0</v>
      </c>
      <c r="K41" s="102">
        <f t="shared" si="4"/>
        <v>0</v>
      </c>
      <c r="L41" s="102"/>
      <c r="M41" s="104">
        <f t="shared" si="5"/>
        <v>4.1371442764606954</v>
      </c>
      <c r="N41" s="104">
        <f t="shared" si="6"/>
        <v>4.9645731317528341</v>
      </c>
      <c r="O41" s="83"/>
      <c r="P41" s="83"/>
      <c r="Q41" s="83"/>
      <c r="R41" s="83"/>
      <c r="S41" s="83"/>
    </row>
    <row r="42" spans="1:20" s="88" customFormat="1" x14ac:dyDescent="0.25">
      <c r="A42" s="97">
        <f t="shared" si="0"/>
        <v>4.5437816510624627</v>
      </c>
      <c r="B42" s="33">
        <f t="shared" si="1"/>
        <v>37</v>
      </c>
      <c r="C42" s="34" t="s">
        <v>219</v>
      </c>
      <c r="D42" s="34" t="s">
        <v>220</v>
      </c>
      <c r="E42" s="34" t="s">
        <v>50</v>
      </c>
      <c r="F42" s="34"/>
      <c r="G42" s="83"/>
      <c r="H42" s="98">
        <v>37</v>
      </c>
      <c r="I42" s="99">
        <f t="shared" si="2"/>
        <v>3.786484709218719</v>
      </c>
      <c r="J42" s="98">
        <f t="shared" si="3"/>
        <v>0</v>
      </c>
      <c r="K42" s="98">
        <f t="shared" si="4"/>
        <v>0</v>
      </c>
      <c r="L42" s="98"/>
      <c r="M42" s="100">
        <f t="shared" si="5"/>
        <v>3.786484709218719</v>
      </c>
      <c r="N42" s="100">
        <f t="shared" si="6"/>
        <v>4.5437816510624627</v>
      </c>
      <c r="O42" s="83"/>
      <c r="P42" s="83"/>
      <c r="Q42" s="83"/>
      <c r="R42" s="83"/>
      <c r="S42" s="112"/>
      <c r="T42" s="113"/>
    </row>
    <row r="43" spans="1:20" s="88" customFormat="1" x14ac:dyDescent="0.25">
      <c r="A43" s="101">
        <f t="shared" si="0"/>
        <v>4.134212624861922</v>
      </c>
      <c r="B43" s="39">
        <f t="shared" si="1"/>
        <v>38</v>
      </c>
      <c r="C43" s="40" t="s">
        <v>221</v>
      </c>
      <c r="D43" s="40" t="s">
        <v>222</v>
      </c>
      <c r="E43" s="40" t="s">
        <v>168</v>
      </c>
      <c r="F43" s="40"/>
      <c r="G43" s="83"/>
      <c r="H43" s="102">
        <v>38</v>
      </c>
      <c r="I43" s="103">
        <f t="shared" si="2"/>
        <v>3.4451771873849353</v>
      </c>
      <c r="J43" s="102">
        <f t="shared" si="3"/>
        <v>0</v>
      </c>
      <c r="K43" s="102">
        <f t="shared" si="4"/>
        <v>0</v>
      </c>
      <c r="L43" s="102"/>
      <c r="M43" s="104">
        <f t="shared" si="5"/>
        <v>3.4451771873849353</v>
      </c>
      <c r="N43" s="104">
        <f t="shared" si="6"/>
        <v>4.134212624861922</v>
      </c>
      <c r="O43" s="83"/>
      <c r="P43" s="83"/>
      <c r="Q43" s="83"/>
      <c r="R43" s="83"/>
      <c r="S43" s="83"/>
    </row>
    <row r="44" spans="1:20" s="88" customFormat="1" x14ac:dyDescent="0.25">
      <c r="A44" s="97">
        <f t="shared" si="0"/>
        <v>3.7352829674873047</v>
      </c>
      <c r="B44" s="33">
        <f t="shared" si="1"/>
        <v>39</v>
      </c>
      <c r="C44" s="34" t="s">
        <v>223</v>
      </c>
      <c r="D44" s="34" t="s">
        <v>224</v>
      </c>
      <c r="E44" s="34" t="s">
        <v>155</v>
      </c>
      <c r="F44" s="34"/>
      <c r="G44" s="83"/>
      <c r="H44" s="98">
        <v>39</v>
      </c>
      <c r="I44" s="99">
        <f t="shared" si="2"/>
        <v>3.1127358062394208</v>
      </c>
      <c r="J44" s="98">
        <f t="shared" si="3"/>
        <v>0</v>
      </c>
      <c r="K44" s="98">
        <f t="shared" si="4"/>
        <v>0</v>
      </c>
      <c r="L44" s="98"/>
      <c r="M44" s="100">
        <f t="shared" si="5"/>
        <v>3.1127358062394208</v>
      </c>
      <c r="N44" s="100">
        <f t="shared" si="6"/>
        <v>3.7352829674873047</v>
      </c>
      <c r="O44" s="83"/>
      <c r="P44" s="83"/>
      <c r="Q44" s="83"/>
      <c r="R44" s="83"/>
      <c r="S44" s="112"/>
      <c r="T44" s="113"/>
    </row>
    <row r="45" spans="1:20" s="88" customFormat="1" x14ac:dyDescent="0.25">
      <c r="A45" s="101">
        <f t="shared" si="0"/>
        <v>3.3464538881064496</v>
      </c>
      <c r="B45" s="39">
        <f t="shared" si="1"/>
        <v>40</v>
      </c>
      <c r="C45" s="40" t="s">
        <v>225</v>
      </c>
      <c r="D45" s="40" t="s">
        <v>226</v>
      </c>
      <c r="E45" s="40" t="s">
        <v>227</v>
      </c>
      <c r="F45" s="40"/>
      <c r="G45" s="83"/>
      <c r="H45" s="102">
        <v>40</v>
      </c>
      <c r="I45" s="103">
        <f t="shared" si="2"/>
        <v>2.7887115734220416</v>
      </c>
      <c r="J45" s="102">
        <f t="shared" si="3"/>
        <v>0</v>
      </c>
      <c r="K45" s="102">
        <f t="shared" si="4"/>
        <v>0</v>
      </c>
      <c r="L45" s="102"/>
      <c r="M45" s="104">
        <f t="shared" si="5"/>
        <v>2.7887115734220416</v>
      </c>
      <c r="N45" s="104">
        <f t="shared" si="6"/>
        <v>3.3464538881064496</v>
      </c>
      <c r="O45" s="83"/>
      <c r="P45" s="83"/>
      <c r="Q45" s="83"/>
      <c r="R45" s="83"/>
      <c r="S45" s="83"/>
    </row>
    <row r="46" spans="1:20" s="88" customFormat="1" x14ac:dyDescent="0.25">
      <c r="A46" s="97">
        <f t="shared" si="0"/>
        <v>2.9672265147501378</v>
      </c>
      <c r="B46" s="33">
        <f t="shared" si="1"/>
        <v>41</v>
      </c>
      <c r="C46" s="34" t="s">
        <v>228</v>
      </c>
      <c r="D46" s="34" t="s">
        <v>229</v>
      </c>
      <c r="E46" s="34" t="s">
        <v>200</v>
      </c>
      <c r="F46" s="34"/>
      <c r="G46" s="83"/>
      <c r="H46" s="98">
        <v>41</v>
      </c>
      <c r="I46" s="99">
        <f t="shared" si="2"/>
        <v>2.4726887622917815</v>
      </c>
      <c r="J46" s="98">
        <f t="shared" si="3"/>
        <v>0</v>
      </c>
      <c r="K46" s="98">
        <f t="shared" si="4"/>
        <v>0</v>
      </c>
      <c r="L46" s="98"/>
      <c r="M46" s="100">
        <f t="shared" si="5"/>
        <v>2.4726887622917815</v>
      </c>
      <c r="N46" s="100">
        <f t="shared" si="6"/>
        <v>2.9672265147501378</v>
      </c>
      <c r="O46" s="83"/>
      <c r="P46" s="83"/>
      <c r="Q46" s="83"/>
      <c r="R46" s="83"/>
      <c r="S46" s="112"/>
      <c r="T46" s="113"/>
    </row>
    <row r="47" spans="1:20" s="88" customFormat="1" x14ac:dyDescent="0.25">
      <c r="A47" s="101">
        <f t="shared" si="0"/>
        <v>2.5971380457312958</v>
      </c>
      <c r="B47" s="39">
        <f t="shared" si="1"/>
        <v>42</v>
      </c>
      <c r="C47" s="40" t="s">
        <v>230</v>
      </c>
      <c r="D47" s="40" t="s">
        <v>231</v>
      </c>
      <c r="E47" s="40" t="s">
        <v>232</v>
      </c>
      <c r="F47" s="40"/>
      <c r="G47" s="83"/>
      <c r="H47" s="102">
        <v>42</v>
      </c>
      <c r="I47" s="103">
        <f t="shared" si="2"/>
        <v>2.1642817047760801</v>
      </c>
      <c r="J47" s="102">
        <f t="shared" si="3"/>
        <v>0</v>
      </c>
      <c r="K47" s="102">
        <f t="shared" si="4"/>
        <v>0</v>
      </c>
      <c r="L47" s="102"/>
      <c r="M47" s="104">
        <f t="shared" si="5"/>
        <v>2.1642817047760801</v>
      </c>
      <c r="N47" s="104">
        <f t="shared" si="6"/>
        <v>2.5971380457312958</v>
      </c>
      <c r="O47" s="83"/>
      <c r="P47" s="83"/>
      <c r="Q47" s="83"/>
      <c r="R47" s="83"/>
      <c r="S47" s="83"/>
    </row>
    <row r="48" spans="1:20" s="88" customFormat="1" x14ac:dyDescent="0.25">
      <c r="A48" s="97">
        <f t="shared" si="0"/>
        <v>2.2357583539721873</v>
      </c>
      <c r="B48" s="33">
        <f t="shared" si="1"/>
        <v>43</v>
      </c>
      <c r="C48" s="34" t="s">
        <v>233</v>
      </c>
      <c r="D48" s="34" t="s">
        <v>234</v>
      </c>
      <c r="E48" s="34" t="s">
        <v>168</v>
      </c>
      <c r="F48" s="34"/>
      <c r="G48" s="83"/>
      <c r="H48" s="98">
        <v>43</v>
      </c>
      <c r="I48" s="99">
        <f t="shared" si="2"/>
        <v>1.8631319616434894</v>
      </c>
      <c r="J48" s="98">
        <f t="shared" si="3"/>
        <v>0</v>
      </c>
      <c r="K48" s="98">
        <f t="shared" si="4"/>
        <v>0</v>
      </c>
      <c r="L48" s="98"/>
      <c r="M48" s="100">
        <f t="shared" si="5"/>
        <v>1.8631319616434894</v>
      </c>
      <c r="N48" s="100">
        <f t="shared" si="6"/>
        <v>2.2357583539721873</v>
      </c>
      <c r="O48" s="83"/>
      <c r="P48" s="83"/>
      <c r="Q48" s="83"/>
      <c r="R48" s="83"/>
      <c r="S48" s="112"/>
      <c r="T48" s="113"/>
    </row>
    <row r="49" spans="1:20" s="88" customFormat="1" x14ac:dyDescent="0.25">
      <c r="A49" s="101">
        <f t="shared" si="0"/>
        <v>1.8826869817481195</v>
      </c>
      <c r="B49" s="39">
        <f t="shared" si="1"/>
        <v>44</v>
      </c>
      <c r="C49" s="40" t="s">
        <v>235</v>
      </c>
      <c r="D49" s="40" t="s">
        <v>236</v>
      </c>
      <c r="E49" s="40" t="s">
        <v>237</v>
      </c>
      <c r="F49" s="40"/>
      <c r="G49" s="83"/>
      <c r="H49" s="102">
        <v>44</v>
      </c>
      <c r="I49" s="103">
        <f t="shared" si="2"/>
        <v>1.568905818123433</v>
      </c>
      <c r="J49" s="102">
        <f t="shared" si="3"/>
        <v>0</v>
      </c>
      <c r="K49" s="102">
        <f t="shared" si="4"/>
        <v>0</v>
      </c>
      <c r="L49" s="102"/>
      <c r="M49" s="104">
        <f t="shared" si="5"/>
        <v>1.568905818123433</v>
      </c>
      <c r="N49" s="104">
        <f t="shared" si="6"/>
        <v>1.8826869817481195</v>
      </c>
      <c r="O49" s="83"/>
      <c r="P49" s="83"/>
      <c r="Q49" s="83"/>
      <c r="R49" s="83"/>
      <c r="S49" s="83"/>
    </row>
    <row r="50" spans="1:20" s="88" customFormat="1" x14ac:dyDescent="0.25">
      <c r="A50" s="97">
        <f t="shared" si="0"/>
        <v>1.5375504731911178</v>
      </c>
      <c r="B50" s="33">
        <f t="shared" si="1"/>
        <v>45</v>
      </c>
      <c r="C50" s="34" t="s">
        <v>238</v>
      </c>
      <c r="D50" s="34" t="s">
        <v>239</v>
      </c>
      <c r="E50" s="34" t="s">
        <v>179</v>
      </c>
      <c r="F50" s="34"/>
      <c r="G50" s="83"/>
      <c r="H50" s="98">
        <v>45</v>
      </c>
      <c r="I50" s="99">
        <f t="shared" si="2"/>
        <v>1.2812920609925982</v>
      </c>
      <c r="J50" s="98">
        <f t="shared" si="3"/>
        <v>0</v>
      </c>
      <c r="K50" s="98">
        <f t="shared" si="4"/>
        <v>0</v>
      </c>
      <c r="L50" s="98"/>
      <c r="M50" s="100">
        <f t="shared" si="5"/>
        <v>1.2812920609925982</v>
      </c>
      <c r="N50" s="100">
        <f t="shared" si="6"/>
        <v>1.5375504731911178</v>
      </c>
      <c r="O50" s="83"/>
      <c r="P50" s="83"/>
      <c r="Q50" s="83"/>
      <c r="R50" s="83"/>
      <c r="S50" s="112"/>
      <c r="T50" s="113"/>
    </row>
    <row r="51" spans="1:20" s="88" customFormat="1" x14ac:dyDescent="0.25">
      <c r="A51" s="101">
        <f t="shared" si="0"/>
        <v>1.2</v>
      </c>
      <c r="B51" s="39">
        <f t="shared" si="1"/>
        <v>46</v>
      </c>
      <c r="C51" s="40" t="s">
        <v>240</v>
      </c>
      <c r="D51" s="40" t="s">
        <v>241</v>
      </c>
      <c r="E51" s="40" t="s">
        <v>155</v>
      </c>
      <c r="F51" s="40"/>
      <c r="G51" s="83"/>
      <c r="H51" s="102">
        <v>46</v>
      </c>
      <c r="I51" s="103">
        <f t="shared" si="2"/>
        <v>1</v>
      </c>
      <c r="J51" s="102">
        <f t="shared" si="3"/>
        <v>0</v>
      </c>
      <c r="K51" s="102">
        <f t="shared" si="4"/>
        <v>0</v>
      </c>
      <c r="L51" s="102"/>
      <c r="M51" s="104">
        <f t="shared" si="5"/>
        <v>1</v>
      </c>
      <c r="N51" s="104">
        <f t="shared" si="6"/>
        <v>1.2</v>
      </c>
      <c r="O51" s="83"/>
      <c r="P51" s="83"/>
      <c r="Q51" s="83"/>
      <c r="R51" s="83"/>
      <c r="S51" s="83"/>
    </row>
    <row r="52" spans="1:20" s="88" customFormat="1" x14ac:dyDescent="0.25">
      <c r="A52" s="97">
        <f t="shared" si="0"/>
        <v>0</v>
      </c>
      <c r="B52" s="33" t="str">
        <f t="shared" ref="B52" si="7">IF(H52&gt;$H$2,"",(ROW()-5))</f>
        <v/>
      </c>
      <c r="C52" s="34"/>
      <c r="D52" s="34"/>
      <c r="E52" s="34"/>
      <c r="F52" s="34"/>
      <c r="G52" s="83"/>
      <c r="H52" s="98">
        <v>47</v>
      </c>
      <c r="I52" s="99" t="str">
        <f t="shared" si="2"/>
        <v/>
      </c>
      <c r="J52" s="98">
        <f t="shared" si="3"/>
        <v>0</v>
      </c>
      <c r="K52" s="98">
        <f t="shared" si="4"/>
        <v>0</v>
      </c>
      <c r="L52" s="98"/>
      <c r="M52" s="100">
        <f t="shared" si="5"/>
        <v>0</v>
      </c>
      <c r="N52" s="100">
        <f t="shared" si="6"/>
        <v>0</v>
      </c>
      <c r="O52" s="83"/>
      <c r="P52" s="83"/>
      <c r="Q52" s="83"/>
      <c r="R52" s="83"/>
      <c r="S52" s="112"/>
      <c r="T52" s="113"/>
    </row>
    <row r="53" spans="1:20" s="88" customFormat="1" x14ac:dyDescent="0.25">
      <c r="A53" s="101">
        <f t="shared" si="0"/>
        <v>0</v>
      </c>
      <c r="B53" s="39" t="str">
        <f t="shared" si="1"/>
        <v/>
      </c>
      <c r="C53" s="40"/>
      <c r="D53" s="40"/>
      <c r="E53" s="40"/>
      <c r="F53" s="40"/>
      <c r="G53" s="83"/>
      <c r="H53" s="102">
        <v>48</v>
      </c>
      <c r="I53" s="103" t="str">
        <f t="shared" si="2"/>
        <v/>
      </c>
      <c r="J53" s="102">
        <f t="shared" si="3"/>
        <v>0</v>
      </c>
      <c r="K53" s="102">
        <f t="shared" si="4"/>
        <v>0</v>
      </c>
      <c r="L53" s="102"/>
      <c r="M53" s="104">
        <f t="shared" si="5"/>
        <v>0</v>
      </c>
      <c r="N53" s="104">
        <f t="shared" si="6"/>
        <v>0</v>
      </c>
      <c r="O53" s="83"/>
      <c r="P53" s="83"/>
      <c r="Q53" s="83"/>
      <c r="R53" s="83"/>
      <c r="S53" s="83"/>
    </row>
    <row r="54" spans="1:20" s="88" customFormat="1" x14ac:dyDescent="0.25">
      <c r="A54" s="97">
        <f t="shared" si="0"/>
        <v>0</v>
      </c>
      <c r="B54" s="33" t="str">
        <f t="shared" si="1"/>
        <v/>
      </c>
      <c r="C54" s="34"/>
      <c r="D54" s="34"/>
      <c r="E54" s="34"/>
      <c r="F54" s="34"/>
      <c r="G54" s="83"/>
      <c r="H54" s="98">
        <v>49</v>
      </c>
      <c r="I54" s="99" t="str">
        <f t="shared" si="2"/>
        <v/>
      </c>
      <c r="J54" s="98">
        <f t="shared" si="3"/>
        <v>0</v>
      </c>
      <c r="K54" s="98">
        <f t="shared" si="4"/>
        <v>0</v>
      </c>
      <c r="L54" s="98"/>
      <c r="M54" s="100">
        <f t="shared" si="5"/>
        <v>0</v>
      </c>
      <c r="N54" s="100">
        <f t="shared" si="6"/>
        <v>0</v>
      </c>
      <c r="O54" s="83"/>
      <c r="P54" s="83"/>
      <c r="Q54" s="83"/>
      <c r="R54" s="83"/>
      <c r="S54" s="112"/>
      <c r="T54" s="113"/>
    </row>
    <row r="55" spans="1:20" s="88" customFormat="1" x14ac:dyDescent="0.25">
      <c r="A55" s="101">
        <f t="shared" si="0"/>
        <v>0</v>
      </c>
      <c r="B55" s="39" t="str">
        <f t="shared" si="1"/>
        <v/>
      </c>
      <c r="C55" s="40"/>
      <c r="D55" s="40"/>
      <c r="E55" s="40"/>
      <c r="F55" s="40"/>
      <c r="G55" s="83"/>
      <c r="H55" s="102">
        <v>50</v>
      </c>
      <c r="I55" s="103" t="str">
        <f t="shared" si="2"/>
        <v/>
      </c>
      <c r="J55" s="102">
        <f t="shared" si="3"/>
        <v>0</v>
      </c>
      <c r="K55" s="102">
        <f t="shared" si="4"/>
        <v>0</v>
      </c>
      <c r="L55" s="102"/>
      <c r="M55" s="104">
        <f t="shared" si="5"/>
        <v>0</v>
      </c>
      <c r="N55" s="104">
        <f t="shared" si="6"/>
        <v>0</v>
      </c>
      <c r="O55" s="83"/>
      <c r="P55" s="83"/>
      <c r="Q55" s="83"/>
      <c r="R55" s="83"/>
      <c r="S55" s="83"/>
    </row>
    <row r="56" spans="1:20" s="88" customFormat="1" x14ac:dyDescent="0.25">
      <c r="A56" s="97">
        <f t="shared" si="0"/>
        <v>0</v>
      </c>
      <c r="B56" s="33" t="str">
        <f t="shared" si="1"/>
        <v/>
      </c>
      <c r="C56" s="34"/>
      <c r="D56" s="34"/>
      <c r="E56" s="34"/>
      <c r="F56" s="34"/>
      <c r="G56" s="83"/>
      <c r="H56" s="98">
        <v>51</v>
      </c>
      <c r="I56" s="99" t="str">
        <f t="shared" si="2"/>
        <v/>
      </c>
      <c r="J56" s="98">
        <f t="shared" si="3"/>
        <v>0</v>
      </c>
      <c r="K56" s="98">
        <f t="shared" si="4"/>
        <v>0</v>
      </c>
      <c r="L56" s="98"/>
      <c r="M56" s="100">
        <f t="shared" si="5"/>
        <v>0</v>
      </c>
      <c r="N56" s="100">
        <f t="shared" si="6"/>
        <v>0</v>
      </c>
      <c r="O56" s="83"/>
      <c r="P56" s="83"/>
      <c r="Q56" s="83"/>
      <c r="R56" s="83"/>
      <c r="S56" s="112"/>
      <c r="T56" s="113"/>
    </row>
    <row r="57" spans="1:20" s="88" customFormat="1" x14ac:dyDescent="0.25">
      <c r="A57" s="101">
        <f t="shared" si="0"/>
        <v>0</v>
      </c>
      <c r="B57" s="39" t="str">
        <f t="shared" si="1"/>
        <v/>
      </c>
      <c r="C57" s="40"/>
      <c r="D57" s="40"/>
      <c r="E57" s="40"/>
      <c r="F57" s="40"/>
      <c r="G57" s="83"/>
      <c r="H57" s="102">
        <v>52</v>
      </c>
      <c r="I57" s="103" t="str">
        <f t="shared" si="2"/>
        <v/>
      </c>
      <c r="J57" s="102">
        <f t="shared" si="3"/>
        <v>0</v>
      </c>
      <c r="K57" s="102">
        <f t="shared" si="4"/>
        <v>0</v>
      </c>
      <c r="L57" s="102"/>
      <c r="M57" s="104">
        <f t="shared" si="5"/>
        <v>0</v>
      </c>
      <c r="N57" s="104">
        <f t="shared" si="6"/>
        <v>0</v>
      </c>
      <c r="O57" s="83"/>
      <c r="P57" s="83"/>
      <c r="Q57" s="83"/>
      <c r="R57" s="83"/>
      <c r="S57" s="83"/>
    </row>
    <row r="58" spans="1:20" s="88" customFormat="1" x14ac:dyDescent="0.25">
      <c r="A58" s="97">
        <f t="shared" si="0"/>
        <v>0</v>
      </c>
      <c r="B58" s="33" t="str">
        <f t="shared" si="1"/>
        <v/>
      </c>
      <c r="C58" s="34"/>
      <c r="D58" s="34"/>
      <c r="E58" s="34"/>
      <c r="F58" s="34"/>
      <c r="G58" s="83"/>
      <c r="H58" s="98">
        <v>53</v>
      </c>
      <c r="I58" s="99" t="str">
        <f t="shared" si="2"/>
        <v/>
      </c>
      <c r="J58" s="98">
        <f t="shared" si="3"/>
        <v>0</v>
      </c>
      <c r="K58" s="98">
        <f t="shared" si="4"/>
        <v>0</v>
      </c>
      <c r="L58" s="98"/>
      <c r="M58" s="100">
        <f t="shared" si="5"/>
        <v>0</v>
      </c>
      <c r="N58" s="100">
        <f t="shared" si="6"/>
        <v>0</v>
      </c>
      <c r="O58" s="83"/>
      <c r="P58" s="83"/>
      <c r="Q58" s="83"/>
      <c r="R58" s="83"/>
      <c r="S58" s="112"/>
      <c r="T58" s="113"/>
    </row>
    <row r="59" spans="1:20" s="88" customFormat="1" x14ac:dyDescent="0.25">
      <c r="A59" s="101">
        <f t="shared" si="0"/>
        <v>0</v>
      </c>
      <c r="B59" s="39" t="str">
        <f t="shared" si="1"/>
        <v/>
      </c>
      <c r="C59" s="40"/>
      <c r="D59" s="40"/>
      <c r="E59" s="40"/>
      <c r="F59" s="40"/>
      <c r="G59" s="83"/>
      <c r="H59" s="102">
        <v>54</v>
      </c>
      <c r="I59" s="103" t="str">
        <f t="shared" si="2"/>
        <v/>
      </c>
      <c r="J59" s="102">
        <f t="shared" si="3"/>
        <v>0</v>
      </c>
      <c r="K59" s="102">
        <f t="shared" si="4"/>
        <v>0</v>
      </c>
      <c r="L59" s="102"/>
      <c r="M59" s="104">
        <f t="shared" si="5"/>
        <v>0</v>
      </c>
      <c r="N59" s="104">
        <f t="shared" si="6"/>
        <v>0</v>
      </c>
      <c r="O59" s="83"/>
      <c r="P59" s="83"/>
      <c r="Q59" s="83"/>
      <c r="R59" s="83"/>
      <c r="S59" s="83"/>
    </row>
    <row r="60" spans="1:20" s="88" customFormat="1" x14ac:dyDescent="0.25">
      <c r="A60" s="97">
        <f t="shared" si="0"/>
        <v>0</v>
      </c>
      <c r="B60" s="33" t="str">
        <f t="shared" si="1"/>
        <v/>
      </c>
      <c r="C60" s="34"/>
      <c r="D60" s="34"/>
      <c r="E60" s="34"/>
      <c r="F60" s="34"/>
      <c r="G60" s="83"/>
      <c r="H60" s="98">
        <v>55</v>
      </c>
      <c r="I60" s="99" t="str">
        <f t="shared" si="2"/>
        <v/>
      </c>
      <c r="J60" s="98">
        <f t="shared" si="3"/>
        <v>0</v>
      </c>
      <c r="K60" s="98">
        <f t="shared" si="4"/>
        <v>0</v>
      </c>
      <c r="L60" s="98"/>
      <c r="M60" s="100">
        <f t="shared" si="5"/>
        <v>0</v>
      </c>
      <c r="N60" s="100">
        <f t="shared" si="6"/>
        <v>0</v>
      </c>
      <c r="O60" s="83"/>
      <c r="P60" s="83"/>
      <c r="Q60" s="83"/>
      <c r="R60" s="83"/>
      <c r="S60" s="112"/>
      <c r="T60" s="113"/>
    </row>
    <row r="61" spans="1:20" s="88" customFormat="1" x14ac:dyDescent="0.25">
      <c r="A61" s="101">
        <f t="shared" si="0"/>
        <v>0</v>
      </c>
      <c r="B61" s="39" t="str">
        <f t="shared" si="1"/>
        <v/>
      </c>
      <c r="C61" s="40"/>
      <c r="D61" s="40"/>
      <c r="E61" s="40"/>
      <c r="F61" s="40"/>
      <c r="G61" s="83"/>
      <c r="H61" s="102">
        <v>56</v>
      </c>
      <c r="I61" s="103" t="str">
        <f t="shared" si="2"/>
        <v/>
      </c>
      <c r="J61" s="102">
        <f t="shared" si="3"/>
        <v>0</v>
      </c>
      <c r="K61" s="102">
        <f t="shared" si="4"/>
        <v>0</v>
      </c>
      <c r="L61" s="102"/>
      <c r="M61" s="104">
        <f t="shared" si="5"/>
        <v>0</v>
      </c>
      <c r="N61" s="104">
        <f t="shared" si="6"/>
        <v>0</v>
      </c>
      <c r="O61" s="83"/>
      <c r="P61" s="83"/>
      <c r="Q61" s="83"/>
      <c r="R61" s="83"/>
      <c r="S61" s="83"/>
    </row>
    <row r="62" spans="1:20" s="88" customFormat="1" x14ac:dyDescent="0.25">
      <c r="A62" s="97">
        <f t="shared" si="0"/>
        <v>0</v>
      </c>
      <c r="B62" s="33" t="str">
        <f t="shared" si="1"/>
        <v/>
      </c>
      <c r="C62" s="34"/>
      <c r="D62" s="34"/>
      <c r="E62" s="34"/>
      <c r="F62" s="34"/>
      <c r="G62" s="83"/>
      <c r="H62" s="98">
        <v>57</v>
      </c>
      <c r="I62" s="99" t="str">
        <f t="shared" si="2"/>
        <v/>
      </c>
      <c r="J62" s="98">
        <f t="shared" si="3"/>
        <v>0</v>
      </c>
      <c r="K62" s="98">
        <f t="shared" si="4"/>
        <v>0</v>
      </c>
      <c r="L62" s="98"/>
      <c r="M62" s="100">
        <f t="shared" si="5"/>
        <v>0</v>
      </c>
      <c r="N62" s="100">
        <f t="shared" si="6"/>
        <v>0</v>
      </c>
      <c r="O62" s="83"/>
      <c r="P62" s="83"/>
      <c r="Q62" s="83"/>
      <c r="R62" s="83"/>
      <c r="S62" s="112"/>
      <c r="T62" s="113"/>
    </row>
    <row r="63" spans="1:20" s="88" customFormat="1" x14ac:dyDescent="0.25">
      <c r="A63" s="101">
        <f t="shared" si="0"/>
        <v>0</v>
      </c>
      <c r="B63" s="39" t="str">
        <f t="shared" si="1"/>
        <v/>
      </c>
      <c r="C63" s="40"/>
      <c r="D63" s="40"/>
      <c r="E63" s="40"/>
      <c r="F63" s="40"/>
      <c r="G63" s="83"/>
      <c r="H63" s="102">
        <v>58</v>
      </c>
      <c r="I63" s="103" t="str">
        <f t="shared" si="2"/>
        <v/>
      </c>
      <c r="J63" s="102">
        <f t="shared" si="3"/>
        <v>0</v>
      </c>
      <c r="K63" s="102">
        <f t="shared" si="4"/>
        <v>0</v>
      </c>
      <c r="L63" s="102"/>
      <c r="M63" s="104">
        <f t="shared" si="5"/>
        <v>0</v>
      </c>
      <c r="N63" s="104">
        <f t="shared" si="6"/>
        <v>0</v>
      </c>
      <c r="O63" s="83"/>
      <c r="P63" s="83"/>
      <c r="Q63" s="83"/>
      <c r="R63" s="83"/>
      <c r="S63" s="83"/>
    </row>
    <row r="64" spans="1:20" s="88" customFormat="1" x14ac:dyDescent="0.25">
      <c r="A64" s="97">
        <f t="shared" si="0"/>
        <v>0</v>
      </c>
      <c r="B64" s="33" t="str">
        <f t="shared" si="1"/>
        <v/>
      </c>
      <c r="C64" s="34"/>
      <c r="D64" s="34"/>
      <c r="E64" s="34"/>
      <c r="F64" s="34"/>
      <c r="G64" s="83"/>
      <c r="H64" s="98">
        <v>59</v>
      </c>
      <c r="I64" s="99" t="str">
        <f t="shared" si="2"/>
        <v/>
      </c>
      <c r="J64" s="98">
        <f t="shared" si="3"/>
        <v>0</v>
      </c>
      <c r="K64" s="98">
        <f t="shared" si="4"/>
        <v>0</v>
      </c>
      <c r="L64" s="98"/>
      <c r="M64" s="100">
        <f t="shared" si="5"/>
        <v>0</v>
      </c>
      <c r="N64" s="100">
        <f t="shared" si="6"/>
        <v>0</v>
      </c>
      <c r="O64" s="83"/>
      <c r="P64" s="83"/>
      <c r="Q64" s="83"/>
      <c r="R64" s="83"/>
      <c r="S64" s="112"/>
      <c r="T64" s="113"/>
    </row>
    <row r="65" spans="1:20" s="88" customFormat="1" x14ac:dyDescent="0.25">
      <c r="A65" s="101">
        <f t="shared" si="0"/>
        <v>0</v>
      </c>
      <c r="B65" s="39" t="str">
        <f t="shared" si="1"/>
        <v/>
      </c>
      <c r="C65" s="40"/>
      <c r="D65" s="40"/>
      <c r="E65" s="40"/>
      <c r="F65" s="40"/>
      <c r="G65" s="83"/>
      <c r="H65" s="102">
        <v>60</v>
      </c>
      <c r="I65" s="103" t="str">
        <f t="shared" si="2"/>
        <v/>
      </c>
      <c r="J65" s="102">
        <f t="shared" si="3"/>
        <v>0</v>
      </c>
      <c r="K65" s="102">
        <f t="shared" si="4"/>
        <v>0</v>
      </c>
      <c r="L65" s="102"/>
      <c r="M65" s="104">
        <f t="shared" si="5"/>
        <v>0</v>
      </c>
      <c r="N65" s="104">
        <f t="shared" si="6"/>
        <v>0</v>
      </c>
      <c r="O65" s="83"/>
      <c r="P65" s="83"/>
      <c r="Q65" s="83"/>
      <c r="R65" s="83"/>
      <c r="S65" s="83"/>
    </row>
    <row r="66" spans="1:20" s="88" customFormat="1" x14ac:dyDescent="0.25">
      <c r="A66" s="97">
        <f t="shared" si="0"/>
        <v>0</v>
      </c>
      <c r="B66" s="33" t="str">
        <f t="shared" si="1"/>
        <v/>
      </c>
      <c r="C66" s="34"/>
      <c r="D66" s="34"/>
      <c r="E66" s="34"/>
      <c r="F66" s="34"/>
      <c r="G66" s="83"/>
      <c r="H66" s="98">
        <v>61</v>
      </c>
      <c r="I66" s="99" t="str">
        <f t="shared" si="2"/>
        <v/>
      </c>
      <c r="J66" s="98">
        <f t="shared" si="3"/>
        <v>0</v>
      </c>
      <c r="K66" s="98">
        <f t="shared" si="4"/>
        <v>0</v>
      </c>
      <c r="L66" s="98"/>
      <c r="M66" s="100">
        <f t="shared" si="5"/>
        <v>0</v>
      </c>
      <c r="N66" s="100">
        <f t="shared" si="6"/>
        <v>0</v>
      </c>
      <c r="O66" s="83"/>
      <c r="P66" s="83"/>
      <c r="Q66" s="83"/>
      <c r="R66" s="83"/>
      <c r="S66" s="112"/>
      <c r="T66" s="113"/>
    </row>
    <row r="67" spans="1:20" s="88" customFormat="1" x14ac:dyDescent="0.25">
      <c r="A67" s="101">
        <f t="shared" si="0"/>
        <v>0</v>
      </c>
      <c r="B67" s="39" t="str">
        <f t="shared" si="1"/>
        <v/>
      </c>
      <c r="C67" s="40"/>
      <c r="D67" s="40"/>
      <c r="E67" s="40"/>
      <c r="F67" s="40"/>
      <c r="G67" s="83"/>
      <c r="H67" s="102">
        <v>62</v>
      </c>
      <c r="I67" s="103" t="str">
        <f t="shared" si="2"/>
        <v/>
      </c>
      <c r="J67" s="102">
        <f t="shared" si="3"/>
        <v>0</v>
      </c>
      <c r="K67" s="102">
        <f t="shared" si="4"/>
        <v>0</v>
      </c>
      <c r="L67" s="102"/>
      <c r="M67" s="104">
        <f t="shared" si="5"/>
        <v>0</v>
      </c>
      <c r="N67" s="104">
        <f t="shared" si="6"/>
        <v>0</v>
      </c>
      <c r="O67" s="83"/>
      <c r="P67" s="83"/>
      <c r="Q67" s="83"/>
      <c r="R67" s="83"/>
      <c r="S67" s="83"/>
    </row>
    <row r="68" spans="1:20" s="88" customFormat="1" x14ac:dyDescent="0.25">
      <c r="A68" s="97">
        <f t="shared" si="0"/>
        <v>0</v>
      </c>
      <c r="B68" s="33" t="str">
        <f t="shared" si="1"/>
        <v/>
      </c>
      <c r="C68" s="34"/>
      <c r="D68" s="34"/>
      <c r="E68" s="34"/>
      <c r="F68" s="34"/>
      <c r="G68" s="83"/>
      <c r="H68" s="98">
        <v>63</v>
      </c>
      <c r="I68" s="99" t="str">
        <f t="shared" si="2"/>
        <v/>
      </c>
      <c r="J68" s="98">
        <f t="shared" si="3"/>
        <v>0</v>
      </c>
      <c r="K68" s="98">
        <f t="shared" si="4"/>
        <v>0</v>
      </c>
      <c r="L68" s="98"/>
      <c r="M68" s="100">
        <f t="shared" si="5"/>
        <v>0</v>
      </c>
      <c r="N68" s="100">
        <f t="shared" si="6"/>
        <v>0</v>
      </c>
      <c r="O68" s="83"/>
      <c r="P68" s="83"/>
      <c r="Q68" s="83"/>
      <c r="R68" s="83"/>
      <c r="S68" s="112"/>
      <c r="T68" s="113"/>
    </row>
    <row r="69" spans="1:20" s="88" customFormat="1" x14ac:dyDescent="0.25">
      <c r="A69" s="101">
        <f t="shared" si="0"/>
        <v>0</v>
      </c>
      <c r="B69" s="39" t="str">
        <f t="shared" si="1"/>
        <v/>
      </c>
      <c r="C69" s="40"/>
      <c r="D69" s="40"/>
      <c r="E69" s="40"/>
      <c r="F69" s="40"/>
      <c r="G69" s="83"/>
      <c r="H69" s="102">
        <v>64</v>
      </c>
      <c r="I69" s="103" t="str">
        <f t="shared" si="2"/>
        <v/>
      </c>
      <c r="J69" s="102">
        <f t="shared" si="3"/>
        <v>0</v>
      </c>
      <c r="K69" s="102">
        <f t="shared" si="4"/>
        <v>0</v>
      </c>
      <c r="L69" s="102"/>
      <c r="M69" s="104">
        <f t="shared" si="5"/>
        <v>0</v>
      </c>
      <c r="N69" s="104">
        <f t="shared" si="6"/>
        <v>0</v>
      </c>
      <c r="O69" s="83"/>
      <c r="P69" s="83"/>
      <c r="Q69" s="83"/>
      <c r="R69" s="83"/>
      <c r="S69" s="83"/>
    </row>
    <row r="70" spans="1:20" s="88" customFormat="1" x14ac:dyDescent="0.25">
      <c r="A70" s="97">
        <f t="shared" ref="A70:A133" si="8">N70</f>
        <v>0</v>
      </c>
      <c r="B70" s="33" t="str">
        <f t="shared" ref="B70:B133" si="9">IF(H70&gt;$H$2,"",(ROW()-5))</f>
        <v/>
      </c>
      <c r="C70" s="34"/>
      <c r="D70" s="34"/>
      <c r="E70" s="34"/>
      <c r="F70" s="34"/>
      <c r="G70" s="83"/>
      <c r="H70" s="98">
        <v>65</v>
      </c>
      <c r="I70" s="99" t="str">
        <f t="shared" ref="I70:I133" si="10">IF(H70&lt;$H$2+1,($I$2-($I$2-1)*(LOG(H70)/LOG($H$2))),"")</f>
        <v/>
      </c>
      <c r="J70" s="98">
        <f t="shared" ref="J70:J133" si="11">INT(LOG($H$2,2))-ROUNDUP(LOG(H70,2),0)+IF(OR($H$2=1,$H$2=2,$H$2=4,$H$2=8,$H$2=16,$H$2=32,$H$2=64,$H$2=128,$H$2=256),0,1)</f>
        <v>-1</v>
      </c>
      <c r="K70" s="98">
        <f t="shared" ref="K70:K133" si="12">J70*$J$2</f>
        <v>-10</v>
      </c>
      <c r="L70" s="98"/>
      <c r="M70" s="100">
        <f t="shared" ref="M70:M133" si="13">IF(I70&lt;&gt;"",K70+I70+L70,0)</f>
        <v>0</v>
      </c>
      <c r="N70" s="100">
        <f t="shared" ref="N70:N133" si="14">IF(I70&lt;&gt;"",M70*L$2,0)</f>
        <v>0</v>
      </c>
      <c r="O70" s="83"/>
      <c r="P70" s="83"/>
      <c r="Q70" s="83"/>
      <c r="R70" s="83"/>
      <c r="S70" s="112"/>
      <c r="T70" s="113"/>
    </row>
    <row r="71" spans="1:20" s="88" customFormat="1" x14ac:dyDescent="0.25">
      <c r="A71" s="101">
        <f t="shared" si="8"/>
        <v>0</v>
      </c>
      <c r="B71" s="39" t="str">
        <f t="shared" si="9"/>
        <v/>
      </c>
      <c r="C71" s="40"/>
      <c r="D71" s="40"/>
      <c r="E71" s="40"/>
      <c r="F71" s="40"/>
      <c r="G71" s="83"/>
      <c r="H71" s="102">
        <v>66</v>
      </c>
      <c r="I71" s="103" t="str">
        <f t="shared" si="10"/>
        <v/>
      </c>
      <c r="J71" s="102">
        <f t="shared" si="11"/>
        <v>-1</v>
      </c>
      <c r="K71" s="102">
        <f t="shared" si="12"/>
        <v>-10</v>
      </c>
      <c r="L71" s="102"/>
      <c r="M71" s="104">
        <f t="shared" si="13"/>
        <v>0</v>
      </c>
      <c r="N71" s="104">
        <f t="shared" si="14"/>
        <v>0</v>
      </c>
      <c r="O71" s="83"/>
      <c r="P71" s="83"/>
      <c r="Q71" s="83"/>
      <c r="R71" s="83"/>
      <c r="S71" s="83"/>
    </row>
    <row r="72" spans="1:20" s="88" customFormat="1" x14ac:dyDescent="0.25">
      <c r="A72" s="97">
        <f t="shared" si="8"/>
        <v>0</v>
      </c>
      <c r="B72" s="33" t="str">
        <f t="shared" si="9"/>
        <v/>
      </c>
      <c r="C72" s="34"/>
      <c r="D72" s="34"/>
      <c r="E72" s="34"/>
      <c r="F72" s="34"/>
      <c r="G72" s="83"/>
      <c r="H72" s="98">
        <v>67</v>
      </c>
      <c r="I72" s="99" t="str">
        <f t="shared" si="10"/>
        <v/>
      </c>
      <c r="J72" s="98">
        <f t="shared" si="11"/>
        <v>-1</v>
      </c>
      <c r="K72" s="98">
        <f t="shared" si="12"/>
        <v>-10</v>
      </c>
      <c r="L72" s="98"/>
      <c r="M72" s="100">
        <f t="shared" si="13"/>
        <v>0</v>
      </c>
      <c r="N72" s="100">
        <f t="shared" si="14"/>
        <v>0</v>
      </c>
      <c r="O72" s="83"/>
      <c r="P72" s="83"/>
      <c r="Q72" s="83"/>
      <c r="R72" s="83"/>
      <c r="S72" s="112"/>
      <c r="T72" s="113"/>
    </row>
    <row r="73" spans="1:20" s="88" customFormat="1" x14ac:dyDescent="0.25">
      <c r="A73" s="101">
        <f t="shared" si="8"/>
        <v>0</v>
      </c>
      <c r="B73" s="39" t="str">
        <f t="shared" si="9"/>
        <v/>
      </c>
      <c r="C73" s="40"/>
      <c r="D73" s="40"/>
      <c r="E73" s="40"/>
      <c r="F73" s="40"/>
      <c r="G73" s="83"/>
      <c r="H73" s="102">
        <v>68</v>
      </c>
      <c r="I73" s="103" t="str">
        <f t="shared" si="10"/>
        <v/>
      </c>
      <c r="J73" s="102">
        <f t="shared" si="11"/>
        <v>-1</v>
      </c>
      <c r="K73" s="102">
        <f t="shared" si="12"/>
        <v>-10</v>
      </c>
      <c r="L73" s="102"/>
      <c r="M73" s="104">
        <f t="shared" si="13"/>
        <v>0</v>
      </c>
      <c r="N73" s="104">
        <f t="shared" si="14"/>
        <v>0</v>
      </c>
      <c r="O73" s="83"/>
      <c r="P73" s="83"/>
      <c r="Q73" s="83"/>
      <c r="R73" s="83"/>
      <c r="S73" s="83"/>
    </row>
    <row r="74" spans="1:20" s="88" customFormat="1" x14ac:dyDescent="0.25">
      <c r="A74" s="97">
        <f t="shared" si="8"/>
        <v>0</v>
      </c>
      <c r="B74" s="33" t="str">
        <f t="shared" si="9"/>
        <v/>
      </c>
      <c r="C74" s="34"/>
      <c r="D74" s="34"/>
      <c r="E74" s="34"/>
      <c r="F74" s="34"/>
      <c r="G74" s="83"/>
      <c r="H74" s="98">
        <v>69</v>
      </c>
      <c r="I74" s="99" t="str">
        <f t="shared" si="10"/>
        <v/>
      </c>
      <c r="J74" s="98">
        <f t="shared" si="11"/>
        <v>-1</v>
      </c>
      <c r="K74" s="98">
        <f t="shared" si="12"/>
        <v>-10</v>
      </c>
      <c r="L74" s="98"/>
      <c r="M74" s="100">
        <f t="shared" si="13"/>
        <v>0</v>
      </c>
      <c r="N74" s="100">
        <f t="shared" si="14"/>
        <v>0</v>
      </c>
      <c r="O74" s="83"/>
      <c r="P74" s="83"/>
      <c r="Q74" s="83"/>
      <c r="R74" s="83"/>
      <c r="S74" s="112"/>
      <c r="T74" s="113"/>
    </row>
    <row r="75" spans="1:20" s="88" customFormat="1" x14ac:dyDescent="0.25">
      <c r="A75" s="101">
        <f t="shared" si="8"/>
        <v>0</v>
      </c>
      <c r="B75" s="39" t="str">
        <f t="shared" si="9"/>
        <v/>
      </c>
      <c r="C75" s="40"/>
      <c r="D75" s="40"/>
      <c r="E75" s="40"/>
      <c r="F75" s="40"/>
      <c r="G75" s="83"/>
      <c r="H75" s="102">
        <v>70</v>
      </c>
      <c r="I75" s="103" t="str">
        <f t="shared" si="10"/>
        <v/>
      </c>
      <c r="J75" s="102">
        <f t="shared" si="11"/>
        <v>-1</v>
      </c>
      <c r="K75" s="102">
        <f t="shared" si="12"/>
        <v>-10</v>
      </c>
      <c r="L75" s="102"/>
      <c r="M75" s="104">
        <f t="shared" si="13"/>
        <v>0</v>
      </c>
      <c r="N75" s="104">
        <f t="shared" si="14"/>
        <v>0</v>
      </c>
      <c r="O75" s="83"/>
      <c r="P75" s="83"/>
      <c r="Q75" s="83"/>
      <c r="R75" s="83"/>
      <c r="S75" s="83"/>
    </row>
    <row r="76" spans="1:20" s="88" customFormat="1" x14ac:dyDescent="0.25">
      <c r="A76" s="97">
        <f t="shared" si="8"/>
        <v>0</v>
      </c>
      <c r="B76" s="33" t="str">
        <f t="shared" si="9"/>
        <v/>
      </c>
      <c r="C76" s="34"/>
      <c r="D76" s="34"/>
      <c r="E76" s="34"/>
      <c r="F76" s="34"/>
      <c r="G76" s="83"/>
      <c r="H76" s="98">
        <v>71</v>
      </c>
      <c r="I76" s="99" t="str">
        <f t="shared" si="10"/>
        <v/>
      </c>
      <c r="J76" s="98">
        <f t="shared" si="11"/>
        <v>-1</v>
      </c>
      <c r="K76" s="98">
        <f t="shared" si="12"/>
        <v>-10</v>
      </c>
      <c r="L76" s="98"/>
      <c r="M76" s="100">
        <f t="shared" si="13"/>
        <v>0</v>
      </c>
      <c r="N76" s="100">
        <f t="shared" si="14"/>
        <v>0</v>
      </c>
      <c r="O76" s="83"/>
      <c r="P76" s="83"/>
      <c r="Q76" s="83"/>
      <c r="R76" s="83"/>
      <c r="S76" s="112"/>
      <c r="T76" s="113"/>
    </row>
    <row r="77" spans="1:20" s="88" customFormat="1" x14ac:dyDescent="0.25">
      <c r="A77" s="101">
        <f t="shared" si="8"/>
        <v>0</v>
      </c>
      <c r="B77" s="39" t="str">
        <f t="shared" si="9"/>
        <v/>
      </c>
      <c r="C77" s="40"/>
      <c r="D77" s="40"/>
      <c r="E77" s="40"/>
      <c r="F77" s="40"/>
      <c r="G77" s="83"/>
      <c r="H77" s="102">
        <v>72</v>
      </c>
      <c r="I77" s="103" t="str">
        <f t="shared" si="10"/>
        <v/>
      </c>
      <c r="J77" s="102">
        <f t="shared" si="11"/>
        <v>-1</v>
      </c>
      <c r="K77" s="102">
        <f t="shared" si="12"/>
        <v>-10</v>
      </c>
      <c r="L77" s="102"/>
      <c r="M77" s="104">
        <f t="shared" si="13"/>
        <v>0</v>
      </c>
      <c r="N77" s="104">
        <f t="shared" si="14"/>
        <v>0</v>
      </c>
      <c r="O77" s="83"/>
      <c r="P77" s="83"/>
      <c r="Q77" s="83"/>
      <c r="R77" s="83"/>
      <c r="S77" s="83"/>
    </row>
    <row r="78" spans="1:20" s="88" customFormat="1" x14ac:dyDescent="0.25">
      <c r="A78" s="101">
        <f t="shared" si="8"/>
        <v>0</v>
      </c>
      <c r="B78" s="33" t="str">
        <f t="shared" si="9"/>
        <v/>
      </c>
      <c r="C78" s="34"/>
      <c r="D78" s="34"/>
      <c r="E78" s="34"/>
      <c r="F78" s="34"/>
      <c r="G78" s="83"/>
      <c r="H78" s="98">
        <v>73</v>
      </c>
      <c r="I78" s="99" t="str">
        <f t="shared" si="10"/>
        <v/>
      </c>
      <c r="J78" s="98">
        <f t="shared" si="11"/>
        <v>-1</v>
      </c>
      <c r="K78" s="98">
        <f t="shared" si="12"/>
        <v>-10</v>
      </c>
      <c r="L78" s="98"/>
      <c r="M78" s="100">
        <f t="shared" si="13"/>
        <v>0</v>
      </c>
      <c r="N78" s="100">
        <f t="shared" si="14"/>
        <v>0</v>
      </c>
      <c r="O78" s="83"/>
      <c r="P78" s="83"/>
      <c r="Q78" s="83"/>
      <c r="R78" s="83"/>
      <c r="S78" s="112"/>
      <c r="T78" s="113"/>
    </row>
    <row r="79" spans="1:20" s="88" customFormat="1" x14ac:dyDescent="0.25">
      <c r="A79" s="101">
        <f t="shared" si="8"/>
        <v>0</v>
      </c>
      <c r="B79" s="39" t="str">
        <f t="shared" si="9"/>
        <v/>
      </c>
      <c r="C79" s="40"/>
      <c r="D79" s="40"/>
      <c r="E79" s="40"/>
      <c r="F79" s="40"/>
      <c r="G79" s="83"/>
      <c r="H79" s="102">
        <v>74</v>
      </c>
      <c r="I79" s="103" t="str">
        <f t="shared" si="10"/>
        <v/>
      </c>
      <c r="J79" s="102">
        <f t="shared" si="11"/>
        <v>-1</v>
      </c>
      <c r="K79" s="102">
        <f t="shared" si="12"/>
        <v>-10</v>
      </c>
      <c r="L79" s="102"/>
      <c r="M79" s="104">
        <f t="shared" si="13"/>
        <v>0</v>
      </c>
      <c r="N79" s="104">
        <f t="shared" si="14"/>
        <v>0</v>
      </c>
      <c r="O79" s="83"/>
      <c r="P79" s="83"/>
      <c r="Q79" s="83"/>
      <c r="R79" s="83"/>
      <c r="S79" s="83"/>
    </row>
    <row r="80" spans="1:20" s="88" customFormat="1" x14ac:dyDescent="0.25">
      <c r="A80" s="97">
        <f t="shared" si="8"/>
        <v>0</v>
      </c>
      <c r="B80" s="33" t="str">
        <f t="shared" si="9"/>
        <v/>
      </c>
      <c r="C80" s="34"/>
      <c r="D80" s="34"/>
      <c r="E80" s="34"/>
      <c r="F80" s="34"/>
      <c r="G80" s="83"/>
      <c r="H80" s="98">
        <v>75</v>
      </c>
      <c r="I80" s="99" t="str">
        <f t="shared" si="10"/>
        <v/>
      </c>
      <c r="J80" s="98">
        <f t="shared" si="11"/>
        <v>-1</v>
      </c>
      <c r="K80" s="98">
        <f t="shared" si="12"/>
        <v>-10</v>
      </c>
      <c r="L80" s="98"/>
      <c r="M80" s="100">
        <f t="shared" si="13"/>
        <v>0</v>
      </c>
      <c r="N80" s="100">
        <f t="shared" si="14"/>
        <v>0</v>
      </c>
      <c r="O80" s="83"/>
      <c r="P80" s="83"/>
      <c r="Q80" s="83"/>
      <c r="R80" s="83"/>
      <c r="S80" s="112"/>
      <c r="T80" s="113"/>
    </row>
    <row r="81" spans="1:20" s="88" customFormat="1" x14ac:dyDescent="0.25">
      <c r="A81" s="101">
        <f t="shared" si="8"/>
        <v>0</v>
      </c>
      <c r="B81" s="39" t="str">
        <f t="shared" si="9"/>
        <v/>
      </c>
      <c r="C81" s="40"/>
      <c r="D81" s="40"/>
      <c r="E81" s="40"/>
      <c r="F81" s="40"/>
      <c r="G81" s="83"/>
      <c r="H81" s="102">
        <v>76</v>
      </c>
      <c r="I81" s="103" t="str">
        <f t="shared" si="10"/>
        <v/>
      </c>
      <c r="J81" s="102">
        <f t="shared" si="11"/>
        <v>-1</v>
      </c>
      <c r="K81" s="102">
        <f t="shared" si="12"/>
        <v>-10</v>
      </c>
      <c r="L81" s="102"/>
      <c r="M81" s="104">
        <f t="shared" si="13"/>
        <v>0</v>
      </c>
      <c r="N81" s="104">
        <f t="shared" si="14"/>
        <v>0</v>
      </c>
      <c r="O81" s="83"/>
      <c r="P81" s="83"/>
      <c r="Q81" s="83"/>
      <c r="R81" s="83"/>
      <c r="S81" s="83"/>
    </row>
    <row r="82" spans="1:20" s="88" customFormat="1" x14ac:dyDescent="0.25">
      <c r="A82" s="97">
        <f t="shared" si="8"/>
        <v>0</v>
      </c>
      <c r="B82" s="33" t="str">
        <f t="shared" si="9"/>
        <v/>
      </c>
      <c r="C82" s="34"/>
      <c r="D82" s="34"/>
      <c r="E82" s="34"/>
      <c r="F82" s="34"/>
      <c r="G82" s="83"/>
      <c r="H82" s="98">
        <v>77</v>
      </c>
      <c r="I82" s="99" t="str">
        <f t="shared" si="10"/>
        <v/>
      </c>
      <c r="J82" s="98">
        <f t="shared" si="11"/>
        <v>-1</v>
      </c>
      <c r="K82" s="98">
        <f t="shared" si="12"/>
        <v>-10</v>
      </c>
      <c r="L82" s="98"/>
      <c r="M82" s="100">
        <f t="shared" si="13"/>
        <v>0</v>
      </c>
      <c r="N82" s="100">
        <f t="shared" si="14"/>
        <v>0</v>
      </c>
      <c r="O82" s="83"/>
      <c r="P82" s="83"/>
      <c r="Q82" s="83"/>
      <c r="R82" s="83"/>
      <c r="S82" s="112"/>
      <c r="T82" s="113"/>
    </row>
    <row r="83" spans="1:20" s="88" customFormat="1" x14ac:dyDescent="0.25">
      <c r="A83" s="101">
        <f t="shared" si="8"/>
        <v>0</v>
      </c>
      <c r="B83" s="39" t="str">
        <f t="shared" si="9"/>
        <v/>
      </c>
      <c r="C83" s="40"/>
      <c r="D83" s="40"/>
      <c r="E83" s="40"/>
      <c r="F83" s="40"/>
      <c r="G83" s="83"/>
      <c r="H83" s="102">
        <v>78</v>
      </c>
      <c r="I83" s="103" t="str">
        <f t="shared" si="10"/>
        <v/>
      </c>
      <c r="J83" s="102">
        <f t="shared" si="11"/>
        <v>-1</v>
      </c>
      <c r="K83" s="102">
        <f t="shared" si="12"/>
        <v>-10</v>
      </c>
      <c r="L83" s="102"/>
      <c r="M83" s="104">
        <f t="shared" si="13"/>
        <v>0</v>
      </c>
      <c r="N83" s="104">
        <f t="shared" si="14"/>
        <v>0</v>
      </c>
      <c r="O83" s="83"/>
      <c r="P83" s="83"/>
      <c r="Q83" s="83"/>
      <c r="R83" s="83"/>
      <c r="S83" s="83"/>
    </row>
    <row r="84" spans="1:20" s="88" customFormat="1" x14ac:dyDescent="0.25">
      <c r="A84" s="97">
        <f t="shared" si="8"/>
        <v>0</v>
      </c>
      <c r="B84" s="33" t="str">
        <f t="shared" si="9"/>
        <v/>
      </c>
      <c r="C84" s="34"/>
      <c r="D84" s="34"/>
      <c r="E84" s="34"/>
      <c r="F84" s="34"/>
      <c r="G84" s="83"/>
      <c r="H84" s="98">
        <v>79</v>
      </c>
      <c r="I84" s="99" t="str">
        <f t="shared" si="10"/>
        <v/>
      </c>
      <c r="J84" s="98">
        <f t="shared" si="11"/>
        <v>-1</v>
      </c>
      <c r="K84" s="98">
        <f t="shared" si="12"/>
        <v>-10</v>
      </c>
      <c r="L84" s="98"/>
      <c r="M84" s="100">
        <f t="shared" si="13"/>
        <v>0</v>
      </c>
      <c r="N84" s="100">
        <f t="shared" si="14"/>
        <v>0</v>
      </c>
      <c r="O84" s="83"/>
      <c r="P84" s="83"/>
      <c r="Q84" s="83"/>
      <c r="R84" s="83"/>
      <c r="S84" s="112"/>
      <c r="T84" s="113"/>
    </row>
    <row r="85" spans="1:20" s="88" customFormat="1" x14ac:dyDescent="0.25">
      <c r="A85" s="101">
        <f t="shared" si="8"/>
        <v>0</v>
      </c>
      <c r="B85" s="39" t="str">
        <f t="shared" si="9"/>
        <v/>
      </c>
      <c r="C85" s="40"/>
      <c r="D85" s="40"/>
      <c r="E85" s="40"/>
      <c r="F85" s="40"/>
      <c r="G85" s="83"/>
      <c r="H85" s="102">
        <v>80</v>
      </c>
      <c r="I85" s="103" t="str">
        <f t="shared" si="10"/>
        <v/>
      </c>
      <c r="J85" s="102">
        <f t="shared" si="11"/>
        <v>-1</v>
      </c>
      <c r="K85" s="102">
        <f t="shared" si="12"/>
        <v>-10</v>
      </c>
      <c r="L85" s="102"/>
      <c r="M85" s="104">
        <f t="shared" si="13"/>
        <v>0</v>
      </c>
      <c r="N85" s="104">
        <f t="shared" si="14"/>
        <v>0</v>
      </c>
      <c r="O85" s="83"/>
      <c r="P85" s="83"/>
      <c r="Q85" s="83"/>
      <c r="R85" s="83"/>
      <c r="S85" s="83"/>
    </row>
    <row r="86" spans="1:20" s="88" customFormat="1" x14ac:dyDescent="0.25">
      <c r="A86" s="97">
        <f t="shared" si="8"/>
        <v>0</v>
      </c>
      <c r="B86" s="33" t="str">
        <f t="shared" si="9"/>
        <v/>
      </c>
      <c r="C86" s="34"/>
      <c r="D86" s="34"/>
      <c r="E86" s="34"/>
      <c r="F86" s="34"/>
      <c r="G86" s="83"/>
      <c r="H86" s="98">
        <v>81</v>
      </c>
      <c r="I86" s="99" t="str">
        <f t="shared" si="10"/>
        <v/>
      </c>
      <c r="J86" s="98">
        <f t="shared" si="11"/>
        <v>-1</v>
      </c>
      <c r="K86" s="98">
        <f t="shared" si="12"/>
        <v>-10</v>
      </c>
      <c r="L86" s="98"/>
      <c r="M86" s="100">
        <f t="shared" si="13"/>
        <v>0</v>
      </c>
      <c r="N86" s="100">
        <f t="shared" si="14"/>
        <v>0</v>
      </c>
      <c r="O86" s="83"/>
      <c r="P86" s="83"/>
      <c r="Q86" s="83"/>
      <c r="R86" s="83"/>
      <c r="S86" s="112"/>
      <c r="T86" s="113"/>
    </row>
    <row r="87" spans="1:20" s="88" customFormat="1" x14ac:dyDescent="0.25">
      <c r="A87" s="101">
        <f t="shared" si="8"/>
        <v>0</v>
      </c>
      <c r="B87" s="39" t="str">
        <f t="shared" si="9"/>
        <v/>
      </c>
      <c r="C87" s="40"/>
      <c r="D87" s="40"/>
      <c r="E87" s="40"/>
      <c r="F87" s="40"/>
      <c r="G87" s="83"/>
      <c r="H87" s="102">
        <v>82</v>
      </c>
      <c r="I87" s="103" t="str">
        <f t="shared" si="10"/>
        <v/>
      </c>
      <c r="J87" s="102">
        <f t="shared" si="11"/>
        <v>-1</v>
      </c>
      <c r="K87" s="102">
        <f t="shared" si="12"/>
        <v>-10</v>
      </c>
      <c r="L87" s="102"/>
      <c r="M87" s="104">
        <f t="shared" si="13"/>
        <v>0</v>
      </c>
      <c r="N87" s="104">
        <f t="shared" si="14"/>
        <v>0</v>
      </c>
      <c r="O87" s="83"/>
      <c r="P87" s="83"/>
      <c r="Q87" s="83"/>
      <c r="R87" s="83"/>
      <c r="S87" s="83"/>
    </row>
    <row r="88" spans="1:20" s="88" customFormat="1" x14ac:dyDescent="0.25">
      <c r="A88" s="97">
        <f t="shared" si="8"/>
        <v>0</v>
      </c>
      <c r="B88" s="33" t="str">
        <f t="shared" si="9"/>
        <v/>
      </c>
      <c r="C88" s="34"/>
      <c r="D88" s="34"/>
      <c r="E88" s="34"/>
      <c r="F88" s="34"/>
      <c r="G88" s="83"/>
      <c r="H88" s="98">
        <v>83</v>
      </c>
      <c r="I88" s="99" t="str">
        <f t="shared" si="10"/>
        <v/>
      </c>
      <c r="J88" s="98">
        <f t="shared" si="11"/>
        <v>-1</v>
      </c>
      <c r="K88" s="98">
        <f t="shared" si="12"/>
        <v>-10</v>
      </c>
      <c r="L88" s="98"/>
      <c r="M88" s="100">
        <f t="shared" si="13"/>
        <v>0</v>
      </c>
      <c r="N88" s="100">
        <f t="shared" si="14"/>
        <v>0</v>
      </c>
      <c r="O88" s="83"/>
      <c r="P88" s="83"/>
      <c r="Q88" s="83"/>
      <c r="R88" s="83"/>
      <c r="S88" s="112"/>
      <c r="T88" s="113"/>
    </row>
    <row r="89" spans="1:20" s="88" customFormat="1" x14ac:dyDescent="0.25">
      <c r="A89" s="101">
        <f t="shared" si="8"/>
        <v>0</v>
      </c>
      <c r="B89" s="39" t="str">
        <f t="shared" si="9"/>
        <v/>
      </c>
      <c r="C89" s="40"/>
      <c r="D89" s="40"/>
      <c r="E89" s="40"/>
      <c r="F89" s="40"/>
      <c r="G89" s="83"/>
      <c r="H89" s="102">
        <v>84</v>
      </c>
      <c r="I89" s="103" t="str">
        <f t="shared" si="10"/>
        <v/>
      </c>
      <c r="J89" s="102">
        <f t="shared" si="11"/>
        <v>-1</v>
      </c>
      <c r="K89" s="102">
        <f t="shared" si="12"/>
        <v>-10</v>
      </c>
      <c r="L89" s="102"/>
      <c r="M89" s="104">
        <f t="shared" si="13"/>
        <v>0</v>
      </c>
      <c r="N89" s="104">
        <f t="shared" si="14"/>
        <v>0</v>
      </c>
      <c r="O89" s="83"/>
      <c r="P89" s="83"/>
      <c r="Q89" s="83"/>
      <c r="R89" s="83"/>
      <c r="S89" s="83"/>
    </row>
    <row r="90" spans="1:20" s="88" customFormat="1" x14ac:dyDescent="0.25">
      <c r="A90" s="97">
        <f t="shared" si="8"/>
        <v>0</v>
      </c>
      <c r="B90" s="33" t="str">
        <f t="shared" si="9"/>
        <v/>
      </c>
      <c r="C90" s="34"/>
      <c r="D90" s="34"/>
      <c r="E90" s="34"/>
      <c r="F90" s="34"/>
      <c r="G90" s="83"/>
      <c r="H90" s="98">
        <v>85</v>
      </c>
      <c r="I90" s="99" t="str">
        <f t="shared" si="10"/>
        <v/>
      </c>
      <c r="J90" s="98">
        <f t="shared" si="11"/>
        <v>-1</v>
      </c>
      <c r="K90" s="98">
        <f t="shared" si="12"/>
        <v>-10</v>
      </c>
      <c r="L90" s="98"/>
      <c r="M90" s="100">
        <f t="shared" si="13"/>
        <v>0</v>
      </c>
      <c r="N90" s="100">
        <f t="shared" si="14"/>
        <v>0</v>
      </c>
      <c r="O90" s="83"/>
      <c r="P90" s="83"/>
      <c r="Q90" s="83"/>
      <c r="R90" s="83"/>
      <c r="S90" s="112"/>
      <c r="T90" s="113"/>
    </row>
    <row r="91" spans="1:20" s="88" customFormat="1" x14ac:dyDescent="0.25">
      <c r="A91" s="101">
        <f t="shared" si="8"/>
        <v>0</v>
      </c>
      <c r="B91" s="39" t="str">
        <f t="shared" si="9"/>
        <v/>
      </c>
      <c r="C91" s="40"/>
      <c r="D91" s="40"/>
      <c r="E91" s="40"/>
      <c r="F91" s="40"/>
      <c r="G91" s="83"/>
      <c r="H91" s="102">
        <v>86</v>
      </c>
      <c r="I91" s="103" t="str">
        <f t="shared" si="10"/>
        <v/>
      </c>
      <c r="J91" s="102">
        <f t="shared" si="11"/>
        <v>-1</v>
      </c>
      <c r="K91" s="102">
        <f t="shared" si="12"/>
        <v>-10</v>
      </c>
      <c r="L91" s="102"/>
      <c r="M91" s="104">
        <f t="shared" si="13"/>
        <v>0</v>
      </c>
      <c r="N91" s="104">
        <f t="shared" si="14"/>
        <v>0</v>
      </c>
      <c r="O91" s="83"/>
      <c r="P91" s="83"/>
      <c r="Q91" s="83"/>
      <c r="R91" s="83"/>
      <c r="S91" s="83"/>
    </row>
    <row r="92" spans="1:20" s="88" customFormat="1" x14ac:dyDescent="0.25">
      <c r="A92" s="97">
        <f t="shared" si="8"/>
        <v>0</v>
      </c>
      <c r="B92" s="33" t="str">
        <f t="shared" si="9"/>
        <v/>
      </c>
      <c r="C92" s="34"/>
      <c r="D92" s="34"/>
      <c r="E92" s="34"/>
      <c r="F92" s="34"/>
      <c r="G92" s="83"/>
      <c r="H92" s="98">
        <v>87</v>
      </c>
      <c r="I92" s="99" t="str">
        <f t="shared" si="10"/>
        <v/>
      </c>
      <c r="J92" s="98">
        <f t="shared" si="11"/>
        <v>-1</v>
      </c>
      <c r="K92" s="98">
        <f t="shared" si="12"/>
        <v>-10</v>
      </c>
      <c r="L92" s="98"/>
      <c r="M92" s="100">
        <f t="shared" si="13"/>
        <v>0</v>
      </c>
      <c r="N92" s="100">
        <f t="shared" si="14"/>
        <v>0</v>
      </c>
      <c r="O92" s="83"/>
      <c r="P92" s="83"/>
      <c r="Q92" s="83"/>
      <c r="R92" s="83"/>
      <c r="S92" s="112"/>
      <c r="T92" s="113"/>
    </row>
    <row r="93" spans="1:20" s="88" customFormat="1" x14ac:dyDescent="0.25">
      <c r="A93" s="101">
        <f t="shared" si="8"/>
        <v>0</v>
      </c>
      <c r="B93" s="39" t="str">
        <f t="shared" si="9"/>
        <v/>
      </c>
      <c r="C93" s="40"/>
      <c r="D93" s="40"/>
      <c r="E93" s="40"/>
      <c r="F93" s="40"/>
      <c r="G93" s="83"/>
      <c r="H93" s="102">
        <v>88</v>
      </c>
      <c r="I93" s="103" t="str">
        <f t="shared" si="10"/>
        <v/>
      </c>
      <c r="J93" s="102">
        <f t="shared" si="11"/>
        <v>-1</v>
      </c>
      <c r="K93" s="102">
        <f t="shared" si="12"/>
        <v>-10</v>
      </c>
      <c r="L93" s="102"/>
      <c r="M93" s="104">
        <f t="shared" si="13"/>
        <v>0</v>
      </c>
      <c r="N93" s="104">
        <f t="shared" si="14"/>
        <v>0</v>
      </c>
      <c r="O93" s="83"/>
      <c r="P93" s="83"/>
      <c r="Q93" s="83"/>
      <c r="R93" s="83"/>
      <c r="S93" s="83"/>
    </row>
    <row r="94" spans="1:20" s="88" customFormat="1" x14ac:dyDescent="0.25">
      <c r="A94" s="97">
        <f t="shared" si="8"/>
        <v>0</v>
      </c>
      <c r="B94" s="33" t="str">
        <f t="shared" si="9"/>
        <v/>
      </c>
      <c r="C94" s="34"/>
      <c r="D94" s="34"/>
      <c r="E94" s="34"/>
      <c r="F94" s="34"/>
      <c r="G94" s="83"/>
      <c r="H94" s="98">
        <v>89</v>
      </c>
      <c r="I94" s="99" t="str">
        <f t="shared" si="10"/>
        <v/>
      </c>
      <c r="J94" s="98">
        <f t="shared" si="11"/>
        <v>-1</v>
      </c>
      <c r="K94" s="98">
        <f t="shared" si="12"/>
        <v>-10</v>
      </c>
      <c r="L94" s="98"/>
      <c r="M94" s="100">
        <f t="shared" si="13"/>
        <v>0</v>
      </c>
      <c r="N94" s="100">
        <f t="shared" si="14"/>
        <v>0</v>
      </c>
      <c r="O94" s="83"/>
      <c r="P94" s="83"/>
      <c r="Q94" s="83"/>
      <c r="R94" s="83"/>
      <c r="S94" s="112"/>
      <c r="T94" s="113"/>
    </row>
    <row r="95" spans="1:20" s="88" customFormat="1" x14ac:dyDescent="0.25">
      <c r="A95" s="101">
        <f t="shared" si="8"/>
        <v>0</v>
      </c>
      <c r="B95" s="39" t="str">
        <f t="shared" si="9"/>
        <v/>
      </c>
      <c r="C95" s="40"/>
      <c r="D95" s="40"/>
      <c r="E95" s="40"/>
      <c r="F95" s="40"/>
      <c r="G95" s="83"/>
      <c r="H95" s="102">
        <v>90</v>
      </c>
      <c r="I95" s="103" t="str">
        <f t="shared" si="10"/>
        <v/>
      </c>
      <c r="J95" s="102">
        <f t="shared" si="11"/>
        <v>-1</v>
      </c>
      <c r="K95" s="102">
        <f t="shared" si="12"/>
        <v>-10</v>
      </c>
      <c r="L95" s="102"/>
      <c r="M95" s="104">
        <f t="shared" si="13"/>
        <v>0</v>
      </c>
      <c r="N95" s="104">
        <f t="shared" si="14"/>
        <v>0</v>
      </c>
      <c r="O95" s="83"/>
      <c r="P95" s="83"/>
      <c r="Q95" s="83"/>
      <c r="R95" s="83"/>
      <c r="S95" s="83"/>
    </row>
    <row r="96" spans="1:20" s="88" customFormat="1" x14ac:dyDescent="0.25">
      <c r="A96" s="97">
        <f t="shared" si="8"/>
        <v>0</v>
      </c>
      <c r="B96" s="33" t="str">
        <f t="shared" si="9"/>
        <v/>
      </c>
      <c r="C96" s="34"/>
      <c r="D96" s="34"/>
      <c r="E96" s="34"/>
      <c r="F96" s="34"/>
      <c r="G96" s="83"/>
      <c r="H96" s="98">
        <v>91</v>
      </c>
      <c r="I96" s="99" t="str">
        <f t="shared" si="10"/>
        <v/>
      </c>
      <c r="J96" s="98">
        <f t="shared" si="11"/>
        <v>-1</v>
      </c>
      <c r="K96" s="98">
        <f t="shared" si="12"/>
        <v>-10</v>
      </c>
      <c r="L96" s="98"/>
      <c r="M96" s="100">
        <f t="shared" si="13"/>
        <v>0</v>
      </c>
      <c r="N96" s="100">
        <f t="shared" si="14"/>
        <v>0</v>
      </c>
      <c r="O96" s="83"/>
      <c r="P96" s="83"/>
      <c r="Q96" s="83"/>
      <c r="R96" s="83"/>
      <c r="S96" s="112"/>
      <c r="T96" s="113"/>
    </row>
    <row r="97" spans="1:20" s="88" customFormat="1" x14ac:dyDescent="0.25">
      <c r="A97" s="101">
        <f t="shared" si="8"/>
        <v>0</v>
      </c>
      <c r="B97" s="39" t="str">
        <f t="shared" si="9"/>
        <v/>
      </c>
      <c r="C97" s="40"/>
      <c r="D97" s="40"/>
      <c r="E97" s="40"/>
      <c r="F97" s="40"/>
      <c r="G97" s="83"/>
      <c r="H97" s="102">
        <v>92</v>
      </c>
      <c r="I97" s="103" t="str">
        <f t="shared" si="10"/>
        <v/>
      </c>
      <c r="J97" s="102">
        <f t="shared" si="11"/>
        <v>-1</v>
      </c>
      <c r="K97" s="102">
        <f t="shared" si="12"/>
        <v>-10</v>
      </c>
      <c r="L97" s="102"/>
      <c r="M97" s="104">
        <f t="shared" si="13"/>
        <v>0</v>
      </c>
      <c r="N97" s="104">
        <f t="shared" si="14"/>
        <v>0</v>
      </c>
      <c r="O97" s="83"/>
      <c r="P97" s="83"/>
      <c r="Q97" s="83"/>
      <c r="R97" s="83"/>
      <c r="S97" s="83"/>
    </row>
    <row r="98" spans="1:20" s="88" customFormat="1" x14ac:dyDescent="0.25">
      <c r="A98" s="97">
        <f t="shared" si="8"/>
        <v>0</v>
      </c>
      <c r="B98" s="33" t="str">
        <f t="shared" si="9"/>
        <v/>
      </c>
      <c r="C98" s="34"/>
      <c r="D98" s="34"/>
      <c r="E98" s="34"/>
      <c r="F98" s="34"/>
      <c r="G98" s="83"/>
      <c r="H98" s="98">
        <v>93</v>
      </c>
      <c r="I98" s="99" t="str">
        <f t="shared" si="10"/>
        <v/>
      </c>
      <c r="J98" s="98">
        <f t="shared" si="11"/>
        <v>-1</v>
      </c>
      <c r="K98" s="98">
        <f t="shared" si="12"/>
        <v>-10</v>
      </c>
      <c r="L98" s="98"/>
      <c r="M98" s="100">
        <f t="shared" si="13"/>
        <v>0</v>
      </c>
      <c r="N98" s="100">
        <f t="shared" si="14"/>
        <v>0</v>
      </c>
      <c r="O98" s="83"/>
      <c r="P98" s="83"/>
      <c r="Q98" s="83"/>
      <c r="R98" s="83"/>
      <c r="S98" s="112"/>
      <c r="T98" s="113"/>
    </row>
    <row r="99" spans="1:20" s="88" customFormat="1" x14ac:dyDescent="0.25">
      <c r="A99" s="101">
        <f t="shared" si="8"/>
        <v>0</v>
      </c>
      <c r="B99" s="39" t="str">
        <f t="shared" si="9"/>
        <v/>
      </c>
      <c r="C99" s="40"/>
      <c r="D99" s="40"/>
      <c r="E99" s="40"/>
      <c r="F99" s="40"/>
      <c r="G99" s="83"/>
      <c r="H99" s="102">
        <v>94</v>
      </c>
      <c r="I99" s="103" t="str">
        <f t="shared" si="10"/>
        <v/>
      </c>
      <c r="J99" s="102">
        <f t="shared" si="11"/>
        <v>-1</v>
      </c>
      <c r="K99" s="102">
        <f t="shared" si="12"/>
        <v>-10</v>
      </c>
      <c r="L99" s="102"/>
      <c r="M99" s="104">
        <f t="shared" si="13"/>
        <v>0</v>
      </c>
      <c r="N99" s="104">
        <f t="shared" si="14"/>
        <v>0</v>
      </c>
      <c r="O99" s="83"/>
      <c r="P99" s="83"/>
      <c r="Q99" s="83"/>
      <c r="R99" s="83"/>
      <c r="S99" s="83"/>
    </row>
    <row r="100" spans="1:20" s="88" customFormat="1" x14ac:dyDescent="0.25">
      <c r="A100" s="97">
        <f t="shared" si="8"/>
        <v>0</v>
      </c>
      <c r="B100" s="33" t="str">
        <f t="shared" si="9"/>
        <v/>
      </c>
      <c r="C100" s="34"/>
      <c r="D100" s="34"/>
      <c r="E100" s="34"/>
      <c r="F100" s="34"/>
      <c r="G100" s="83"/>
      <c r="H100" s="98">
        <v>95</v>
      </c>
      <c r="I100" s="99" t="str">
        <f t="shared" si="10"/>
        <v/>
      </c>
      <c r="J100" s="98">
        <f t="shared" si="11"/>
        <v>-1</v>
      </c>
      <c r="K100" s="98">
        <f t="shared" si="12"/>
        <v>-10</v>
      </c>
      <c r="L100" s="98"/>
      <c r="M100" s="100">
        <f t="shared" si="13"/>
        <v>0</v>
      </c>
      <c r="N100" s="100">
        <f t="shared" si="14"/>
        <v>0</v>
      </c>
      <c r="O100" s="83"/>
      <c r="P100" s="83"/>
      <c r="Q100" s="83"/>
      <c r="R100" s="83"/>
      <c r="S100" s="112"/>
      <c r="T100" s="113"/>
    </row>
    <row r="101" spans="1:20" s="88" customFormat="1" x14ac:dyDescent="0.25">
      <c r="A101" s="101">
        <f t="shared" si="8"/>
        <v>0</v>
      </c>
      <c r="B101" s="39" t="str">
        <f t="shared" si="9"/>
        <v/>
      </c>
      <c r="C101" s="40"/>
      <c r="D101" s="40"/>
      <c r="E101" s="40"/>
      <c r="F101" s="40"/>
      <c r="G101" s="83"/>
      <c r="H101" s="102">
        <v>96</v>
      </c>
      <c r="I101" s="103" t="str">
        <f t="shared" si="10"/>
        <v/>
      </c>
      <c r="J101" s="102">
        <f t="shared" si="11"/>
        <v>-1</v>
      </c>
      <c r="K101" s="102">
        <f t="shared" si="12"/>
        <v>-10</v>
      </c>
      <c r="L101" s="102"/>
      <c r="M101" s="104">
        <f t="shared" si="13"/>
        <v>0</v>
      </c>
      <c r="N101" s="104">
        <f t="shared" si="14"/>
        <v>0</v>
      </c>
      <c r="O101" s="83"/>
      <c r="P101" s="83"/>
      <c r="Q101" s="83"/>
      <c r="R101" s="83"/>
      <c r="S101" s="83"/>
    </row>
    <row r="102" spans="1:20" s="88" customFormat="1" x14ac:dyDescent="0.25">
      <c r="A102" s="97">
        <f t="shared" si="8"/>
        <v>0</v>
      </c>
      <c r="B102" s="33" t="str">
        <f t="shared" si="9"/>
        <v/>
      </c>
      <c r="C102" s="34"/>
      <c r="D102" s="34"/>
      <c r="E102" s="34"/>
      <c r="F102" s="34"/>
      <c r="G102" s="83"/>
      <c r="H102" s="98">
        <v>97</v>
      </c>
      <c r="I102" s="99" t="str">
        <f t="shared" si="10"/>
        <v/>
      </c>
      <c r="J102" s="98">
        <f t="shared" si="11"/>
        <v>-1</v>
      </c>
      <c r="K102" s="98">
        <f t="shared" si="12"/>
        <v>-10</v>
      </c>
      <c r="L102" s="98"/>
      <c r="M102" s="100">
        <f t="shared" si="13"/>
        <v>0</v>
      </c>
      <c r="N102" s="100">
        <f t="shared" si="14"/>
        <v>0</v>
      </c>
      <c r="O102" s="83"/>
      <c r="P102" s="83"/>
      <c r="Q102" s="83"/>
      <c r="R102" s="83"/>
      <c r="S102" s="112"/>
      <c r="T102" s="113"/>
    </row>
    <row r="103" spans="1:20" s="88" customFormat="1" x14ac:dyDescent="0.25">
      <c r="A103" s="101">
        <f t="shared" si="8"/>
        <v>0</v>
      </c>
      <c r="B103" s="39" t="str">
        <f t="shared" si="9"/>
        <v/>
      </c>
      <c r="C103" s="40"/>
      <c r="D103" s="40"/>
      <c r="E103" s="40"/>
      <c r="F103" s="40"/>
      <c r="G103" s="83"/>
      <c r="H103" s="102">
        <v>98</v>
      </c>
      <c r="I103" s="103" t="str">
        <f t="shared" si="10"/>
        <v/>
      </c>
      <c r="J103" s="102">
        <f t="shared" si="11"/>
        <v>-1</v>
      </c>
      <c r="K103" s="102">
        <f t="shared" si="12"/>
        <v>-10</v>
      </c>
      <c r="L103" s="102"/>
      <c r="M103" s="104">
        <f t="shared" si="13"/>
        <v>0</v>
      </c>
      <c r="N103" s="104">
        <f t="shared" si="14"/>
        <v>0</v>
      </c>
      <c r="O103" s="83"/>
      <c r="P103" s="83"/>
      <c r="Q103" s="83"/>
      <c r="R103" s="83"/>
      <c r="S103" s="83"/>
    </row>
    <row r="104" spans="1:20" s="88" customFormat="1" x14ac:dyDescent="0.25">
      <c r="A104" s="97">
        <f t="shared" si="8"/>
        <v>0</v>
      </c>
      <c r="B104" s="33" t="str">
        <f t="shared" si="9"/>
        <v/>
      </c>
      <c r="C104" s="34"/>
      <c r="D104" s="34"/>
      <c r="E104" s="34"/>
      <c r="F104" s="34"/>
      <c r="G104" s="83"/>
      <c r="H104" s="98">
        <v>99</v>
      </c>
      <c r="I104" s="99" t="str">
        <f t="shared" si="10"/>
        <v/>
      </c>
      <c r="J104" s="98">
        <f t="shared" si="11"/>
        <v>-1</v>
      </c>
      <c r="K104" s="98">
        <f t="shared" si="12"/>
        <v>-10</v>
      </c>
      <c r="L104" s="98"/>
      <c r="M104" s="100">
        <f t="shared" si="13"/>
        <v>0</v>
      </c>
      <c r="N104" s="100">
        <f t="shared" si="14"/>
        <v>0</v>
      </c>
      <c r="O104" s="83"/>
      <c r="P104" s="83"/>
      <c r="Q104" s="83"/>
      <c r="R104" s="83"/>
      <c r="S104" s="112"/>
      <c r="T104" s="113"/>
    </row>
    <row r="105" spans="1:20" s="88" customFormat="1" x14ac:dyDescent="0.25">
      <c r="A105" s="101">
        <f t="shared" si="8"/>
        <v>0</v>
      </c>
      <c r="B105" s="39" t="str">
        <f t="shared" si="9"/>
        <v/>
      </c>
      <c r="C105" s="40"/>
      <c r="D105" s="40"/>
      <c r="E105" s="40"/>
      <c r="F105" s="40"/>
      <c r="G105" s="83"/>
      <c r="H105" s="102">
        <v>100</v>
      </c>
      <c r="I105" s="103" t="str">
        <f t="shared" si="10"/>
        <v/>
      </c>
      <c r="J105" s="102">
        <f t="shared" si="11"/>
        <v>-1</v>
      </c>
      <c r="K105" s="102">
        <f t="shared" si="12"/>
        <v>-10</v>
      </c>
      <c r="L105" s="102"/>
      <c r="M105" s="104">
        <f t="shared" si="13"/>
        <v>0</v>
      </c>
      <c r="N105" s="104">
        <f t="shared" si="14"/>
        <v>0</v>
      </c>
      <c r="O105" s="83"/>
      <c r="P105" s="83"/>
      <c r="Q105" s="83"/>
      <c r="R105" s="83"/>
      <c r="S105" s="83"/>
    </row>
    <row r="106" spans="1:20" s="88" customFormat="1" x14ac:dyDescent="0.25">
      <c r="A106" s="97">
        <f t="shared" si="8"/>
        <v>0</v>
      </c>
      <c r="B106" s="33" t="str">
        <f t="shared" si="9"/>
        <v/>
      </c>
      <c r="C106" s="34"/>
      <c r="D106" s="34"/>
      <c r="E106" s="34"/>
      <c r="F106" s="34"/>
      <c r="G106" s="83"/>
      <c r="H106" s="98">
        <v>101</v>
      </c>
      <c r="I106" s="99" t="str">
        <f t="shared" si="10"/>
        <v/>
      </c>
      <c r="J106" s="98">
        <f t="shared" si="11"/>
        <v>-1</v>
      </c>
      <c r="K106" s="98">
        <f t="shared" si="12"/>
        <v>-10</v>
      </c>
      <c r="L106" s="98"/>
      <c r="M106" s="100">
        <f t="shared" si="13"/>
        <v>0</v>
      </c>
      <c r="N106" s="100">
        <f t="shared" si="14"/>
        <v>0</v>
      </c>
      <c r="O106" s="83"/>
      <c r="P106" s="83"/>
      <c r="Q106" s="83"/>
      <c r="R106" s="83"/>
      <c r="S106" s="112"/>
      <c r="T106" s="113"/>
    </row>
    <row r="107" spans="1:20" s="88" customFormat="1" x14ac:dyDescent="0.25">
      <c r="A107" s="101">
        <f t="shared" si="8"/>
        <v>0</v>
      </c>
      <c r="B107" s="39" t="str">
        <f t="shared" si="9"/>
        <v/>
      </c>
      <c r="C107" s="40"/>
      <c r="D107" s="40"/>
      <c r="E107" s="40"/>
      <c r="F107" s="40"/>
      <c r="G107" s="83"/>
      <c r="H107" s="102">
        <v>102</v>
      </c>
      <c r="I107" s="103" t="str">
        <f t="shared" si="10"/>
        <v/>
      </c>
      <c r="J107" s="102">
        <f t="shared" si="11"/>
        <v>-1</v>
      </c>
      <c r="K107" s="102">
        <f t="shared" si="12"/>
        <v>-10</v>
      </c>
      <c r="L107" s="102"/>
      <c r="M107" s="104">
        <f t="shared" si="13"/>
        <v>0</v>
      </c>
      <c r="N107" s="104">
        <f t="shared" si="14"/>
        <v>0</v>
      </c>
      <c r="O107" s="83"/>
      <c r="P107" s="83"/>
      <c r="Q107" s="83"/>
      <c r="R107" s="83"/>
      <c r="S107" s="83"/>
    </row>
    <row r="108" spans="1:20" s="88" customFormat="1" x14ac:dyDescent="0.25">
      <c r="A108" s="97">
        <f t="shared" si="8"/>
        <v>0</v>
      </c>
      <c r="B108" s="33" t="str">
        <f t="shared" si="9"/>
        <v/>
      </c>
      <c r="C108" s="34"/>
      <c r="D108" s="34"/>
      <c r="E108" s="34"/>
      <c r="F108" s="34"/>
      <c r="G108" s="83"/>
      <c r="H108" s="98">
        <v>103</v>
      </c>
      <c r="I108" s="99" t="str">
        <f t="shared" si="10"/>
        <v/>
      </c>
      <c r="J108" s="98">
        <f t="shared" si="11"/>
        <v>-1</v>
      </c>
      <c r="K108" s="98">
        <f t="shared" si="12"/>
        <v>-10</v>
      </c>
      <c r="L108" s="98"/>
      <c r="M108" s="100">
        <f t="shared" si="13"/>
        <v>0</v>
      </c>
      <c r="N108" s="100">
        <f t="shared" si="14"/>
        <v>0</v>
      </c>
      <c r="O108" s="83"/>
      <c r="P108" s="83"/>
      <c r="Q108" s="83"/>
      <c r="R108" s="83"/>
      <c r="S108" s="112"/>
      <c r="T108" s="113"/>
    </row>
    <row r="109" spans="1:20" s="88" customFormat="1" x14ac:dyDescent="0.25">
      <c r="A109" s="101">
        <f t="shared" si="8"/>
        <v>0</v>
      </c>
      <c r="B109" s="39" t="str">
        <f t="shared" si="9"/>
        <v/>
      </c>
      <c r="C109" s="40"/>
      <c r="D109" s="40"/>
      <c r="E109" s="40"/>
      <c r="F109" s="40"/>
      <c r="G109" s="83"/>
      <c r="H109" s="102">
        <v>104</v>
      </c>
      <c r="I109" s="103" t="str">
        <f t="shared" si="10"/>
        <v/>
      </c>
      <c r="J109" s="102">
        <f t="shared" si="11"/>
        <v>-1</v>
      </c>
      <c r="K109" s="102">
        <f t="shared" si="12"/>
        <v>-10</v>
      </c>
      <c r="L109" s="102"/>
      <c r="M109" s="104">
        <f t="shared" si="13"/>
        <v>0</v>
      </c>
      <c r="N109" s="104">
        <f t="shared" si="14"/>
        <v>0</v>
      </c>
      <c r="O109" s="83"/>
      <c r="P109" s="83"/>
      <c r="Q109" s="83"/>
      <c r="R109" s="83"/>
      <c r="S109" s="83"/>
    </row>
    <row r="110" spans="1:20" s="88" customFormat="1" x14ac:dyDescent="0.25">
      <c r="A110" s="97">
        <f t="shared" si="8"/>
        <v>0</v>
      </c>
      <c r="B110" s="33" t="str">
        <f t="shared" si="9"/>
        <v/>
      </c>
      <c r="C110" s="34"/>
      <c r="D110" s="34"/>
      <c r="E110" s="34"/>
      <c r="F110" s="34"/>
      <c r="G110" s="83"/>
      <c r="H110" s="98">
        <v>105</v>
      </c>
      <c r="I110" s="99" t="str">
        <f t="shared" si="10"/>
        <v/>
      </c>
      <c r="J110" s="98">
        <f t="shared" si="11"/>
        <v>-1</v>
      </c>
      <c r="K110" s="98">
        <f t="shared" si="12"/>
        <v>-10</v>
      </c>
      <c r="L110" s="98"/>
      <c r="M110" s="100">
        <f t="shared" si="13"/>
        <v>0</v>
      </c>
      <c r="N110" s="100">
        <f t="shared" si="14"/>
        <v>0</v>
      </c>
      <c r="O110" s="83"/>
      <c r="P110" s="83"/>
      <c r="Q110" s="83"/>
      <c r="R110" s="83"/>
      <c r="S110" s="112"/>
      <c r="T110" s="113"/>
    </row>
    <row r="111" spans="1:20" s="88" customFormat="1" x14ac:dyDescent="0.25">
      <c r="A111" s="101">
        <f t="shared" si="8"/>
        <v>0</v>
      </c>
      <c r="B111" s="39" t="str">
        <f t="shared" si="9"/>
        <v/>
      </c>
      <c r="C111" s="40"/>
      <c r="D111" s="40"/>
      <c r="E111" s="40"/>
      <c r="F111" s="40"/>
      <c r="G111" s="83"/>
      <c r="H111" s="102">
        <v>106</v>
      </c>
      <c r="I111" s="103" t="str">
        <f t="shared" si="10"/>
        <v/>
      </c>
      <c r="J111" s="102">
        <f t="shared" si="11"/>
        <v>-1</v>
      </c>
      <c r="K111" s="102">
        <f t="shared" si="12"/>
        <v>-10</v>
      </c>
      <c r="L111" s="102"/>
      <c r="M111" s="104">
        <f t="shared" si="13"/>
        <v>0</v>
      </c>
      <c r="N111" s="104">
        <f t="shared" si="14"/>
        <v>0</v>
      </c>
      <c r="O111" s="83"/>
      <c r="P111" s="83"/>
      <c r="Q111" s="83"/>
      <c r="R111" s="83"/>
      <c r="S111" s="83"/>
    </row>
    <row r="112" spans="1:20" s="88" customFormat="1" x14ac:dyDescent="0.25">
      <c r="A112" s="97">
        <f t="shared" si="8"/>
        <v>0</v>
      </c>
      <c r="B112" s="33" t="str">
        <f t="shared" si="9"/>
        <v/>
      </c>
      <c r="C112" s="34"/>
      <c r="D112" s="34"/>
      <c r="E112" s="34"/>
      <c r="F112" s="34"/>
      <c r="G112" s="83"/>
      <c r="H112" s="98">
        <v>107</v>
      </c>
      <c r="I112" s="99" t="str">
        <f t="shared" si="10"/>
        <v/>
      </c>
      <c r="J112" s="98">
        <f t="shared" si="11"/>
        <v>-1</v>
      </c>
      <c r="K112" s="98">
        <f t="shared" si="12"/>
        <v>-10</v>
      </c>
      <c r="L112" s="98"/>
      <c r="M112" s="100">
        <f t="shared" si="13"/>
        <v>0</v>
      </c>
      <c r="N112" s="100">
        <f t="shared" si="14"/>
        <v>0</v>
      </c>
      <c r="O112" s="83"/>
      <c r="P112" s="83"/>
      <c r="Q112" s="83"/>
      <c r="R112" s="83"/>
      <c r="S112" s="112"/>
      <c r="T112" s="113"/>
    </row>
    <row r="113" spans="1:20" s="88" customFormat="1" x14ac:dyDescent="0.25">
      <c r="A113" s="101">
        <f t="shared" si="8"/>
        <v>0</v>
      </c>
      <c r="B113" s="39" t="str">
        <f t="shared" si="9"/>
        <v/>
      </c>
      <c r="C113" s="40"/>
      <c r="D113" s="40"/>
      <c r="E113" s="40"/>
      <c r="F113" s="40"/>
      <c r="G113" s="83"/>
      <c r="H113" s="102">
        <v>108</v>
      </c>
      <c r="I113" s="103" t="str">
        <f t="shared" si="10"/>
        <v/>
      </c>
      <c r="J113" s="102">
        <f t="shared" si="11"/>
        <v>-1</v>
      </c>
      <c r="K113" s="102">
        <f t="shared" si="12"/>
        <v>-10</v>
      </c>
      <c r="L113" s="102"/>
      <c r="M113" s="104">
        <f t="shared" si="13"/>
        <v>0</v>
      </c>
      <c r="N113" s="104">
        <f t="shared" si="14"/>
        <v>0</v>
      </c>
      <c r="O113" s="83"/>
      <c r="P113" s="83"/>
      <c r="Q113" s="83"/>
      <c r="R113" s="83"/>
      <c r="S113" s="83"/>
    </row>
    <row r="114" spans="1:20" s="88" customFormat="1" x14ac:dyDescent="0.25">
      <c r="A114" s="97">
        <f t="shared" si="8"/>
        <v>0</v>
      </c>
      <c r="B114" s="33" t="str">
        <f t="shared" si="9"/>
        <v/>
      </c>
      <c r="C114" s="34"/>
      <c r="D114" s="34"/>
      <c r="E114" s="34"/>
      <c r="F114" s="34"/>
      <c r="G114" s="83"/>
      <c r="H114" s="98">
        <v>109</v>
      </c>
      <c r="I114" s="99" t="str">
        <f t="shared" si="10"/>
        <v/>
      </c>
      <c r="J114" s="98">
        <f t="shared" si="11"/>
        <v>-1</v>
      </c>
      <c r="K114" s="98">
        <f t="shared" si="12"/>
        <v>-10</v>
      </c>
      <c r="L114" s="98"/>
      <c r="M114" s="100">
        <f t="shared" si="13"/>
        <v>0</v>
      </c>
      <c r="N114" s="100">
        <f t="shared" si="14"/>
        <v>0</v>
      </c>
      <c r="O114" s="83"/>
      <c r="P114" s="83"/>
      <c r="Q114" s="83"/>
      <c r="R114" s="83"/>
      <c r="S114" s="112"/>
      <c r="T114" s="113"/>
    </row>
    <row r="115" spans="1:20" s="88" customFormat="1" x14ac:dyDescent="0.25">
      <c r="A115" s="101">
        <f t="shared" si="8"/>
        <v>0</v>
      </c>
      <c r="B115" s="39" t="str">
        <f t="shared" si="9"/>
        <v/>
      </c>
      <c r="C115" s="40"/>
      <c r="D115" s="40"/>
      <c r="E115" s="40"/>
      <c r="F115" s="40"/>
      <c r="G115" s="83"/>
      <c r="H115" s="102">
        <v>110</v>
      </c>
      <c r="I115" s="103" t="str">
        <f t="shared" si="10"/>
        <v/>
      </c>
      <c r="J115" s="102">
        <f t="shared" si="11"/>
        <v>-1</v>
      </c>
      <c r="K115" s="102">
        <f t="shared" si="12"/>
        <v>-10</v>
      </c>
      <c r="L115" s="102"/>
      <c r="M115" s="104">
        <f t="shared" si="13"/>
        <v>0</v>
      </c>
      <c r="N115" s="104">
        <f t="shared" si="14"/>
        <v>0</v>
      </c>
      <c r="O115" s="83"/>
      <c r="P115" s="83"/>
      <c r="Q115" s="83"/>
      <c r="R115" s="83"/>
      <c r="S115" s="83"/>
    </row>
    <row r="116" spans="1:20" s="88" customFormat="1" x14ac:dyDescent="0.25">
      <c r="A116" s="97">
        <f t="shared" si="8"/>
        <v>0</v>
      </c>
      <c r="B116" s="33" t="str">
        <f t="shared" si="9"/>
        <v/>
      </c>
      <c r="C116" s="34"/>
      <c r="D116" s="34"/>
      <c r="E116" s="34"/>
      <c r="F116" s="34"/>
      <c r="G116" s="83"/>
      <c r="H116" s="98">
        <v>111</v>
      </c>
      <c r="I116" s="99" t="str">
        <f t="shared" si="10"/>
        <v/>
      </c>
      <c r="J116" s="98">
        <f t="shared" si="11"/>
        <v>-1</v>
      </c>
      <c r="K116" s="98">
        <f t="shared" si="12"/>
        <v>-10</v>
      </c>
      <c r="L116" s="98"/>
      <c r="M116" s="100">
        <f t="shared" si="13"/>
        <v>0</v>
      </c>
      <c r="N116" s="100">
        <f t="shared" si="14"/>
        <v>0</v>
      </c>
      <c r="O116" s="83"/>
      <c r="P116" s="83"/>
      <c r="Q116" s="83"/>
      <c r="R116" s="83"/>
      <c r="S116" s="112"/>
      <c r="T116" s="113"/>
    </row>
    <row r="117" spans="1:20" s="88" customFormat="1" x14ac:dyDescent="0.25">
      <c r="A117" s="101">
        <f t="shared" si="8"/>
        <v>0</v>
      </c>
      <c r="B117" s="39" t="str">
        <f t="shared" si="9"/>
        <v/>
      </c>
      <c r="C117" s="40"/>
      <c r="D117" s="40"/>
      <c r="E117" s="40"/>
      <c r="F117" s="40"/>
      <c r="G117" s="83"/>
      <c r="H117" s="102">
        <v>112</v>
      </c>
      <c r="I117" s="103" t="str">
        <f t="shared" si="10"/>
        <v/>
      </c>
      <c r="J117" s="102">
        <f t="shared" si="11"/>
        <v>-1</v>
      </c>
      <c r="K117" s="102">
        <f t="shared" si="12"/>
        <v>-10</v>
      </c>
      <c r="L117" s="102"/>
      <c r="M117" s="104">
        <f t="shared" si="13"/>
        <v>0</v>
      </c>
      <c r="N117" s="104">
        <f t="shared" si="14"/>
        <v>0</v>
      </c>
      <c r="O117" s="83"/>
      <c r="P117" s="83"/>
      <c r="Q117" s="83"/>
      <c r="R117" s="83"/>
      <c r="S117" s="83"/>
    </row>
    <row r="118" spans="1:20" s="88" customFormat="1" x14ac:dyDescent="0.25">
      <c r="A118" s="97">
        <f t="shared" si="8"/>
        <v>0</v>
      </c>
      <c r="B118" s="33" t="str">
        <f t="shared" si="9"/>
        <v/>
      </c>
      <c r="C118" s="34"/>
      <c r="D118" s="34"/>
      <c r="E118" s="34"/>
      <c r="F118" s="34"/>
      <c r="G118" s="83"/>
      <c r="H118" s="98">
        <v>113</v>
      </c>
      <c r="I118" s="99" t="str">
        <f t="shared" si="10"/>
        <v/>
      </c>
      <c r="J118" s="98">
        <f t="shared" si="11"/>
        <v>-1</v>
      </c>
      <c r="K118" s="98">
        <f t="shared" si="12"/>
        <v>-10</v>
      </c>
      <c r="L118" s="98"/>
      <c r="M118" s="100">
        <f t="shared" si="13"/>
        <v>0</v>
      </c>
      <c r="N118" s="100">
        <f t="shared" si="14"/>
        <v>0</v>
      </c>
      <c r="O118" s="83"/>
      <c r="P118" s="83"/>
      <c r="Q118" s="83"/>
      <c r="R118" s="83"/>
      <c r="S118" s="112"/>
      <c r="T118" s="113"/>
    </row>
    <row r="119" spans="1:20" s="88" customFormat="1" x14ac:dyDescent="0.25">
      <c r="A119" s="101">
        <f t="shared" si="8"/>
        <v>0</v>
      </c>
      <c r="B119" s="39" t="str">
        <f t="shared" si="9"/>
        <v/>
      </c>
      <c r="C119" s="40"/>
      <c r="D119" s="40"/>
      <c r="E119" s="40"/>
      <c r="F119" s="40"/>
      <c r="G119" s="83"/>
      <c r="H119" s="102">
        <v>114</v>
      </c>
      <c r="I119" s="103" t="str">
        <f t="shared" si="10"/>
        <v/>
      </c>
      <c r="J119" s="102">
        <f t="shared" si="11"/>
        <v>-1</v>
      </c>
      <c r="K119" s="102">
        <f t="shared" si="12"/>
        <v>-10</v>
      </c>
      <c r="L119" s="102"/>
      <c r="M119" s="104">
        <f t="shared" si="13"/>
        <v>0</v>
      </c>
      <c r="N119" s="104">
        <f t="shared" si="14"/>
        <v>0</v>
      </c>
      <c r="O119" s="83"/>
      <c r="P119" s="83"/>
      <c r="Q119" s="83"/>
      <c r="R119" s="83"/>
      <c r="S119" s="83"/>
    </row>
    <row r="120" spans="1:20" s="88" customFormat="1" x14ac:dyDescent="0.25">
      <c r="A120" s="97">
        <f t="shared" si="8"/>
        <v>0</v>
      </c>
      <c r="B120" s="33" t="str">
        <f t="shared" si="9"/>
        <v/>
      </c>
      <c r="C120" s="34"/>
      <c r="D120" s="34"/>
      <c r="E120" s="34"/>
      <c r="F120" s="34"/>
      <c r="G120" s="83"/>
      <c r="H120" s="98">
        <v>115</v>
      </c>
      <c r="I120" s="99" t="str">
        <f t="shared" si="10"/>
        <v/>
      </c>
      <c r="J120" s="98">
        <f t="shared" si="11"/>
        <v>-1</v>
      </c>
      <c r="K120" s="98">
        <f t="shared" si="12"/>
        <v>-10</v>
      </c>
      <c r="L120" s="98"/>
      <c r="M120" s="100">
        <f t="shared" si="13"/>
        <v>0</v>
      </c>
      <c r="N120" s="100">
        <f t="shared" si="14"/>
        <v>0</v>
      </c>
      <c r="O120" s="83"/>
      <c r="P120" s="83"/>
      <c r="Q120" s="83"/>
      <c r="R120" s="83"/>
      <c r="S120" s="112"/>
      <c r="T120" s="113"/>
    </row>
    <row r="121" spans="1:20" s="88" customFormat="1" x14ac:dyDescent="0.25">
      <c r="A121" s="101">
        <f t="shared" si="8"/>
        <v>0</v>
      </c>
      <c r="B121" s="39" t="str">
        <f t="shared" si="9"/>
        <v/>
      </c>
      <c r="C121" s="40"/>
      <c r="D121" s="40"/>
      <c r="E121" s="40"/>
      <c r="F121" s="40"/>
      <c r="G121" s="83"/>
      <c r="H121" s="102">
        <v>116</v>
      </c>
      <c r="I121" s="103" t="str">
        <f t="shared" si="10"/>
        <v/>
      </c>
      <c r="J121" s="102">
        <f t="shared" si="11"/>
        <v>-1</v>
      </c>
      <c r="K121" s="102">
        <f t="shared" si="12"/>
        <v>-10</v>
      </c>
      <c r="L121" s="102"/>
      <c r="M121" s="104">
        <f t="shared" si="13"/>
        <v>0</v>
      </c>
      <c r="N121" s="104">
        <f t="shared" si="14"/>
        <v>0</v>
      </c>
      <c r="O121" s="83"/>
      <c r="P121" s="83"/>
      <c r="Q121" s="83"/>
      <c r="R121" s="83"/>
      <c r="S121" s="83"/>
    </row>
    <row r="122" spans="1:20" s="88" customFormat="1" x14ac:dyDescent="0.25">
      <c r="A122" s="97">
        <f t="shared" si="8"/>
        <v>0</v>
      </c>
      <c r="B122" s="33" t="str">
        <f t="shared" si="9"/>
        <v/>
      </c>
      <c r="C122" s="34"/>
      <c r="D122" s="34"/>
      <c r="E122" s="34"/>
      <c r="F122" s="34"/>
      <c r="G122" s="83"/>
      <c r="H122" s="98">
        <v>117</v>
      </c>
      <c r="I122" s="99" t="str">
        <f t="shared" si="10"/>
        <v/>
      </c>
      <c r="J122" s="98">
        <f t="shared" si="11"/>
        <v>-1</v>
      </c>
      <c r="K122" s="98">
        <f t="shared" si="12"/>
        <v>-10</v>
      </c>
      <c r="L122" s="98"/>
      <c r="M122" s="100">
        <f t="shared" si="13"/>
        <v>0</v>
      </c>
      <c r="N122" s="100">
        <f t="shared" si="14"/>
        <v>0</v>
      </c>
      <c r="O122" s="83"/>
      <c r="P122" s="83"/>
      <c r="Q122" s="83"/>
      <c r="R122" s="83"/>
      <c r="S122" s="112"/>
      <c r="T122" s="113"/>
    </row>
    <row r="123" spans="1:20" s="88" customFormat="1" x14ac:dyDescent="0.25">
      <c r="A123" s="101">
        <f t="shared" si="8"/>
        <v>0</v>
      </c>
      <c r="B123" s="39" t="str">
        <f t="shared" si="9"/>
        <v/>
      </c>
      <c r="C123" s="40"/>
      <c r="D123" s="40"/>
      <c r="E123" s="40"/>
      <c r="F123" s="40"/>
      <c r="G123" s="83"/>
      <c r="H123" s="102">
        <v>118</v>
      </c>
      <c r="I123" s="103" t="str">
        <f t="shared" si="10"/>
        <v/>
      </c>
      <c r="J123" s="102">
        <f t="shared" si="11"/>
        <v>-1</v>
      </c>
      <c r="K123" s="102">
        <f t="shared" si="12"/>
        <v>-10</v>
      </c>
      <c r="L123" s="102"/>
      <c r="M123" s="104">
        <f t="shared" si="13"/>
        <v>0</v>
      </c>
      <c r="N123" s="104">
        <f t="shared" si="14"/>
        <v>0</v>
      </c>
      <c r="O123" s="83"/>
      <c r="P123" s="83"/>
      <c r="Q123" s="83"/>
      <c r="R123" s="83"/>
      <c r="S123" s="83"/>
    </row>
    <row r="124" spans="1:20" s="88" customFormat="1" x14ac:dyDescent="0.25">
      <c r="A124" s="97">
        <f t="shared" si="8"/>
        <v>0</v>
      </c>
      <c r="B124" s="33" t="str">
        <f t="shared" si="9"/>
        <v/>
      </c>
      <c r="C124" s="34"/>
      <c r="D124" s="34"/>
      <c r="E124" s="34"/>
      <c r="F124" s="34"/>
      <c r="G124" s="83"/>
      <c r="H124" s="98">
        <v>119</v>
      </c>
      <c r="I124" s="99" t="str">
        <f t="shared" si="10"/>
        <v/>
      </c>
      <c r="J124" s="98">
        <f t="shared" si="11"/>
        <v>-1</v>
      </c>
      <c r="K124" s="98">
        <f t="shared" si="12"/>
        <v>-10</v>
      </c>
      <c r="L124" s="98"/>
      <c r="M124" s="100">
        <f t="shared" si="13"/>
        <v>0</v>
      </c>
      <c r="N124" s="100">
        <f t="shared" si="14"/>
        <v>0</v>
      </c>
      <c r="O124" s="83"/>
      <c r="P124" s="83"/>
      <c r="Q124" s="83"/>
      <c r="R124" s="83"/>
      <c r="S124" s="112"/>
      <c r="T124" s="113"/>
    </row>
    <row r="125" spans="1:20" s="88" customFormat="1" x14ac:dyDescent="0.25">
      <c r="A125" s="101">
        <f t="shared" si="8"/>
        <v>0</v>
      </c>
      <c r="B125" s="39" t="str">
        <f t="shared" si="9"/>
        <v/>
      </c>
      <c r="C125" s="40"/>
      <c r="D125" s="40"/>
      <c r="E125" s="40"/>
      <c r="F125" s="40"/>
      <c r="G125" s="83"/>
      <c r="H125" s="102">
        <v>120</v>
      </c>
      <c r="I125" s="103" t="str">
        <f t="shared" si="10"/>
        <v/>
      </c>
      <c r="J125" s="102">
        <f t="shared" si="11"/>
        <v>-1</v>
      </c>
      <c r="K125" s="102">
        <f t="shared" si="12"/>
        <v>-10</v>
      </c>
      <c r="L125" s="102"/>
      <c r="M125" s="104">
        <f t="shared" si="13"/>
        <v>0</v>
      </c>
      <c r="N125" s="104">
        <f t="shared" si="14"/>
        <v>0</v>
      </c>
      <c r="O125" s="83"/>
      <c r="P125" s="83"/>
      <c r="Q125" s="83"/>
      <c r="R125" s="83"/>
      <c r="S125" s="83"/>
    </row>
    <row r="126" spans="1:20" s="88" customFormat="1" x14ac:dyDescent="0.25">
      <c r="A126" s="97">
        <f t="shared" si="8"/>
        <v>0</v>
      </c>
      <c r="B126" s="33" t="str">
        <f t="shared" si="9"/>
        <v/>
      </c>
      <c r="C126" s="34"/>
      <c r="D126" s="34"/>
      <c r="E126" s="34"/>
      <c r="F126" s="34"/>
      <c r="G126" s="83"/>
      <c r="H126" s="98">
        <v>121</v>
      </c>
      <c r="I126" s="99" t="str">
        <f t="shared" si="10"/>
        <v/>
      </c>
      <c r="J126" s="98">
        <f t="shared" si="11"/>
        <v>-1</v>
      </c>
      <c r="K126" s="98">
        <f t="shared" si="12"/>
        <v>-10</v>
      </c>
      <c r="L126" s="98"/>
      <c r="M126" s="100">
        <f t="shared" si="13"/>
        <v>0</v>
      </c>
      <c r="N126" s="100">
        <f t="shared" si="14"/>
        <v>0</v>
      </c>
      <c r="O126" s="83"/>
      <c r="P126" s="83"/>
      <c r="Q126" s="83"/>
      <c r="R126" s="83"/>
      <c r="S126" s="112"/>
      <c r="T126" s="113"/>
    </row>
    <row r="127" spans="1:20" s="88" customFormat="1" x14ac:dyDescent="0.25">
      <c r="A127" s="101">
        <f t="shared" si="8"/>
        <v>0</v>
      </c>
      <c r="B127" s="39" t="str">
        <f t="shared" si="9"/>
        <v/>
      </c>
      <c r="C127" s="40"/>
      <c r="D127" s="40"/>
      <c r="E127" s="40"/>
      <c r="F127" s="40"/>
      <c r="G127" s="83"/>
      <c r="H127" s="102">
        <v>122</v>
      </c>
      <c r="I127" s="103" t="str">
        <f t="shared" si="10"/>
        <v/>
      </c>
      <c r="J127" s="102">
        <f t="shared" si="11"/>
        <v>-1</v>
      </c>
      <c r="K127" s="102">
        <f t="shared" si="12"/>
        <v>-10</v>
      </c>
      <c r="L127" s="102"/>
      <c r="M127" s="104">
        <f t="shared" si="13"/>
        <v>0</v>
      </c>
      <c r="N127" s="104">
        <f t="shared" si="14"/>
        <v>0</v>
      </c>
      <c r="O127" s="83"/>
      <c r="P127" s="83"/>
      <c r="Q127" s="83"/>
      <c r="R127" s="83"/>
      <c r="S127" s="83"/>
    </row>
    <row r="128" spans="1:20" s="88" customFormat="1" x14ac:dyDescent="0.25">
      <c r="A128" s="97">
        <f t="shared" si="8"/>
        <v>0</v>
      </c>
      <c r="B128" s="33" t="str">
        <f t="shared" si="9"/>
        <v/>
      </c>
      <c r="C128" s="34"/>
      <c r="D128" s="34"/>
      <c r="E128" s="34"/>
      <c r="F128" s="34"/>
      <c r="G128" s="83"/>
      <c r="H128" s="98">
        <v>123</v>
      </c>
      <c r="I128" s="99" t="str">
        <f t="shared" si="10"/>
        <v/>
      </c>
      <c r="J128" s="98">
        <f t="shared" si="11"/>
        <v>-1</v>
      </c>
      <c r="K128" s="98">
        <f t="shared" si="12"/>
        <v>-10</v>
      </c>
      <c r="L128" s="98"/>
      <c r="M128" s="100">
        <f t="shared" si="13"/>
        <v>0</v>
      </c>
      <c r="N128" s="100">
        <f t="shared" si="14"/>
        <v>0</v>
      </c>
      <c r="O128" s="83"/>
      <c r="P128" s="83"/>
      <c r="Q128" s="83"/>
      <c r="R128" s="83"/>
      <c r="S128" s="112"/>
      <c r="T128" s="113"/>
    </row>
    <row r="129" spans="1:20" s="88" customFormat="1" x14ac:dyDescent="0.25">
      <c r="A129" s="101">
        <f t="shared" si="8"/>
        <v>0</v>
      </c>
      <c r="B129" s="39" t="str">
        <f t="shared" si="9"/>
        <v/>
      </c>
      <c r="C129" s="40"/>
      <c r="D129" s="40"/>
      <c r="E129" s="40"/>
      <c r="F129" s="40"/>
      <c r="G129" s="83"/>
      <c r="H129" s="102">
        <v>124</v>
      </c>
      <c r="I129" s="103" t="str">
        <f t="shared" si="10"/>
        <v/>
      </c>
      <c r="J129" s="102">
        <f t="shared" si="11"/>
        <v>-1</v>
      </c>
      <c r="K129" s="102">
        <f t="shared" si="12"/>
        <v>-10</v>
      </c>
      <c r="L129" s="102"/>
      <c r="M129" s="104">
        <f t="shared" si="13"/>
        <v>0</v>
      </c>
      <c r="N129" s="104">
        <f t="shared" si="14"/>
        <v>0</v>
      </c>
      <c r="O129" s="83"/>
      <c r="P129" s="83"/>
      <c r="Q129" s="83"/>
      <c r="R129" s="83"/>
      <c r="S129" s="83"/>
    </row>
    <row r="130" spans="1:20" s="88" customFormat="1" x14ac:dyDescent="0.25">
      <c r="A130" s="97">
        <f t="shared" si="8"/>
        <v>0</v>
      </c>
      <c r="B130" s="33" t="str">
        <f t="shared" si="9"/>
        <v/>
      </c>
      <c r="C130" s="34"/>
      <c r="D130" s="34"/>
      <c r="E130" s="34"/>
      <c r="F130" s="34"/>
      <c r="G130" s="83"/>
      <c r="H130" s="98">
        <v>125</v>
      </c>
      <c r="I130" s="99" t="str">
        <f t="shared" si="10"/>
        <v/>
      </c>
      <c r="J130" s="98">
        <f t="shared" si="11"/>
        <v>-1</v>
      </c>
      <c r="K130" s="98">
        <f t="shared" si="12"/>
        <v>-10</v>
      </c>
      <c r="L130" s="98"/>
      <c r="M130" s="100">
        <f t="shared" si="13"/>
        <v>0</v>
      </c>
      <c r="N130" s="100">
        <f t="shared" si="14"/>
        <v>0</v>
      </c>
      <c r="O130" s="83"/>
      <c r="P130" s="83"/>
      <c r="Q130" s="83"/>
      <c r="R130" s="83"/>
      <c r="S130" s="112"/>
      <c r="T130" s="113"/>
    </row>
    <row r="131" spans="1:20" s="88" customFormat="1" x14ac:dyDescent="0.25">
      <c r="A131" s="101">
        <f t="shared" si="8"/>
        <v>0</v>
      </c>
      <c r="B131" s="39" t="str">
        <f t="shared" si="9"/>
        <v/>
      </c>
      <c r="C131" s="40"/>
      <c r="D131" s="40"/>
      <c r="E131" s="40"/>
      <c r="F131" s="40"/>
      <c r="G131" s="83"/>
      <c r="H131" s="102">
        <v>126</v>
      </c>
      <c r="I131" s="103" t="str">
        <f t="shared" si="10"/>
        <v/>
      </c>
      <c r="J131" s="102">
        <f t="shared" si="11"/>
        <v>-1</v>
      </c>
      <c r="K131" s="102">
        <f t="shared" si="12"/>
        <v>-10</v>
      </c>
      <c r="L131" s="102"/>
      <c r="M131" s="104">
        <f t="shared" si="13"/>
        <v>0</v>
      </c>
      <c r="N131" s="104">
        <f t="shared" si="14"/>
        <v>0</v>
      </c>
      <c r="O131" s="83"/>
      <c r="P131" s="83"/>
      <c r="Q131" s="83"/>
      <c r="R131" s="83"/>
      <c r="S131" s="83"/>
    </row>
    <row r="132" spans="1:20" s="88" customFormat="1" x14ac:dyDescent="0.25">
      <c r="A132" s="97">
        <f t="shared" si="8"/>
        <v>0</v>
      </c>
      <c r="B132" s="33" t="str">
        <f t="shared" si="9"/>
        <v/>
      </c>
      <c r="C132" s="34"/>
      <c r="D132" s="34"/>
      <c r="E132" s="34"/>
      <c r="F132" s="34"/>
      <c r="G132" s="83"/>
      <c r="H132" s="98">
        <v>127</v>
      </c>
      <c r="I132" s="99" t="str">
        <f t="shared" si="10"/>
        <v/>
      </c>
      <c r="J132" s="98">
        <f t="shared" si="11"/>
        <v>-1</v>
      </c>
      <c r="K132" s="98">
        <f t="shared" si="12"/>
        <v>-10</v>
      </c>
      <c r="L132" s="98"/>
      <c r="M132" s="100">
        <f t="shared" si="13"/>
        <v>0</v>
      </c>
      <c r="N132" s="100">
        <f t="shared" si="14"/>
        <v>0</v>
      </c>
      <c r="O132" s="83"/>
      <c r="P132" s="83"/>
      <c r="Q132" s="83"/>
      <c r="R132" s="83"/>
      <c r="S132" s="112"/>
      <c r="T132" s="113"/>
    </row>
    <row r="133" spans="1:20" s="88" customFormat="1" x14ac:dyDescent="0.25">
      <c r="A133" s="101">
        <f t="shared" si="8"/>
        <v>0</v>
      </c>
      <c r="B133" s="39" t="str">
        <f t="shared" si="9"/>
        <v/>
      </c>
      <c r="C133" s="40"/>
      <c r="D133" s="40"/>
      <c r="E133" s="40"/>
      <c r="F133" s="40"/>
      <c r="G133" s="83"/>
      <c r="H133" s="102">
        <v>128</v>
      </c>
      <c r="I133" s="103" t="str">
        <f t="shared" si="10"/>
        <v/>
      </c>
      <c r="J133" s="102">
        <f t="shared" si="11"/>
        <v>-1</v>
      </c>
      <c r="K133" s="102">
        <f t="shared" si="12"/>
        <v>-10</v>
      </c>
      <c r="L133" s="102"/>
      <c r="M133" s="104">
        <f t="shared" si="13"/>
        <v>0</v>
      </c>
      <c r="N133" s="104">
        <f t="shared" si="14"/>
        <v>0</v>
      </c>
      <c r="O133" s="83"/>
      <c r="P133" s="83"/>
      <c r="Q133" s="83"/>
      <c r="R133" s="83"/>
      <c r="S133" s="83"/>
    </row>
    <row r="134" spans="1:20" s="88" customFormat="1" x14ac:dyDescent="0.25">
      <c r="A134" s="97">
        <f t="shared" ref="A134:A197" si="15">N134</f>
        <v>0</v>
      </c>
      <c r="B134" s="33" t="str">
        <f t="shared" ref="B134:B147" si="16">IF(H134&gt;$H$2,"",(ROW()-5))</f>
        <v/>
      </c>
      <c r="C134" s="34"/>
      <c r="D134" s="34"/>
      <c r="E134" s="34"/>
      <c r="F134" s="34"/>
      <c r="G134" s="83"/>
      <c r="H134" s="98">
        <v>129</v>
      </c>
      <c r="I134" s="99" t="str">
        <f t="shared" ref="I134:I197" si="17">IF(H134&lt;$H$2+1,($I$2-($I$2-1)*(LOG(H134)/LOG($H$2))),"")</f>
        <v/>
      </c>
      <c r="J134" s="98">
        <f t="shared" ref="J134:J197" si="18">INT(LOG($H$2,2))-ROUNDUP(LOG(H134,2),0)+IF(OR($H$2=1,$H$2=2,$H$2=4,$H$2=8,$H$2=16,$H$2=32,$H$2=64,$H$2=128,$H$2=256),0,1)</f>
        <v>-2</v>
      </c>
      <c r="K134" s="98">
        <f t="shared" ref="K134:K197" si="19">J134*$J$2</f>
        <v>-20</v>
      </c>
      <c r="L134" s="98"/>
      <c r="M134" s="100">
        <f t="shared" ref="M134:M197" si="20">IF(I134&lt;&gt;"",K134+I134+L134,0)</f>
        <v>0</v>
      </c>
      <c r="N134" s="100">
        <f t="shared" ref="N134:N197" si="21">IF(I134&lt;&gt;"",M134*L$2,0)</f>
        <v>0</v>
      </c>
      <c r="O134" s="83"/>
      <c r="P134" s="83"/>
      <c r="Q134" s="83"/>
      <c r="R134" s="83"/>
      <c r="S134" s="112"/>
      <c r="T134" s="113"/>
    </row>
    <row r="135" spans="1:20" s="88" customFormat="1" x14ac:dyDescent="0.25">
      <c r="A135" s="101">
        <f t="shared" si="15"/>
        <v>0</v>
      </c>
      <c r="B135" s="39" t="str">
        <f t="shared" si="16"/>
        <v/>
      </c>
      <c r="C135" s="40"/>
      <c r="D135" s="40"/>
      <c r="E135" s="40"/>
      <c r="F135" s="40"/>
      <c r="G135" s="83"/>
      <c r="H135" s="102">
        <v>130</v>
      </c>
      <c r="I135" s="103" t="str">
        <f t="shared" si="17"/>
        <v/>
      </c>
      <c r="J135" s="102">
        <f t="shared" si="18"/>
        <v>-2</v>
      </c>
      <c r="K135" s="102">
        <f t="shared" si="19"/>
        <v>-20</v>
      </c>
      <c r="L135" s="102"/>
      <c r="M135" s="104">
        <f t="shared" si="20"/>
        <v>0</v>
      </c>
      <c r="N135" s="104">
        <f t="shared" si="21"/>
        <v>0</v>
      </c>
      <c r="O135" s="83"/>
      <c r="P135" s="83"/>
      <c r="Q135" s="83"/>
      <c r="R135" s="83"/>
      <c r="S135" s="83"/>
    </row>
    <row r="136" spans="1:20" s="88" customFormat="1" x14ac:dyDescent="0.25">
      <c r="A136" s="97">
        <f t="shared" si="15"/>
        <v>0</v>
      </c>
      <c r="B136" s="33" t="str">
        <f t="shared" si="16"/>
        <v/>
      </c>
      <c r="C136" s="34"/>
      <c r="D136" s="34"/>
      <c r="E136" s="34"/>
      <c r="F136" s="34"/>
      <c r="G136" s="83"/>
      <c r="H136" s="98">
        <v>131</v>
      </c>
      <c r="I136" s="99" t="str">
        <f t="shared" si="17"/>
        <v/>
      </c>
      <c r="J136" s="98">
        <f t="shared" si="18"/>
        <v>-2</v>
      </c>
      <c r="K136" s="98">
        <f t="shared" si="19"/>
        <v>-20</v>
      </c>
      <c r="L136" s="98"/>
      <c r="M136" s="100">
        <f t="shared" si="20"/>
        <v>0</v>
      </c>
      <c r="N136" s="100">
        <f t="shared" si="21"/>
        <v>0</v>
      </c>
      <c r="O136" s="83"/>
      <c r="P136" s="83"/>
      <c r="Q136" s="83"/>
      <c r="R136" s="83"/>
      <c r="S136" s="112"/>
      <c r="T136" s="113"/>
    </row>
    <row r="137" spans="1:20" s="88" customFormat="1" x14ac:dyDescent="0.25">
      <c r="A137" s="101">
        <f t="shared" si="15"/>
        <v>0</v>
      </c>
      <c r="B137" s="39" t="str">
        <f t="shared" si="16"/>
        <v/>
      </c>
      <c r="C137" s="40"/>
      <c r="D137" s="40"/>
      <c r="E137" s="40"/>
      <c r="F137" s="40"/>
      <c r="G137" s="83"/>
      <c r="H137" s="102">
        <v>132</v>
      </c>
      <c r="I137" s="103" t="str">
        <f t="shared" si="17"/>
        <v/>
      </c>
      <c r="J137" s="102">
        <f t="shared" si="18"/>
        <v>-2</v>
      </c>
      <c r="K137" s="102">
        <f t="shared" si="19"/>
        <v>-20</v>
      </c>
      <c r="L137" s="102"/>
      <c r="M137" s="104">
        <f t="shared" si="20"/>
        <v>0</v>
      </c>
      <c r="N137" s="104">
        <f t="shared" si="21"/>
        <v>0</v>
      </c>
      <c r="O137" s="83"/>
      <c r="P137" s="83"/>
      <c r="Q137" s="83"/>
      <c r="R137" s="83"/>
      <c r="S137" s="83"/>
    </row>
    <row r="138" spans="1:20" s="88" customFormat="1" x14ac:dyDescent="0.25">
      <c r="A138" s="97">
        <f t="shared" si="15"/>
        <v>0</v>
      </c>
      <c r="B138" s="33" t="str">
        <f t="shared" si="16"/>
        <v/>
      </c>
      <c r="C138" s="34"/>
      <c r="D138" s="34"/>
      <c r="E138" s="34"/>
      <c r="F138" s="34"/>
      <c r="G138" s="83"/>
      <c r="H138" s="98">
        <v>133</v>
      </c>
      <c r="I138" s="99" t="str">
        <f t="shared" si="17"/>
        <v/>
      </c>
      <c r="J138" s="98">
        <f t="shared" si="18"/>
        <v>-2</v>
      </c>
      <c r="K138" s="98">
        <f t="shared" si="19"/>
        <v>-20</v>
      </c>
      <c r="L138" s="98"/>
      <c r="M138" s="100">
        <f t="shared" si="20"/>
        <v>0</v>
      </c>
      <c r="N138" s="100">
        <f t="shared" si="21"/>
        <v>0</v>
      </c>
      <c r="O138" s="83"/>
      <c r="P138" s="83"/>
      <c r="Q138" s="83"/>
      <c r="R138" s="83"/>
      <c r="S138" s="112"/>
      <c r="T138" s="113"/>
    </row>
    <row r="139" spans="1:20" s="88" customFormat="1" x14ac:dyDescent="0.25">
      <c r="A139" s="101">
        <f t="shared" si="15"/>
        <v>0</v>
      </c>
      <c r="B139" s="39" t="str">
        <f t="shared" si="16"/>
        <v/>
      </c>
      <c r="C139" s="40"/>
      <c r="D139" s="40"/>
      <c r="E139" s="40"/>
      <c r="F139" s="40"/>
      <c r="G139" s="83"/>
      <c r="H139" s="102">
        <v>134</v>
      </c>
      <c r="I139" s="103" t="str">
        <f t="shared" si="17"/>
        <v/>
      </c>
      <c r="J139" s="102">
        <f t="shared" si="18"/>
        <v>-2</v>
      </c>
      <c r="K139" s="102">
        <f t="shared" si="19"/>
        <v>-20</v>
      </c>
      <c r="L139" s="102"/>
      <c r="M139" s="104">
        <f t="shared" si="20"/>
        <v>0</v>
      </c>
      <c r="N139" s="104">
        <f t="shared" si="21"/>
        <v>0</v>
      </c>
      <c r="O139" s="83"/>
      <c r="P139" s="83"/>
      <c r="Q139" s="83"/>
      <c r="R139" s="83"/>
      <c r="S139" s="83"/>
    </row>
    <row r="140" spans="1:20" s="88" customFormat="1" x14ac:dyDescent="0.25">
      <c r="A140" s="97">
        <f t="shared" si="15"/>
        <v>0</v>
      </c>
      <c r="B140" s="33" t="str">
        <f t="shared" si="16"/>
        <v/>
      </c>
      <c r="C140" s="34"/>
      <c r="D140" s="34"/>
      <c r="E140" s="34"/>
      <c r="F140" s="34"/>
      <c r="G140" s="83"/>
      <c r="H140" s="98">
        <v>135</v>
      </c>
      <c r="I140" s="99" t="str">
        <f t="shared" si="17"/>
        <v/>
      </c>
      <c r="J140" s="98">
        <f t="shared" si="18"/>
        <v>-2</v>
      </c>
      <c r="K140" s="98">
        <f t="shared" si="19"/>
        <v>-20</v>
      </c>
      <c r="L140" s="98"/>
      <c r="M140" s="100">
        <f t="shared" si="20"/>
        <v>0</v>
      </c>
      <c r="N140" s="100">
        <f t="shared" si="21"/>
        <v>0</v>
      </c>
      <c r="O140" s="83"/>
      <c r="P140" s="83"/>
      <c r="Q140" s="83"/>
      <c r="R140" s="83"/>
      <c r="S140" s="112"/>
      <c r="T140" s="113"/>
    </row>
    <row r="141" spans="1:20" s="88" customFormat="1" x14ac:dyDescent="0.25">
      <c r="A141" s="101">
        <f t="shared" si="15"/>
        <v>0</v>
      </c>
      <c r="B141" s="39" t="str">
        <f t="shared" si="16"/>
        <v/>
      </c>
      <c r="C141" s="40"/>
      <c r="D141" s="40"/>
      <c r="E141" s="40"/>
      <c r="F141" s="40"/>
      <c r="G141" s="83"/>
      <c r="H141" s="102">
        <v>136</v>
      </c>
      <c r="I141" s="103" t="str">
        <f t="shared" si="17"/>
        <v/>
      </c>
      <c r="J141" s="102">
        <f t="shared" si="18"/>
        <v>-2</v>
      </c>
      <c r="K141" s="102">
        <f t="shared" si="19"/>
        <v>-20</v>
      </c>
      <c r="L141" s="102"/>
      <c r="M141" s="104">
        <f t="shared" si="20"/>
        <v>0</v>
      </c>
      <c r="N141" s="104">
        <f t="shared" si="21"/>
        <v>0</v>
      </c>
      <c r="O141" s="83"/>
      <c r="P141" s="83"/>
      <c r="Q141" s="83"/>
      <c r="R141" s="83"/>
      <c r="S141" s="83"/>
    </row>
    <row r="142" spans="1:20" s="88" customFormat="1" x14ac:dyDescent="0.25">
      <c r="A142" s="97">
        <f t="shared" si="15"/>
        <v>0</v>
      </c>
      <c r="B142" s="33" t="str">
        <f t="shared" si="16"/>
        <v/>
      </c>
      <c r="C142" s="34"/>
      <c r="D142" s="34"/>
      <c r="E142" s="34"/>
      <c r="F142" s="34"/>
      <c r="G142" s="83"/>
      <c r="H142" s="98">
        <v>137</v>
      </c>
      <c r="I142" s="99" t="str">
        <f t="shared" si="17"/>
        <v/>
      </c>
      <c r="J142" s="98">
        <f t="shared" si="18"/>
        <v>-2</v>
      </c>
      <c r="K142" s="98">
        <f t="shared" si="19"/>
        <v>-20</v>
      </c>
      <c r="L142" s="98"/>
      <c r="M142" s="100">
        <f t="shared" si="20"/>
        <v>0</v>
      </c>
      <c r="N142" s="100">
        <f t="shared" si="21"/>
        <v>0</v>
      </c>
      <c r="O142" s="83"/>
      <c r="P142" s="83"/>
      <c r="Q142" s="83"/>
      <c r="R142" s="83"/>
      <c r="S142" s="112"/>
      <c r="T142" s="113"/>
    </row>
    <row r="143" spans="1:20" s="88" customFormat="1" x14ac:dyDescent="0.25">
      <c r="A143" s="101">
        <f t="shared" si="15"/>
        <v>0</v>
      </c>
      <c r="B143" s="39" t="str">
        <f t="shared" si="16"/>
        <v/>
      </c>
      <c r="C143" s="40"/>
      <c r="D143" s="40"/>
      <c r="E143" s="40"/>
      <c r="F143" s="40"/>
      <c r="G143" s="83"/>
      <c r="H143" s="102">
        <v>138</v>
      </c>
      <c r="I143" s="103" t="str">
        <f t="shared" si="17"/>
        <v/>
      </c>
      <c r="J143" s="102">
        <f t="shared" si="18"/>
        <v>-2</v>
      </c>
      <c r="K143" s="102">
        <f t="shared" si="19"/>
        <v>-20</v>
      </c>
      <c r="L143" s="102"/>
      <c r="M143" s="104">
        <f t="shared" si="20"/>
        <v>0</v>
      </c>
      <c r="N143" s="104">
        <f t="shared" si="21"/>
        <v>0</v>
      </c>
      <c r="O143" s="83"/>
      <c r="P143" s="83"/>
      <c r="Q143" s="83"/>
      <c r="R143" s="83"/>
      <c r="S143" s="83"/>
    </row>
    <row r="144" spans="1:20" s="88" customFormat="1" x14ac:dyDescent="0.25">
      <c r="A144" s="97">
        <f t="shared" si="15"/>
        <v>0</v>
      </c>
      <c r="B144" s="33" t="str">
        <f t="shared" si="16"/>
        <v/>
      </c>
      <c r="C144" s="34"/>
      <c r="D144" s="34"/>
      <c r="E144" s="34"/>
      <c r="F144" s="34"/>
      <c r="G144" s="83"/>
      <c r="H144" s="98">
        <v>139</v>
      </c>
      <c r="I144" s="99" t="str">
        <f t="shared" si="17"/>
        <v/>
      </c>
      <c r="J144" s="98">
        <f t="shared" si="18"/>
        <v>-2</v>
      </c>
      <c r="K144" s="98">
        <f t="shared" si="19"/>
        <v>-20</v>
      </c>
      <c r="L144" s="98"/>
      <c r="M144" s="100">
        <f t="shared" si="20"/>
        <v>0</v>
      </c>
      <c r="N144" s="100">
        <f t="shared" si="21"/>
        <v>0</v>
      </c>
      <c r="O144" s="83"/>
      <c r="P144" s="83"/>
      <c r="Q144" s="83"/>
      <c r="R144" s="83"/>
      <c r="S144" s="112"/>
      <c r="T144" s="113"/>
    </row>
    <row r="145" spans="1:20" s="88" customFormat="1" x14ac:dyDescent="0.25">
      <c r="A145" s="101">
        <f t="shared" si="15"/>
        <v>0</v>
      </c>
      <c r="B145" s="39" t="str">
        <f t="shared" si="16"/>
        <v/>
      </c>
      <c r="C145" s="40"/>
      <c r="D145" s="40"/>
      <c r="E145" s="40"/>
      <c r="F145" s="40"/>
      <c r="G145" s="83"/>
      <c r="H145" s="102">
        <v>140</v>
      </c>
      <c r="I145" s="103" t="str">
        <f t="shared" si="17"/>
        <v/>
      </c>
      <c r="J145" s="102">
        <f t="shared" si="18"/>
        <v>-2</v>
      </c>
      <c r="K145" s="102">
        <f t="shared" si="19"/>
        <v>-20</v>
      </c>
      <c r="L145" s="102"/>
      <c r="M145" s="104">
        <f t="shared" si="20"/>
        <v>0</v>
      </c>
      <c r="N145" s="104">
        <f t="shared" si="21"/>
        <v>0</v>
      </c>
      <c r="O145" s="83"/>
      <c r="P145" s="83"/>
      <c r="Q145" s="83"/>
      <c r="R145" s="83"/>
      <c r="S145" s="83"/>
    </row>
    <row r="146" spans="1:20" s="88" customFormat="1" x14ac:dyDescent="0.25">
      <c r="A146" s="97">
        <f t="shared" si="15"/>
        <v>0</v>
      </c>
      <c r="B146" s="33" t="str">
        <f t="shared" si="16"/>
        <v/>
      </c>
      <c r="C146" s="34"/>
      <c r="D146" s="34"/>
      <c r="E146" s="34"/>
      <c r="F146" s="34"/>
      <c r="G146" s="83"/>
      <c r="H146" s="98">
        <v>141</v>
      </c>
      <c r="I146" s="99" t="str">
        <f t="shared" si="17"/>
        <v/>
      </c>
      <c r="J146" s="98">
        <f t="shared" si="18"/>
        <v>-2</v>
      </c>
      <c r="K146" s="98">
        <f t="shared" si="19"/>
        <v>-20</v>
      </c>
      <c r="L146" s="98"/>
      <c r="M146" s="100">
        <f t="shared" si="20"/>
        <v>0</v>
      </c>
      <c r="N146" s="100">
        <f t="shared" si="21"/>
        <v>0</v>
      </c>
      <c r="O146" s="83"/>
      <c r="P146" s="83"/>
      <c r="Q146" s="83"/>
      <c r="R146" s="83"/>
      <c r="S146" s="112"/>
      <c r="T146" s="113"/>
    </row>
    <row r="147" spans="1:20" s="88" customFormat="1" x14ac:dyDescent="0.25">
      <c r="A147" s="101">
        <f t="shared" si="15"/>
        <v>0</v>
      </c>
      <c r="B147" s="39" t="str">
        <f t="shared" si="16"/>
        <v/>
      </c>
      <c r="C147" s="40"/>
      <c r="D147" s="40"/>
      <c r="E147" s="40"/>
      <c r="F147" s="40"/>
      <c r="G147" s="83"/>
      <c r="H147" s="102">
        <v>142</v>
      </c>
      <c r="I147" s="103" t="str">
        <f t="shared" si="17"/>
        <v/>
      </c>
      <c r="J147" s="102">
        <f t="shared" si="18"/>
        <v>-2</v>
      </c>
      <c r="K147" s="102">
        <f t="shared" si="19"/>
        <v>-20</v>
      </c>
      <c r="L147" s="102"/>
      <c r="M147" s="104">
        <f t="shared" si="20"/>
        <v>0</v>
      </c>
      <c r="N147" s="104">
        <f t="shared" si="21"/>
        <v>0</v>
      </c>
      <c r="O147" s="83"/>
      <c r="P147" s="83"/>
      <c r="Q147" s="83"/>
      <c r="R147" s="83"/>
      <c r="S147" s="83"/>
    </row>
    <row r="148" spans="1:20" s="88" customFormat="1" x14ac:dyDescent="0.25">
      <c r="A148" s="97">
        <f t="shared" si="15"/>
        <v>0</v>
      </c>
      <c r="B148" s="33" t="str">
        <f t="shared" ref="B148:B201" si="22">IF(H148&gt;$H$2,"",(ROW()-5))</f>
        <v/>
      </c>
      <c r="C148" s="34"/>
      <c r="D148" s="34"/>
      <c r="E148" s="34"/>
      <c r="F148" s="34"/>
      <c r="G148" s="83"/>
      <c r="H148" s="98">
        <v>143</v>
      </c>
      <c r="I148" s="99" t="str">
        <f t="shared" si="17"/>
        <v/>
      </c>
      <c r="J148" s="98">
        <f t="shared" si="18"/>
        <v>-2</v>
      </c>
      <c r="K148" s="98">
        <f t="shared" si="19"/>
        <v>-20</v>
      </c>
      <c r="L148" s="98"/>
      <c r="M148" s="100">
        <f t="shared" si="20"/>
        <v>0</v>
      </c>
      <c r="N148" s="100">
        <f t="shared" si="21"/>
        <v>0</v>
      </c>
      <c r="O148" s="83"/>
      <c r="P148" s="83"/>
      <c r="Q148" s="83"/>
      <c r="R148" s="83"/>
      <c r="S148" s="112"/>
      <c r="T148" s="113"/>
    </row>
    <row r="149" spans="1:20" s="88" customFormat="1" x14ac:dyDescent="0.25">
      <c r="A149" s="101">
        <f t="shared" si="15"/>
        <v>0</v>
      </c>
      <c r="B149" s="39" t="str">
        <f t="shared" si="22"/>
        <v/>
      </c>
      <c r="C149" s="40"/>
      <c r="D149" s="40"/>
      <c r="E149" s="40"/>
      <c r="F149" s="40"/>
      <c r="G149" s="83"/>
      <c r="H149" s="102">
        <v>144</v>
      </c>
      <c r="I149" s="103" t="str">
        <f t="shared" si="17"/>
        <v/>
      </c>
      <c r="J149" s="102">
        <f t="shared" si="18"/>
        <v>-2</v>
      </c>
      <c r="K149" s="102">
        <f t="shared" si="19"/>
        <v>-20</v>
      </c>
      <c r="L149" s="102"/>
      <c r="M149" s="104">
        <f t="shared" si="20"/>
        <v>0</v>
      </c>
      <c r="N149" s="104">
        <f t="shared" si="21"/>
        <v>0</v>
      </c>
      <c r="O149" s="83"/>
      <c r="P149" s="83"/>
      <c r="Q149" s="83"/>
      <c r="R149" s="83"/>
      <c r="S149" s="83"/>
    </row>
    <row r="150" spans="1:20" s="88" customFormat="1" x14ac:dyDescent="0.25">
      <c r="A150" s="97">
        <f t="shared" si="15"/>
        <v>0</v>
      </c>
      <c r="B150" s="33" t="str">
        <f t="shared" si="22"/>
        <v/>
      </c>
      <c r="C150" s="34"/>
      <c r="D150" s="34"/>
      <c r="E150" s="34"/>
      <c r="F150" s="34"/>
      <c r="G150" s="83"/>
      <c r="H150" s="98">
        <v>145</v>
      </c>
      <c r="I150" s="99" t="str">
        <f t="shared" si="17"/>
        <v/>
      </c>
      <c r="J150" s="98">
        <f t="shared" si="18"/>
        <v>-2</v>
      </c>
      <c r="K150" s="98">
        <f t="shared" si="19"/>
        <v>-20</v>
      </c>
      <c r="L150" s="98"/>
      <c r="M150" s="100">
        <f t="shared" si="20"/>
        <v>0</v>
      </c>
      <c r="N150" s="100">
        <f t="shared" si="21"/>
        <v>0</v>
      </c>
      <c r="O150" s="83"/>
      <c r="P150" s="83"/>
      <c r="Q150" s="83"/>
      <c r="R150" s="83"/>
      <c r="S150" s="112"/>
      <c r="T150" s="113"/>
    </row>
    <row r="151" spans="1:20" s="88" customFormat="1" x14ac:dyDescent="0.25">
      <c r="A151" s="101">
        <f t="shared" si="15"/>
        <v>0</v>
      </c>
      <c r="B151" s="39" t="str">
        <f t="shared" si="22"/>
        <v/>
      </c>
      <c r="C151" s="40"/>
      <c r="D151" s="40"/>
      <c r="E151" s="40"/>
      <c r="F151" s="40"/>
      <c r="G151" s="83"/>
      <c r="H151" s="102">
        <v>146</v>
      </c>
      <c r="I151" s="103" t="str">
        <f t="shared" si="17"/>
        <v/>
      </c>
      <c r="J151" s="102">
        <f t="shared" si="18"/>
        <v>-2</v>
      </c>
      <c r="K151" s="102">
        <f t="shared" si="19"/>
        <v>-20</v>
      </c>
      <c r="L151" s="102"/>
      <c r="M151" s="104">
        <f t="shared" si="20"/>
        <v>0</v>
      </c>
      <c r="N151" s="104">
        <f t="shared" si="21"/>
        <v>0</v>
      </c>
      <c r="O151" s="83"/>
      <c r="P151" s="83"/>
      <c r="Q151" s="83"/>
      <c r="R151" s="83"/>
      <c r="S151" s="83"/>
    </row>
    <row r="152" spans="1:20" s="88" customFormat="1" x14ac:dyDescent="0.25">
      <c r="A152" s="97">
        <f t="shared" si="15"/>
        <v>0</v>
      </c>
      <c r="B152" s="33" t="str">
        <f t="shared" si="22"/>
        <v/>
      </c>
      <c r="C152" s="34"/>
      <c r="D152" s="34"/>
      <c r="E152" s="34"/>
      <c r="F152" s="34"/>
      <c r="G152" s="83"/>
      <c r="H152" s="98">
        <v>147</v>
      </c>
      <c r="I152" s="99" t="str">
        <f t="shared" si="17"/>
        <v/>
      </c>
      <c r="J152" s="98">
        <f t="shared" si="18"/>
        <v>-2</v>
      </c>
      <c r="K152" s="98">
        <f t="shared" si="19"/>
        <v>-20</v>
      </c>
      <c r="L152" s="98"/>
      <c r="M152" s="100">
        <f t="shared" si="20"/>
        <v>0</v>
      </c>
      <c r="N152" s="100">
        <f t="shared" si="21"/>
        <v>0</v>
      </c>
      <c r="O152" s="83"/>
      <c r="P152" s="83"/>
      <c r="Q152" s="83"/>
      <c r="R152" s="83"/>
      <c r="S152" s="112"/>
      <c r="T152" s="113"/>
    </row>
    <row r="153" spans="1:20" s="88" customFormat="1" x14ac:dyDescent="0.25">
      <c r="A153" s="101">
        <f t="shared" si="15"/>
        <v>0</v>
      </c>
      <c r="B153" s="39" t="str">
        <f t="shared" si="22"/>
        <v/>
      </c>
      <c r="C153" s="40"/>
      <c r="D153" s="40"/>
      <c r="E153" s="40"/>
      <c r="F153" s="40"/>
      <c r="G153" s="83"/>
      <c r="H153" s="102">
        <v>148</v>
      </c>
      <c r="I153" s="103" t="str">
        <f t="shared" si="17"/>
        <v/>
      </c>
      <c r="J153" s="102">
        <f t="shared" si="18"/>
        <v>-2</v>
      </c>
      <c r="K153" s="102">
        <f t="shared" si="19"/>
        <v>-20</v>
      </c>
      <c r="L153" s="102"/>
      <c r="M153" s="104">
        <f t="shared" si="20"/>
        <v>0</v>
      </c>
      <c r="N153" s="104">
        <f t="shared" si="21"/>
        <v>0</v>
      </c>
      <c r="O153" s="83"/>
      <c r="P153" s="83"/>
      <c r="Q153" s="83"/>
      <c r="R153" s="83"/>
      <c r="S153" s="83"/>
    </row>
    <row r="154" spans="1:20" s="88" customFormat="1" x14ac:dyDescent="0.25">
      <c r="A154" s="97">
        <f t="shared" si="15"/>
        <v>0</v>
      </c>
      <c r="B154" s="33" t="str">
        <f t="shared" si="22"/>
        <v/>
      </c>
      <c r="C154" s="34"/>
      <c r="D154" s="34"/>
      <c r="E154" s="34"/>
      <c r="F154" s="34"/>
      <c r="G154" s="83"/>
      <c r="H154" s="98">
        <v>149</v>
      </c>
      <c r="I154" s="99" t="str">
        <f t="shared" si="17"/>
        <v/>
      </c>
      <c r="J154" s="98">
        <f t="shared" si="18"/>
        <v>-2</v>
      </c>
      <c r="K154" s="98">
        <f t="shared" si="19"/>
        <v>-20</v>
      </c>
      <c r="L154" s="98"/>
      <c r="M154" s="100">
        <f t="shared" si="20"/>
        <v>0</v>
      </c>
      <c r="N154" s="100">
        <f t="shared" si="21"/>
        <v>0</v>
      </c>
      <c r="O154" s="83"/>
      <c r="P154" s="83"/>
      <c r="Q154" s="83"/>
      <c r="R154" s="83"/>
      <c r="S154" s="112"/>
      <c r="T154" s="113"/>
    </row>
    <row r="155" spans="1:20" s="88" customFormat="1" x14ac:dyDescent="0.25">
      <c r="A155" s="101">
        <f t="shared" si="15"/>
        <v>0</v>
      </c>
      <c r="B155" s="39" t="str">
        <f t="shared" si="22"/>
        <v/>
      </c>
      <c r="C155" s="40"/>
      <c r="D155" s="40"/>
      <c r="E155" s="40"/>
      <c r="F155" s="40"/>
      <c r="G155" s="83"/>
      <c r="H155" s="102">
        <v>150</v>
      </c>
      <c r="I155" s="103" t="str">
        <f t="shared" si="17"/>
        <v/>
      </c>
      <c r="J155" s="102">
        <f t="shared" si="18"/>
        <v>-2</v>
      </c>
      <c r="K155" s="102">
        <f t="shared" si="19"/>
        <v>-20</v>
      </c>
      <c r="L155" s="102"/>
      <c r="M155" s="104">
        <f t="shared" si="20"/>
        <v>0</v>
      </c>
      <c r="N155" s="104">
        <f t="shared" si="21"/>
        <v>0</v>
      </c>
      <c r="O155" s="83"/>
      <c r="P155" s="83"/>
      <c r="Q155" s="83"/>
      <c r="R155" s="83"/>
      <c r="S155" s="83"/>
    </row>
    <row r="156" spans="1:20" s="88" customFormat="1" x14ac:dyDescent="0.25">
      <c r="A156" s="97">
        <f t="shared" si="15"/>
        <v>0</v>
      </c>
      <c r="B156" s="33" t="str">
        <f t="shared" si="22"/>
        <v/>
      </c>
      <c r="C156" s="34"/>
      <c r="D156" s="34"/>
      <c r="E156" s="34"/>
      <c r="F156" s="34"/>
      <c r="G156" s="83"/>
      <c r="H156" s="98">
        <v>151</v>
      </c>
      <c r="I156" s="99" t="str">
        <f t="shared" si="17"/>
        <v/>
      </c>
      <c r="J156" s="98">
        <f t="shared" si="18"/>
        <v>-2</v>
      </c>
      <c r="K156" s="98">
        <f t="shared" si="19"/>
        <v>-20</v>
      </c>
      <c r="L156" s="98"/>
      <c r="M156" s="100">
        <f t="shared" si="20"/>
        <v>0</v>
      </c>
      <c r="N156" s="100">
        <f t="shared" si="21"/>
        <v>0</v>
      </c>
      <c r="O156" s="83"/>
      <c r="P156" s="83"/>
      <c r="Q156" s="83"/>
      <c r="R156" s="83"/>
      <c r="S156" s="112"/>
      <c r="T156" s="113"/>
    </row>
    <row r="157" spans="1:20" s="88" customFormat="1" x14ac:dyDescent="0.25">
      <c r="A157" s="101">
        <f t="shared" si="15"/>
        <v>0</v>
      </c>
      <c r="B157" s="39" t="str">
        <f t="shared" si="22"/>
        <v/>
      </c>
      <c r="C157" s="40"/>
      <c r="D157" s="40"/>
      <c r="E157" s="40"/>
      <c r="F157" s="40"/>
      <c r="G157" s="83"/>
      <c r="H157" s="102">
        <v>152</v>
      </c>
      <c r="I157" s="103" t="str">
        <f t="shared" si="17"/>
        <v/>
      </c>
      <c r="J157" s="102">
        <f t="shared" si="18"/>
        <v>-2</v>
      </c>
      <c r="K157" s="102">
        <f t="shared" si="19"/>
        <v>-20</v>
      </c>
      <c r="L157" s="102"/>
      <c r="M157" s="104">
        <f t="shared" si="20"/>
        <v>0</v>
      </c>
      <c r="N157" s="104">
        <f t="shared" si="21"/>
        <v>0</v>
      </c>
      <c r="O157" s="83"/>
      <c r="P157" s="83"/>
      <c r="Q157" s="83"/>
      <c r="R157" s="83"/>
      <c r="S157" s="83"/>
    </row>
    <row r="158" spans="1:20" s="88" customFormat="1" x14ac:dyDescent="0.25">
      <c r="A158" s="97">
        <f t="shared" si="15"/>
        <v>0</v>
      </c>
      <c r="B158" s="33" t="str">
        <f t="shared" si="22"/>
        <v/>
      </c>
      <c r="C158" s="34"/>
      <c r="D158" s="34"/>
      <c r="E158" s="34"/>
      <c r="F158" s="34"/>
      <c r="G158" s="83"/>
      <c r="H158" s="98">
        <v>153</v>
      </c>
      <c r="I158" s="99" t="str">
        <f t="shared" si="17"/>
        <v/>
      </c>
      <c r="J158" s="98">
        <f t="shared" si="18"/>
        <v>-2</v>
      </c>
      <c r="K158" s="98">
        <f t="shared" si="19"/>
        <v>-20</v>
      </c>
      <c r="L158" s="98"/>
      <c r="M158" s="100">
        <f t="shared" si="20"/>
        <v>0</v>
      </c>
      <c r="N158" s="100">
        <f t="shared" si="21"/>
        <v>0</v>
      </c>
      <c r="O158" s="83"/>
      <c r="P158" s="83"/>
      <c r="Q158" s="83"/>
      <c r="R158" s="83"/>
      <c r="S158" s="112"/>
      <c r="T158" s="113"/>
    </row>
    <row r="159" spans="1:20" s="88" customFormat="1" x14ac:dyDescent="0.25">
      <c r="A159" s="101">
        <f t="shared" si="15"/>
        <v>0</v>
      </c>
      <c r="B159" s="39" t="str">
        <f t="shared" si="22"/>
        <v/>
      </c>
      <c r="C159" s="40"/>
      <c r="D159" s="40"/>
      <c r="E159" s="40"/>
      <c r="F159" s="40"/>
      <c r="G159" s="83"/>
      <c r="H159" s="102">
        <v>154</v>
      </c>
      <c r="I159" s="103" t="str">
        <f t="shared" si="17"/>
        <v/>
      </c>
      <c r="J159" s="102">
        <f t="shared" si="18"/>
        <v>-2</v>
      </c>
      <c r="K159" s="102">
        <f t="shared" si="19"/>
        <v>-20</v>
      </c>
      <c r="L159" s="102"/>
      <c r="M159" s="104">
        <f t="shared" si="20"/>
        <v>0</v>
      </c>
      <c r="N159" s="104">
        <f t="shared" si="21"/>
        <v>0</v>
      </c>
      <c r="O159" s="83"/>
      <c r="P159" s="83"/>
      <c r="Q159" s="83"/>
      <c r="R159" s="83"/>
      <c r="S159" s="83"/>
    </row>
    <row r="160" spans="1:20" s="88" customFormat="1" x14ac:dyDescent="0.25">
      <c r="A160" s="97">
        <f t="shared" si="15"/>
        <v>0</v>
      </c>
      <c r="B160" s="33" t="str">
        <f t="shared" si="22"/>
        <v/>
      </c>
      <c r="C160" s="34"/>
      <c r="D160" s="34"/>
      <c r="E160" s="34"/>
      <c r="F160" s="34"/>
      <c r="G160" s="83"/>
      <c r="H160" s="98">
        <v>155</v>
      </c>
      <c r="I160" s="99" t="str">
        <f t="shared" si="17"/>
        <v/>
      </c>
      <c r="J160" s="98">
        <f t="shared" si="18"/>
        <v>-2</v>
      </c>
      <c r="K160" s="98">
        <f t="shared" si="19"/>
        <v>-20</v>
      </c>
      <c r="L160" s="98"/>
      <c r="M160" s="100">
        <f t="shared" si="20"/>
        <v>0</v>
      </c>
      <c r="N160" s="100">
        <f t="shared" si="21"/>
        <v>0</v>
      </c>
      <c r="O160" s="83"/>
      <c r="P160" s="83"/>
      <c r="Q160" s="83"/>
      <c r="R160" s="83"/>
      <c r="S160" s="112"/>
      <c r="T160" s="113"/>
    </row>
    <row r="161" spans="1:20" s="88" customFormat="1" x14ac:dyDescent="0.25">
      <c r="A161" s="101">
        <f t="shared" si="15"/>
        <v>0</v>
      </c>
      <c r="B161" s="39" t="str">
        <f t="shared" si="22"/>
        <v/>
      </c>
      <c r="C161" s="40"/>
      <c r="D161" s="40"/>
      <c r="E161" s="40"/>
      <c r="F161" s="40"/>
      <c r="G161" s="83"/>
      <c r="H161" s="102">
        <v>156</v>
      </c>
      <c r="I161" s="103" t="str">
        <f t="shared" si="17"/>
        <v/>
      </c>
      <c r="J161" s="102">
        <f t="shared" si="18"/>
        <v>-2</v>
      </c>
      <c r="K161" s="102">
        <f t="shared" si="19"/>
        <v>-20</v>
      </c>
      <c r="L161" s="102"/>
      <c r="M161" s="104">
        <f t="shared" si="20"/>
        <v>0</v>
      </c>
      <c r="N161" s="104">
        <f t="shared" si="21"/>
        <v>0</v>
      </c>
      <c r="O161" s="83"/>
      <c r="P161" s="83"/>
      <c r="Q161" s="83"/>
      <c r="R161" s="83"/>
      <c r="S161" s="83"/>
    </row>
    <row r="162" spans="1:20" s="88" customFormat="1" x14ac:dyDescent="0.25">
      <c r="A162" s="97">
        <f t="shared" si="15"/>
        <v>0</v>
      </c>
      <c r="B162" s="33" t="str">
        <f t="shared" si="22"/>
        <v/>
      </c>
      <c r="C162" s="34"/>
      <c r="D162" s="34"/>
      <c r="E162" s="34"/>
      <c r="F162" s="34"/>
      <c r="G162" s="83"/>
      <c r="H162" s="98">
        <v>157</v>
      </c>
      <c r="I162" s="99" t="str">
        <f t="shared" si="17"/>
        <v/>
      </c>
      <c r="J162" s="98">
        <f t="shared" si="18"/>
        <v>-2</v>
      </c>
      <c r="K162" s="98">
        <f t="shared" si="19"/>
        <v>-20</v>
      </c>
      <c r="L162" s="98"/>
      <c r="M162" s="100">
        <f t="shared" si="20"/>
        <v>0</v>
      </c>
      <c r="N162" s="100">
        <f t="shared" si="21"/>
        <v>0</v>
      </c>
      <c r="O162" s="83"/>
      <c r="P162" s="83"/>
      <c r="Q162" s="83"/>
      <c r="R162" s="83"/>
      <c r="S162" s="112"/>
      <c r="T162" s="113"/>
    </row>
    <row r="163" spans="1:20" s="88" customFormat="1" x14ac:dyDescent="0.25">
      <c r="A163" s="101">
        <f t="shared" si="15"/>
        <v>0</v>
      </c>
      <c r="B163" s="39" t="str">
        <f t="shared" si="22"/>
        <v/>
      </c>
      <c r="C163" s="40"/>
      <c r="D163" s="40"/>
      <c r="E163" s="40"/>
      <c r="F163" s="40"/>
      <c r="G163" s="83"/>
      <c r="H163" s="102">
        <v>158</v>
      </c>
      <c r="I163" s="103" t="str">
        <f t="shared" si="17"/>
        <v/>
      </c>
      <c r="J163" s="102">
        <f t="shared" si="18"/>
        <v>-2</v>
      </c>
      <c r="K163" s="102">
        <f t="shared" si="19"/>
        <v>-20</v>
      </c>
      <c r="L163" s="102"/>
      <c r="M163" s="104">
        <f t="shared" si="20"/>
        <v>0</v>
      </c>
      <c r="N163" s="104">
        <f t="shared" si="21"/>
        <v>0</v>
      </c>
      <c r="O163" s="83"/>
      <c r="P163" s="83"/>
      <c r="Q163" s="83"/>
      <c r="R163" s="83"/>
      <c r="S163" s="83"/>
    </row>
    <row r="164" spans="1:20" s="88" customFormat="1" x14ac:dyDescent="0.25">
      <c r="A164" s="97">
        <f t="shared" si="15"/>
        <v>0</v>
      </c>
      <c r="B164" s="33" t="str">
        <f t="shared" si="22"/>
        <v/>
      </c>
      <c r="C164" s="34"/>
      <c r="D164" s="34"/>
      <c r="E164" s="34"/>
      <c r="F164" s="34"/>
      <c r="G164" s="83"/>
      <c r="H164" s="98">
        <v>159</v>
      </c>
      <c r="I164" s="99" t="str">
        <f t="shared" si="17"/>
        <v/>
      </c>
      <c r="J164" s="98">
        <f t="shared" si="18"/>
        <v>-2</v>
      </c>
      <c r="K164" s="98">
        <f t="shared" si="19"/>
        <v>-20</v>
      </c>
      <c r="L164" s="98"/>
      <c r="M164" s="100">
        <f t="shared" si="20"/>
        <v>0</v>
      </c>
      <c r="N164" s="100">
        <f t="shared" si="21"/>
        <v>0</v>
      </c>
      <c r="O164" s="83"/>
      <c r="P164" s="83"/>
      <c r="Q164" s="83"/>
      <c r="R164" s="83"/>
      <c r="S164" s="112"/>
      <c r="T164" s="113"/>
    </row>
    <row r="165" spans="1:20" s="88" customFormat="1" x14ac:dyDescent="0.25">
      <c r="A165" s="101">
        <f t="shared" si="15"/>
        <v>0</v>
      </c>
      <c r="B165" s="39" t="str">
        <f t="shared" si="22"/>
        <v/>
      </c>
      <c r="C165" s="40"/>
      <c r="D165" s="40"/>
      <c r="E165" s="40"/>
      <c r="F165" s="40"/>
      <c r="G165" s="83"/>
      <c r="H165" s="102">
        <v>160</v>
      </c>
      <c r="I165" s="103" t="str">
        <f t="shared" si="17"/>
        <v/>
      </c>
      <c r="J165" s="102">
        <f t="shared" si="18"/>
        <v>-2</v>
      </c>
      <c r="K165" s="102">
        <f t="shared" si="19"/>
        <v>-20</v>
      </c>
      <c r="L165" s="102"/>
      <c r="M165" s="104">
        <f t="shared" si="20"/>
        <v>0</v>
      </c>
      <c r="N165" s="104">
        <f t="shared" si="21"/>
        <v>0</v>
      </c>
      <c r="O165" s="83"/>
      <c r="P165" s="83"/>
      <c r="Q165" s="83"/>
      <c r="R165" s="83"/>
      <c r="S165" s="83"/>
    </row>
    <row r="166" spans="1:20" s="88" customFormat="1" x14ac:dyDescent="0.25">
      <c r="A166" s="97">
        <f t="shared" si="15"/>
        <v>0</v>
      </c>
      <c r="B166" s="33" t="str">
        <f t="shared" si="22"/>
        <v/>
      </c>
      <c r="C166" s="34"/>
      <c r="D166" s="34"/>
      <c r="E166" s="34"/>
      <c r="F166" s="34"/>
      <c r="G166" s="83"/>
      <c r="H166" s="98">
        <v>161</v>
      </c>
      <c r="I166" s="99" t="str">
        <f t="shared" si="17"/>
        <v/>
      </c>
      <c r="J166" s="98">
        <f t="shared" si="18"/>
        <v>-2</v>
      </c>
      <c r="K166" s="98">
        <f t="shared" si="19"/>
        <v>-20</v>
      </c>
      <c r="L166" s="98"/>
      <c r="M166" s="100">
        <f t="shared" si="20"/>
        <v>0</v>
      </c>
      <c r="N166" s="100">
        <f t="shared" si="21"/>
        <v>0</v>
      </c>
      <c r="O166" s="83"/>
      <c r="P166" s="83"/>
      <c r="Q166" s="83"/>
      <c r="R166" s="83"/>
      <c r="S166" s="112"/>
      <c r="T166" s="113"/>
    </row>
    <row r="167" spans="1:20" s="88" customFormat="1" x14ac:dyDescent="0.25">
      <c r="A167" s="101">
        <f t="shared" si="15"/>
        <v>0</v>
      </c>
      <c r="B167" s="39" t="str">
        <f t="shared" si="22"/>
        <v/>
      </c>
      <c r="C167" s="40"/>
      <c r="D167" s="40"/>
      <c r="E167" s="40"/>
      <c r="F167" s="40"/>
      <c r="G167" s="83"/>
      <c r="H167" s="102">
        <v>162</v>
      </c>
      <c r="I167" s="103" t="str">
        <f t="shared" si="17"/>
        <v/>
      </c>
      <c r="J167" s="102">
        <f t="shared" si="18"/>
        <v>-2</v>
      </c>
      <c r="K167" s="102">
        <f t="shared" si="19"/>
        <v>-20</v>
      </c>
      <c r="L167" s="102"/>
      <c r="M167" s="104">
        <f t="shared" si="20"/>
        <v>0</v>
      </c>
      <c r="N167" s="104">
        <f t="shared" si="21"/>
        <v>0</v>
      </c>
      <c r="O167" s="83"/>
      <c r="P167" s="83"/>
      <c r="Q167" s="83"/>
      <c r="R167" s="83"/>
      <c r="S167" s="83"/>
    </row>
    <row r="168" spans="1:20" s="88" customFormat="1" x14ac:dyDescent="0.25">
      <c r="A168" s="97">
        <f t="shared" si="15"/>
        <v>0</v>
      </c>
      <c r="B168" s="33" t="str">
        <f t="shared" si="22"/>
        <v/>
      </c>
      <c r="C168" s="34"/>
      <c r="D168" s="34"/>
      <c r="E168" s="34"/>
      <c r="F168" s="34"/>
      <c r="G168" s="83"/>
      <c r="H168" s="98">
        <v>163</v>
      </c>
      <c r="I168" s="99" t="str">
        <f t="shared" si="17"/>
        <v/>
      </c>
      <c r="J168" s="98">
        <f t="shared" si="18"/>
        <v>-2</v>
      </c>
      <c r="K168" s="98">
        <f t="shared" si="19"/>
        <v>-20</v>
      </c>
      <c r="L168" s="98"/>
      <c r="M168" s="100">
        <f t="shared" si="20"/>
        <v>0</v>
      </c>
      <c r="N168" s="100">
        <f t="shared" si="21"/>
        <v>0</v>
      </c>
      <c r="O168" s="83"/>
      <c r="P168" s="83"/>
      <c r="Q168" s="83"/>
      <c r="R168" s="83"/>
      <c r="S168" s="112"/>
      <c r="T168" s="113"/>
    </row>
    <row r="169" spans="1:20" s="88" customFormat="1" x14ac:dyDescent="0.25">
      <c r="A169" s="101">
        <f t="shared" si="15"/>
        <v>0</v>
      </c>
      <c r="B169" s="39" t="str">
        <f t="shared" si="22"/>
        <v/>
      </c>
      <c r="C169" s="40"/>
      <c r="D169" s="40"/>
      <c r="E169" s="40"/>
      <c r="F169" s="40"/>
      <c r="G169" s="83"/>
      <c r="H169" s="102">
        <v>164</v>
      </c>
      <c r="I169" s="103" t="str">
        <f t="shared" si="17"/>
        <v/>
      </c>
      <c r="J169" s="102">
        <f t="shared" si="18"/>
        <v>-2</v>
      </c>
      <c r="K169" s="102">
        <f t="shared" si="19"/>
        <v>-20</v>
      </c>
      <c r="L169" s="102"/>
      <c r="M169" s="104">
        <f t="shared" si="20"/>
        <v>0</v>
      </c>
      <c r="N169" s="104">
        <f t="shared" si="21"/>
        <v>0</v>
      </c>
      <c r="O169" s="83"/>
      <c r="P169" s="83"/>
      <c r="Q169" s="83"/>
      <c r="R169" s="83"/>
      <c r="S169" s="83"/>
    </row>
    <row r="170" spans="1:20" s="88" customFormat="1" x14ac:dyDescent="0.25">
      <c r="A170" s="97">
        <f t="shared" si="15"/>
        <v>0</v>
      </c>
      <c r="B170" s="33" t="str">
        <f t="shared" si="22"/>
        <v/>
      </c>
      <c r="C170" s="34"/>
      <c r="D170" s="34"/>
      <c r="E170" s="34"/>
      <c r="F170" s="34"/>
      <c r="G170" s="83"/>
      <c r="H170" s="98">
        <v>165</v>
      </c>
      <c r="I170" s="99" t="str">
        <f t="shared" si="17"/>
        <v/>
      </c>
      <c r="J170" s="98">
        <f t="shared" si="18"/>
        <v>-2</v>
      </c>
      <c r="K170" s="98">
        <f t="shared" si="19"/>
        <v>-20</v>
      </c>
      <c r="L170" s="98"/>
      <c r="M170" s="100">
        <f t="shared" si="20"/>
        <v>0</v>
      </c>
      <c r="N170" s="100">
        <f t="shared" si="21"/>
        <v>0</v>
      </c>
      <c r="O170" s="83"/>
      <c r="P170" s="83"/>
      <c r="Q170" s="83"/>
      <c r="R170" s="83"/>
      <c r="S170" s="112"/>
      <c r="T170" s="113"/>
    </row>
    <row r="171" spans="1:20" s="88" customFormat="1" x14ac:dyDescent="0.25">
      <c r="A171" s="101">
        <f t="shared" si="15"/>
        <v>0</v>
      </c>
      <c r="B171" s="39" t="str">
        <f t="shared" si="22"/>
        <v/>
      </c>
      <c r="C171" s="40"/>
      <c r="D171" s="40"/>
      <c r="E171" s="40"/>
      <c r="F171" s="40"/>
      <c r="G171" s="83"/>
      <c r="H171" s="102">
        <v>166</v>
      </c>
      <c r="I171" s="103" t="str">
        <f t="shared" si="17"/>
        <v/>
      </c>
      <c r="J171" s="102">
        <f t="shared" si="18"/>
        <v>-2</v>
      </c>
      <c r="K171" s="102">
        <f t="shared" si="19"/>
        <v>-20</v>
      </c>
      <c r="L171" s="102"/>
      <c r="M171" s="104">
        <f t="shared" si="20"/>
        <v>0</v>
      </c>
      <c r="N171" s="104">
        <f t="shared" si="21"/>
        <v>0</v>
      </c>
      <c r="O171" s="83"/>
      <c r="P171" s="83"/>
      <c r="Q171" s="83"/>
      <c r="R171" s="83"/>
      <c r="S171" s="83"/>
    </row>
    <row r="172" spans="1:20" s="88" customFormat="1" x14ac:dyDescent="0.25">
      <c r="A172" s="97">
        <f t="shared" si="15"/>
        <v>0</v>
      </c>
      <c r="B172" s="33" t="str">
        <f t="shared" si="22"/>
        <v/>
      </c>
      <c r="C172" s="34"/>
      <c r="D172" s="34"/>
      <c r="E172" s="34"/>
      <c r="F172" s="34"/>
      <c r="G172" s="83"/>
      <c r="H172" s="98">
        <v>167</v>
      </c>
      <c r="I172" s="99" t="str">
        <f t="shared" si="17"/>
        <v/>
      </c>
      <c r="J172" s="98">
        <f t="shared" si="18"/>
        <v>-2</v>
      </c>
      <c r="K172" s="98">
        <f t="shared" si="19"/>
        <v>-20</v>
      </c>
      <c r="L172" s="98"/>
      <c r="M172" s="100">
        <f t="shared" si="20"/>
        <v>0</v>
      </c>
      <c r="N172" s="100">
        <f t="shared" si="21"/>
        <v>0</v>
      </c>
      <c r="O172" s="83"/>
      <c r="P172" s="83"/>
      <c r="Q172" s="83"/>
      <c r="R172" s="83"/>
      <c r="S172" s="112"/>
      <c r="T172" s="113"/>
    </row>
    <row r="173" spans="1:20" s="88" customFormat="1" x14ac:dyDescent="0.25">
      <c r="A173" s="101">
        <f t="shared" si="15"/>
        <v>0</v>
      </c>
      <c r="B173" s="39" t="str">
        <f t="shared" si="22"/>
        <v/>
      </c>
      <c r="C173" s="40"/>
      <c r="D173" s="40"/>
      <c r="E173" s="40"/>
      <c r="F173" s="40"/>
      <c r="G173" s="83"/>
      <c r="H173" s="102">
        <v>168</v>
      </c>
      <c r="I173" s="103" t="str">
        <f t="shared" si="17"/>
        <v/>
      </c>
      <c r="J173" s="102">
        <f t="shared" si="18"/>
        <v>-2</v>
      </c>
      <c r="K173" s="102">
        <f t="shared" si="19"/>
        <v>-20</v>
      </c>
      <c r="L173" s="102"/>
      <c r="M173" s="104">
        <f t="shared" si="20"/>
        <v>0</v>
      </c>
      <c r="N173" s="104">
        <f t="shared" si="21"/>
        <v>0</v>
      </c>
      <c r="O173" s="83"/>
      <c r="P173" s="83"/>
      <c r="Q173" s="83"/>
      <c r="R173" s="83"/>
      <c r="S173" s="83"/>
    </row>
    <row r="174" spans="1:20" s="88" customFormat="1" x14ac:dyDescent="0.25">
      <c r="A174" s="97">
        <f t="shared" si="15"/>
        <v>0</v>
      </c>
      <c r="B174" s="33" t="str">
        <f t="shared" si="22"/>
        <v/>
      </c>
      <c r="C174" s="34"/>
      <c r="D174" s="34"/>
      <c r="E174" s="34"/>
      <c r="F174" s="34"/>
      <c r="G174" s="83"/>
      <c r="H174" s="98">
        <v>169</v>
      </c>
      <c r="I174" s="99" t="str">
        <f t="shared" si="17"/>
        <v/>
      </c>
      <c r="J174" s="98">
        <f t="shared" si="18"/>
        <v>-2</v>
      </c>
      <c r="K174" s="98">
        <f t="shared" si="19"/>
        <v>-20</v>
      </c>
      <c r="L174" s="98"/>
      <c r="M174" s="100">
        <f t="shared" si="20"/>
        <v>0</v>
      </c>
      <c r="N174" s="100">
        <f t="shared" si="21"/>
        <v>0</v>
      </c>
      <c r="O174" s="83"/>
      <c r="P174" s="83"/>
      <c r="Q174" s="83"/>
      <c r="R174" s="83"/>
      <c r="S174" s="112"/>
      <c r="T174" s="113"/>
    </row>
    <row r="175" spans="1:20" s="88" customFormat="1" x14ac:dyDescent="0.25">
      <c r="A175" s="101">
        <f t="shared" si="15"/>
        <v>0</v>
      </c>
      <c r="B175" s="39" t="str">
        <f t="shared" si="22"/>
        <v/>
      </c>
      <c r="C175" s="40"/>
      <c r="D175" s="40"/>
      <c r="E175" s="40"/>
      <c r="F175" s="40"/>
      <c r="G175" s="83"/>
      <c r="H175" s="102">
        <v>170</v>
      </c>
      <c r="I175" s="103" t="str">
        <f t="shared" si="17"/>
        <v/>
      </c>
      <c r="J175" s="102">
        <f t="shared" si="18"/>
        <v>-2</v>
      </c>
      <c r="K175" s="102">
        <f t="shared" si="19"/>
        <v>-20</v>
      </c>
      <c r="L175" s="102"/>
      <c r="M175" s="104">
        <f t="shared" si="20"/>
        <v>0</v>
      </c>
      <c r="N175" s="104">
        <f t="shared" si="21"/>
        <v>0</v>
      </c>
      <c r="O175" s="83"/>
      <c r="P175" s="83"/>
      <c r="Q175" s="83"/>
      <c r="R175" s="83"/>
      <c r="S175" s="83"/>
    </row>
    <row r="176" spans="1:20" s="88" customFormat="1" x14ac:dyDescent="0.25">
      <c r="A176" s="97">
        <f t="shared" si="15"/>
        <v>0</v>
      </c>
      <c r="B176" s="33" t="str">
        <f t="shared" si="22"/>
        <v/>
      </c>
      <c r="C176" s="34"/>
      <c r="D176" s="34"/>
      <c r="E176" s="34"/>
      <c r="F176" s="34"/>
      <c r="G176" s="83"/>
      <c r="H176" s="98">
        <v>171</v>
      </c>
      <c r="I176" s="99" t="str">
        <f t="shared" si="17"/>
        <v/>
      </c>
      <c r="J176" s="98">
        <f t="shared" si="18"/>
        <v>-2</v>
      </c>
      <c r="K176" s="98">
        <f t="shared" si="19"/>
        <v>-20</v>
      </c>
      <c r="L176" s="98"/>
      <c r="M176" s="100">
        <f t="shared" si="20"/>
        <v>0</v>
      </c>
      <c r="N176" s="100">
        <f t="shared" si="21"/>
        <v>0</v>
      </c>
      <c r="O176" s="83"/>
      <c r="P176" s="83"/>
      <c r="Q176" s="83"/>
      <c r="R176" s="83"/>
      <c r="S176" s="112"/>
      <c r="T176" s="113"/>
    </row>
    <row r="177" spans="1:20" s="88" customFormat="1" x14ac:dyDescent="0.25">
      <c r="A177" s="101">
        <f t="shared" si="15"/>
        <v>0</v>
      </c>
      <c r="B177" s="39" t="str">
        <f t="shared" si="22"/>
        <v/>
      </c>
      <c r="C177" s="40"/>
      <c r="D177" s="40"/>
      <c r="E177" s="40"/>
      <c r="F177" s="40"/>
      <c r="G177" s="83"/>
      <c r="H177" s="102">
        <v>172</v>
      </c>
      <c r="I177" s="103" t="str">
        <f t="shared" si="17"/>
        <v/>
      </c>
      <c r="J177" s="102">
        <f t="shared" si="18"/>
        <v>-2</v>
      </c>
      <c r="K177" s="102">
        <f t="shared" si="19"/>
        <v>-20</v>
      </c>
      <c r="L177" s="102"/>
      <c r="M177" s="104">
        <f t="shared" si="20"/>
        <v>0</v>
      </c>
      <c r="N177" s="104">
        <f t="shared" si="21"/>
        <v>0</v>
      </c>
      <c r="O177" s="83"/>
      <c r="P177" s="83"/>
      <c r="Q177" s="83"/>
      <c r="R177" s="83"/>
      <c r="S177" s="83"/>
    </row>
    <row r="178" spans="1:20" s="88" customFormat="1" x14ac:dyDescent="0.25">
      <c r="A178" s="97">
        <f t="shared" si="15"/>
        <v>0</v>
      </c>
      <c r="B178" s="33" t="str">
        <f t="shared" si="22"/>
        <v/>
      </c>
      <c r="C178" s="34"/>
      <c r="D178" s="34"/>
      <c r="E178" s="34"/>
      <c r="F178" s="34"/>
      <c r="G178" s="83"/>
      <c r="H178" s="98">
        <v>173</v>
      </c>
      <c r="I178" s="99" t="str">
        <f t="shared" si="17"/>
        <v/>
      </c>
      <c r="J178" s="98">
        <f t="shared" si="18"/>
        <v>-2</v>
      </c>
      <c r="K178" s="98">
        <f t="shared" si="19"/>
        <v>-20</v>
      </c>
      <c r="L178" s="98"/>
      <c r="M178" s="100">
        <f t="shared" si="20"/>
        <v>0</v>
      </c>
      <c r="N178" s="100">
        <f t="shared" si="21"/>
        <v>0</v>
      </c>
      <c r="O178" s="83"/>
      <c r="P178" s="83"/>
      <c r="Q178" s="83"/>
      <c r="R178" s="83"/>
      <c r="S178" s="112"/>
      <c r="T178" s="113"/>
    </row>
    <row r="179" spans="1:20" s="88" customFormat="1" x14ac:dyDescent="0.25">
      <c r="A179" s="101">
        <f t="shared" si="15"/>
        <v>0</v>
      </c>
      <c r="B179" s="39" t="str">
        <f t="shared" si="22"/>
        <v/>
      </c>
      <c r="C179" s="40"/>
      <c r="D179" s="40"/>
      <c r="E179" s="40"/>
      <c r="F179" s="40"/>
      <c r="G179" s="83"/>
      <c r="H179" s="102">
        <v>174</v>
      </c>
      <c r="I179" s="103" t="str">
        <f t="shared" si="17"/>
        <v/>
      </c>
      <c r="J179" s="102">
        <f t="shared" si="18"/>
        <v>-2</v>
      </c>
      <c r="K179" s="102">
        <f t="shared" si="19"/>
        <v>-20</v>
      </c>
      <c r="L179" s="102"/>
      <c r="M179" s="104">
        <f t="shared" si="20"/>
        <v>0</v>
      </c>
      <c r="N179" s="104">
        <f t="shared" si="21"/>
        <v>0</v>
      </c>
      <c r="O179" s="83"/>
      <c r="P179" s="83"/>
      <c r="Q179" s="83"/>
      <c r="R179" s="83"/>
      <c r="S179" s="83"/>
    </row>
    <row r="180" spans="1:20" s="88" customFormat="1" x14ac:dyDescent="0.25">
      <c r="A180" s="97">
        <f t="shared" si="15"/>
        <v>0</v>
      </c>
      <c r="B180" s="33" t="str">
        <f t="shared" si="22"/>
        <v/>
      </c>
      <c r="C180" s="34"/>
      <c r="D180" s="34"/>
      <c r="E180" s="34"/>
      <c r="F180" s="34"/>
      <c r="G180" s="83"/>
      <c r="H180" s="98">
        <v>175</v>
      </c>
      <c r="I180" s="99" t="str">
        <f t="shared" si="17"/>
        <v/>
      </c>
      <c r="J180" s="98">
        <f t="shared" si="18"/>
        <v>-2</v>
      </c>
      <c r="K180" s="98">
        <f t="shared" si="19"/>
        <v>-20</v>
      </c>
      <c r="L180" s="98"/>
      <c r="M180" s="100">
        <f t="shared" si="20"/>
        <v>0</v>
      </c>
      <c r="N180" s="100">
        <f t="shared" si="21"/>
        <v>0</v>
      </c>
      <c r="O180" s="83"/>
      <c r="P180" s="83"/>
      <c r="Q180" s="83"/>
      <c r="R180" s="83"/>
      <c r="S180" s="112"/>
      <c r="T180" s="113"/>
    </row>
    <row r="181" spans="1:20" s="88" customFormat="1" x14ac:dyDescent="0.25">
      <c r="A181" s="101">
        <f t="shared" si="15"/>
        <v>0</v>
      </c>
      <c r="B181" s="39" t="str">
        <f t="shared" si="22"/>
        <v/>
      </c>
      <c r="C181" s="40"/>
      <c r="D181" s="40"/>
      <c r="E181" s="40"/>
      <c r="F181" s="40"/>
      <c r="G181" s="83"/>
      <c r="H181" s="102">
        <v>176</v>
      </c>
      <c r="I181" s="103" t="str">
        <f t="shared" si="17"/>
        <v/>
      </c>
      <c r="J181" s="102">
        <f t="shared" si="18"/>
        <v>-2</v>
      </c>
      <c r="K181" s="102">
        <f t="shared" si="19"/>
        <v>-20</v>
      </c>
      <c r="L181" s="102"/>
      <c r="M181" s="104">
        <f t="shared" si="20"/>
        <v>0</v>
      </c>
      <c r="N181" s="104">
        <f t="shared" si="21"/>
        <v>0</v>
      </c>
      <c r="O181" s="83"/>
      <c r="P181" s="83"/>
      <c r="Q181" s="83"/>
      <c r="R181" s="83"/>
      <c r="S181" s="83"/>
    </row>
    <row r="182" spans="1:20" s="88" customFormat="1" x14ac:dyDescent="0.25">
      <c r="A182" s="97">
        <f t="shared" si="15"/>
        <v>0</v>
      </c>
      <c r="B182" s="33" t="str">
        <f t="shared" si="22"/>
        <v/>
      </c>
      <c r="C182" s="34"/>
      <c r="D182" s="34"/>
      <c r="E182" s="34"/>
      <c r="F182" s="34"/>
      <c r="G182" s="83"/>
      <c r="H182" s="98">
        <v>177</v>
      </c>
      <c r="I182" s="99" t="str">
        <f t="shared" si="17"/>
        <v/>
      </c>
      <c r="J182" s="98">
        <f t="shared" si="18"/>
        <v>-2</v>
      </c>
      <c r="K182" s="98">
        <f t="shared" si="19"/>
        <v>-20</v>
      </c>
      <c r="L182" s="98"/>
      <c r="M182" s="100">
        <f t="shared" si="20"/>
        <v>0</v>
      </c>
      <c r="N182" s="100">
        <f t="shared" si="21"/>
        <v>0</v>
      </c>
      <c r="O182" s="83"/>
      <c r="P182" s="83"/>
      <c r="Q182" s="83"/>
      <c r="R182" s="83"/>
      <c r="S182" s="112"/>
      <c r="T182" s="113"/>
    </row>
    <row r="183" spans="1:20" s="88" customFormat="1" x14ac:dyDescent="0.25">
      <c r="A183" s="101">
        <f t="shared" si="15"/>
        <v>0</v>
      </c>
      <c r="B183" s="39" t="str">
        <f t="shared" si="22"/>
        <v/>
      </c>
      <c r="C183" s="40"/>
      <c r="D183" s="40"/>
      <c r="E183" s="40"/>
      <c r="F183" s="40"/>
      <c r="G183" s="83"/>
      <c r="H183" s="102">
        <v>178</v>
      </c>
      <c r="I183" s="103" t="str">
        <f t="shared" si="17"/>
        <v/>
      </c>
      <c r="J183" s="102">
        <f t="shared" si="18"/>
        <v>-2</v>
      </c>
      <c r="K183" s="102">
        <f t="shared" si="19"/>
        <v>-20</v>
      </c>
      <c r="L183" s="102"/>
      <c r="M183" s="104">
        <f t="shared" si="20"/>
        <v>0</v>
      </c>
      <c r="N183" s="104">
        <f t="shared" si="21"/>
        <v>0</v>
      </c>
      <c r="O183" s="83"/>
      <c r="P183" s="83"/>
      <c r="Q183" s="83"/>
      <c r="R183" s="83"/>
      <c r="S183" s="83"/>
    </row>
    <row r="184" spans="1:20" s="88" customFormat="1" x14ac:dyDescent="0.25">
      <c r="A184" s="97">
        <f t="shared" si="15"/>
        <v>0</v>
      </c>
      <c r="B184" s="33" t="str">
        <f t="shared" si="22"/>
        <v/>
      </c>
      <c r="C184" s="34"/>
      <c r="D184" s="34"/>
      <c r="E184" s="34"/>
      <c r="F184" s="34"/>
      <c r="G184" s="83"/>
      <c r="H184" s="98">
        <v>179</v>
      </c>
      <c r="I184" s="99" t="str">
        <f t="shared" si="17"/>
        <v/>
      </c>
      <c r="J184" s="98">
        <f t="shared" si="18"/>
        <v>-2</v>
      </c>
      <c r="K184" s="98">
        <f t="shared" si="19"/>
        <v>-20</v>
      </c>
      <c r="L184" s="98"/>
      <c r="M184" s="100">
        <f t="shared" si="20"/>
        <v>0</v>
      </c>
      <c r="N184" s="100">
        <f t="shared" si="21"/>
        <v>0</v>
      </c>
      <c r="O184" s="83"/>
      <c r="P184" s="83"/>
      <c r="Q184" s="83"/>
      <c r="R184" s="83"/>
      <c r="S184" s="112"/>
      <c r="T184" s="113"/>
    </row>
    <row r="185" spans="1:20" s="88" customFormat="1" x14ac:dyDescent="0.25">
      <c r="A185" s="101">
        <f t="shared" si="15"/>
        <v>0</v>
      </c>
      <c r="B185" s="39" t="str">
        <f t="shared" si="22"/>
        <v/>
      </c>
      <c r="C185" s="40"/>
      <c r="D185" s="40"/>
      <c r="E185" s="40"/>
      <c r="F185" s="40"/>
      <c r="G185" s="83"/>
      <c r="H185" s="102">
        <v>180</v>
      </c>
      <c r="I185" s="103" t="str">
        <f t="shared" si="17"/>
        <v/>
      </c>
      <c r="J185" s="102">
        <f t="shared" si="18"/>
        <v>-2</v>
      </c>
      <c r="K185" s="102">
        <f t="shared" si="19"/>
        <v>-20</v>
      </c>
      <c r="L185" s="102"/>
      <c r="M185" s="104">
        <f t="shared" si="20"/>
        <v>0</v>
      </c>
      <c r="N185" s="104">
        <f t="shared" si="21"/>
        <v>0</v>
      </c>
      <c r="O185" s="83"/>
      <c r="P185" s="83"/>
      <c r="Q185" s="83"/>
      <c r="R185" s="83"/>
      <c r="S185" s="83"/>
    </row>
    <row r="186" spans="1:20" s="88" customFormat="1" x14ac:dyDescent="0.25">
      <c r="A186" s="97">
        <f t="shared" si="15"/>
        <v>0</v>
      </c>
      <c r="B186" s="33" t="str">
        <f t="shared" si="22"/>
        <v/>
      </c>
      <c r="C186" s="34"/>
      <c r="D186" s="34"/>
      <c r="E186" s="34"/>
      <c r="F186" s="34"/>
      <c r="G186" s="83"/>
      <c r="H186" s="98">
        <v>181</v>
      </c>
      <c r="I186" s="99" t="str">
        <f t="shared" si="17"/>
        <v/>
      </c>
      <c r="J186" s="98">
        <f t="shared" si="18"/>
        <v>-2</v>
      </c>
      <c r="K186" s="98">
        <f t="shared" si="19"/>
        <v>-20</v>
      </c>
      <c r="L186" s="98"/>
      <c r="M186" s="100">
        <f t="shared" si="20"/>
        <v>0</v>
      </c>
      <c r="N186" s="100">
        <f t="shared" si="21"/>
        <v>0</v>
      </c>
      <c r="O186" s="83"/>
      <c r="P186" s="83"/>
      <c r="Q186" s="83"/>
      <c r="R186" s="83"/>
      <c r="S186" s="112"/>
      <c r="T186" s="113"/>
    </row>
    <row r="187" spans="1:20" s="88" customFormat="1" x14ac:dyDescent="0.25">
      <c r="A187" s="101">
        <f t="shared" si="15"/>
        <v>0</v>
      </c>
      <c r="B187" s="39" t="str">
        <f t="shared" si="22"/>
        <v/>
      </c>
      <c r="C187" s="40"/>
      <c r="D187" s="40"/>
      <c r="E187" s="40"/>
      <c r="F187" s="40"/>
      <c r="G187" s="83"/>
      <c r="H187" s="102">
        <v>182</v>
      </c>
      <c r="I187" s="103" t="str">
        <f t="shared" si="17"/>
        <v/>
      </c>
      <c r="J187" s="102">
        <f t="shared" si="18"/>
        <v>-2</v>
      </c>
      <c r="K187" s="102">
        <f t="shared" si="19"/>
        <v>-20</v>
      </c>
      <c r="L187" s="102"/>
      <c r="M187" s="104">
        <f t="shared" si="20"/>
        <v>0</v>
      </c>
      <c r="N187" s="104">
        <f t="shared" si="21"/>
        <v>0</v>
      </c>
      <c r="O187" s="83"/>
      <c r="P187" s="83"/>
      <c r="Q187" s="83"/>
      <c r="R187" s="83"/>
      <c r="S187" s="83"/>
    </row>
    <row r="188" spans="1:20" s="88" customFormat="1" x14ac:dyDescent="0.25">
      <c r="A188" s="97">
        <f t="shared" si="15"/>
        <v>0</v>
      </c>
      <c r="B188" s="33" t="str">
        <f t="shared" si="22"/>
        <v/>
      </c>
      <c r="C188" s="34"/>
      <c r="D188" s="34"/>
      <c r="E188" s="34"/>
      <c r="F188" s="34"/>
      <c r="G188" s="83"/>
      <c r="H188" s="98">
        <v>183</v>
      </c>
      <c r="I188" s="99" t="str">
        <f t="shared" si="17"/>
        <v/>
      </c>
      <c r="J188" s="98">
        <f t="shared" si="18"/>
        <v>-2</v>
      </c>
      <c r="K188" s="98">
        <f t="shared" si="19"/>
        <v>-20</v>
      </c>
      <c r="L188" s="98"/>
      <c r="M188" s="100">
        <f t="shared" si="20"/>
        <v>0</v>
      </c>
      <c r="N188" s="100">
        <f t="shared" si="21"/>
        <v>0</v>
      </c>
      <c r="O188" s="83"/>
      <c r="P188" s="83"/>
      <c r="Q188" s="83"/>
      <c r="R188" s="83"/>
      <c r="S188" s="112"/>
      <c r="T188" s="113"/>
    </row>
    <row r="189" spans="1:20" s="88" customFormat="1" x14ac:dyDescent="0.25">
      <c r="A189" s="101">
        <f t="shared" si="15"/>
        <v>0</v>
      </c>
      <c r="B189" s="39" t="str">
        <f t="shared" si="22"/>
        <v/>
      </c>
      <c r="C189" s="40"/>
      <c r="D189" s="40"/>
      <c r="E189" s="40"/>
      <c r="F189" s="40"/>
      <c r="G189" s="83"/>
      <c r="H189" s="102">
        <v>184</v>
      </c>
      <c r="I189" s="103" t="str">
        <f t="shared" si="17"/>
        <v/>
      </c>
      <c r="J189" s="102">
        <f t="shared" si="18"/>
        <v>-2</v>
      </c>
      <c r="K189" s="102">
        <f t="shared" si="19"/>
        <v>-20</v>
      </c>
      <c r="L189" s="102"/>
      <c r="M189" s="104">
        <f t="shared" si="20"/>
        <v>0</v>
      </c>
      <c r="N189" s="104">
        <f t="shared" si="21"/>
        <v>0</v>
      </c>
      <c r="O189" s="83"/>
      <c r="P189" s="83"/>
      <c r="Q189" s="83"/>
      <c r="R189" s="83"/>
      <c r="S189" s="83"/>
    </row>
    <row r="190" spans="1:20" s="88" customFormat="1" x14ac:dyDescent="0.25">
      <c r="A190" s="97">
        <f t="shared" si="15"/>
        <v>0</v>
      </c>
      <c r="B190" s="33" t="str">
        <f t="shared" si="22"/>
        <v/>
      </c>
      <c r="C190" s="34"/>
      <c r="D190" s="34"/>
      <c r="E190" s="34"/>
      <c r="F190" s="34"/>
      <c r="G190" s="83"/>
      <c r="H190" s="98">
        <v>185</v>
      </c>
      <c r="I190" s="99" t="str">
        <f t="shared" si="17"/>
        <v/>
      </c>
      <c r="J190" s="98">
        <f t="shared" si="18"/>
        <v>-2</v>
      </c>
      <c r="K190" s="98">
        <f t="shared" si="19"/>
        <v>-20</v>
      </c>
      <c r="L190" s="98"/>
      <c r="M190" s="100">
        <f t="shared" si="20"/>
        <v>0</v>
      </c>
      <c r="N190" s="100">
        <f t="shared" si="21"/>
        <v>0</v>
      </c>
      <c r="O190" s="83"/>
      <c r="P190" s="83"/>
      <c r="Q190" s="83"/>
      <c r="R190" s="83"/>
      <c r="S190" s="112"/>
      <c r="T190" s="113"/>
    </row>
    <row r="191" spans="1:20" s="88" customFormat="1" x14ac:dyDescent="0.25">
      <c r="A191" s="101">
        <f t="shared" si="15"/>
        <v>0</v>
      </c>
      <c r="B191" s="39" t="str">
        <f t="shared" si="22"/>
        <v/>
      </c>
      <c r="C191" s="40"/>
      <c r="D191" s="40"/>
      <c r="E191" s="40"/>
      <c r="F191" s="40"/>
      <c r="G191" s="83"/>
      <c r="H191" s="102">
        <v>186</v>
      </c>
      <c r="I191" s="103" t="str">
        <f t="shared" si="17"/>
        <v/>
      </c>
      <c r="J191" s="102">
        <f t="shared" si="18"/>
        <v>-2</v>
      </c>
      <c r="K191" s="102">
        <f t="shared" si="19"/>
        <v>-20</v>
      </c>
      <c r="L191" s="102"/>
      <c r="M191" s="104">
        <f t="shared" si="20"/>
        <v>0</v>
      </c>
      <c r="N191" s="104">
        <f t="shared" si="21"/>
        <v>0</v>
      </c>
      <c r="O191" s="83"/>
      <c r="P191" s="83"/>
      <c r="Q191" s="83"/>
      <c r="R191" s="83"/>
      <c r="S191" s="83"/>
    </row>
    <row r="192" spans="1:20" s="88" customFormat="1" x14ac:dyDescent="0.25">
      <c r="A192" s="97">
        <f t="shared" si="15"/>
        <v>0</v>
      </c>
      <c r="B192" s="33" t="str">
        <f t="shared" si="22"/>
        <v/>
      </c>
      <c r="C192" s="34"/>
      <c r="D192" s="34"/>
      <c r="E192" s="34"/>
      <c r="F192" s="34"/>
      <c r="G192" s="83"/>
      <c r="H192" s="98">
        <v>187</v>
      </c>
      <c r="I192" s="99" t="str">
        <f t="shared" si="17"/>
        <v/>
      </c>
      <c r="J192" s="98">
        <f t="shared" si="18"/>
        <v>-2</v>
      </c>
      <c r="K192" s="98">
        <f t="shared" si="19"/>
        <v>-20</v>
      </c>
      <c r="L192" s="98"/>
      <c r="M192" s="100">
        <f t="shared" si="20"/>
        <v>0</v>
      </c>
      <c r="N192" s="100">
        <f t="shared" si="21"/>
        <v>0</v>
      </c>
      <c r="O192" s="83"/>
      <c r="P192" s="83"/>
      <c r="Q192" s="83"/>
      <c r="R192" s="83"/>
      <c r="S192" s="112"/>
      <c r="T192" s="113"/>
    </row>
    <row r="193" spans="1:20" s="88" customFormat="1" x14ac:dyDescent="0.25">
      <c r="A193" s="101">
        <f t="shared" si="15"/>
        <v>0</v>
      </c>
      <c r="B193" s="39" t="str">
        <f t="shared" si="22"/>
        <v/>
      </c>
      <c r="C193" s="40"/>
      <c r="D193" s="40"/>
      <c r="E193" s="40"/>
      <c r="F193" s="40"/>
      <c r="G193" s="83"/>
      <c r="H193" s="102">
        <v>188</v>
      </c>
      <c r="I193" s="103" t="str">
        <f t="shared" si="17"/>
        <v/>
      </c>
      <c r="J193" s="102">
        <f t="shared" si="18"/>
        <v>-2</v>
      </c>
      <c r="K193" s="102">
        <f t="shared" si="19"/>
        <v>-20</v>
      </c>
      <c r="L193" s="102"/>
      <c r="M193" s="104">
        <f t="shared" si="20"/>
        <v>0</v>
      </c>
      <c r="N193" s="104">
        <f t="shared" si="21"/>
        <v>0</v>
      </c>
      <c r="O193" s="83"/>
      <c r="P193" s="83"/>
      <c r="Q193" s="83"/>
      <c r="R193" s="83"/>
      <c r="S193" s="83"/>
    </row>
    <row r="194" spans="1:20" s="88" customFormat="1" x14ac:dyDescent="0.25">
      <c r="A194" s="97">
        <f t="shared" si="15"/>
        <v>0</v>
      </c>
      <c r="B194" s="33" t="str">
        <f t="shared" si="22"/>
        <v/>
      </c>
      <c r="C194" s="34"/>
      <c r="D194" s="34"/>
      <c r="E194" s="34"/>
      <c r="F194" s="34"/>
      <c r="G194" s="83"/>
      <c r="H194" s="98">
        <v>189</v>
      </c>
      <c r="I194" s="99" t="str">
        <f t="shared" si="17"/>
        <v/>
      </c>
      <c r="J194" s="98">
        <f t="shared" si="18"/>
        <v>-2</v>
      </c>
      <c r="K194" s="98">
        <f t="shared" si="19"/>
        <v>-20</v>
      </c>
      <c r="L194" s="98"/>
      <c r="M194" s="100">
        <f t="shared" si="20"/>
        <v>0</v>
      </c>
      <c r="N194" s="100">
        <f t="shared" si="21"/>
        <v>0</v>
      </c>
      <c r="O194" s="83"/>
      <c r="P194" s="83"/>
      <c r="Q194" s="83"/>
      <c r="R194" s="83"/>
      <c r="S194" s="112"/>
      <c r="T194" s="113"/>
    </row>
    <row r="195" spans="1:20" s="88" customFormat="1" x14ac:dyDescent="0.25">
      <c r="A195" s="101">
        <f t="shared" si="15"/>
        <v>0</v>
      </c>
      <c r="B195" s="39" t="str">
        <f t="shared" si="22"/>
        <v/>
      </c>
      <c r="C195" s="40"/>
      <c r="D195" s="40"/>
      <c r="E195" s="40"/>
      <c r="F195" s="40"/>
      <c r="G195" s="83"/>
      <c r="H195" s="102">
        <v>190</v>
      </c>
      <c r="I195" s="103" t="str">
        <f t="shared" si="17"/>
        <v/>
      </c>
      <c r="J195" s="102">
        <f t="shared" si="18"/>
        <v>-2</v>
      </c>
      <c r="K195" s="102">
        <f t="shared" si="19"/>
        <v>-20</v>
      </c>
      <c r="L195" s="102"/>
      <c r="M195" s="104">
        <f t="shared" si="20"/>
        <v>0</v>
      </c>
      <c r="N195" s="104">
        <f t="shared" si="21"/>
        <v>0</v>
      </c>
      <c r="O195" s="83"/>
      <c r="P195" s="83"/>
      <c r="Q195" s="83"/>
      <c r="R195" s="83"/>
      <c r="S195" s="83"/>
    </row>
    <row r="196" spans="1:20" s="88" customFormat="1" x14ac:dyDescent="0.25">
      <c r="A196" s="97">
        <f t="shared" si="15"/>
        <v>0</v>
      </c>
      <c r="B196" s="33" t="str">
        <f t="shared" si="22"/>
        <v/>
      </c>
      <c r="C196" s="34"/>
      <c r="D196" s="34"/>
      <c r="E196" s="34"/>
      <c r="F196" s="34"/>
      <c r="G196" s="83"/>
      <c r="H196" s="98">
        <v>191</v>
      </c>
      <c r="I196" s="99" t="str">
        <f t="shared" si="17"/>
        <v/>
      </c>
      <c r="J196" s="98">
        <f t="shared" si="18"/>
        <v>-2</v>
      </c>
      <c r="K196" s="98">
        <f t="shared" si="19"/>
        <v>-20</v>
      </c>
      <c r="L196" s="98"/>
      <c r="M196" s="100">
        <f t="shared" si="20"/>
        <v>0</v>
      </c>
      <c r="N196" s="100">
        <f t="shared" si="21"/>
        <v>0</v>
      </c>
      <c r="O196" s="83"/>
      <c r="P196" s="83"/>
      <c r="Q196" s="83"/>
      <c r="R196" s="83"/>
      <c r="S196" s="112"/>
      <c r="T196" s="113"/>
    </row>
    <row r="197" spans="1:20" s="88" customFormat="1" x14ac:dyDescent="0.25">
      <c r="A197" s="101">
        <f t="shared" si="15"/>
        <v>0</v>
      </c>
      <c r="B197" s="39" t="str">
        <f t="shared" si="22"/>
        <v/>
      </c>
      <c r="C197" s="40"/>
      <c r="D197" s="40"/>
      <c r="E197" s="40"/>
      <c r="F197" s="40"/>
      <c r="G197" s="83"/>
      <c r="H197" s="102">
        <v>192</v>
      </c>
      <c r="I197" s="103" t="str">
        <f t="shared" si="17"/>
        <v/>
      </c>
      <c r="J197" s="102">
        <f t="shared" si="18"/>
        <v>-2</v>
      </c>
      <c r="K197" s="102">
        <f t="shared" si="19"/>
        <v>-20</v>
      </c>
      <c r="L197" s="102"/>
      <c r="M197" s="104">
        <f t="shared" si="20"/>
        <v>0</v>
      </c>
      <c r="N197" s="104">
        <f t="shared" si="21"/>
        <v>0</v>
      </c>
      <c r="O197" s="83"/>
      <c r="P197" s="83"/>
      <c r="Q197" s="83"/>
      <c r="R197" s="83"/>
      <c r="S197" s="83"/>
    </row>
    <row r="198" spans="1:20" s="88" customFormat="1" x14ac:dyDescent="0.25">
      <c r="A198" s="97">
        <f t="shared" ref="A198:A261" si="23">N198</f>
        <v>0</v>
      </c>
      <c r="B198" s="33" t="str">
        <f t="shared" si="22"/>
        <v/>
      </c>
      <c r="C198" s="34"/>
      <c r="D198" s="34"/>
      <c r="E198" s="34"/>
      <c r="F198" s="34"/>
      <c r="G198" s="83"/>
      <c r="H198" s="98">
        <v>193</v>
      </c>
      <c r="I198" s="99" t="str">
        <f t="shared" ref="I198:I261" si="24">IF(H198&lt;$H$2+1,($I$2-($I$2-1)*(LOG(H198)/LOG($H$2))),"")</f>
        <v/>
      </c>
      <c r="J198" s="98">
        <f t="shared" ref="J198:J261" si="25">INT(LOG($H$2,2))-ROUNDUP(LOG(H198,2),0)+IF(OR($H$2=1,$H$2=2,$H$2=4,$H$2=8,$H$2=16,$H$2=32,$H$2=64,$H$2=128,$H$2=256),0,1)</f>
        <v>-2</v>
      </c>
      <c r="K198" s="98">
        <f t="shared" ref="K198:K261" si="26">J198*$J$2</f>
        <v>-20</v>
      </c>
      <c r="L198" s="98"/>
      <c r="M198" s="100">
        <f t="shared" ref="M198:M261" si="27">IF(I198&lt;&gt;"",K198+I198+L198,0)</f>
        <v>0</v>
      </c>
      <c r="N198" s="100">
        <f t="shared" ref="N198:N261" si="28">IF(I198&lt;&gt;"",M198*L$2,0)</f>
        <v>0</v>
      </c>
      <c r="O198" s="83"/>
      <c r="P198" s="83"/>
      <c r="Q198" s="83"/>
      <c r="R198" s="83"/>
      <c r="S198" s="112"/>
      <c r="T198" s="113"/>
    </row>
    <row r="199" spans="1:20" s="88" customFormat="1" x14ac:dyDescent="0.25">
      <c r="A199" s="101">
        <f t="shared" si="23"/>
        <v>0</v>
      </c>
      <c r="B199" s="39" t="str">
        <f t="shared" si="22"/>
        <v/>
      </c>
      <c r="C199" s="40"/>
      <c r="D199" s="40"/>
      <c r="E199" s="40"/>
      <c r="F199" s="40"/>
      <c r="G199" s="83"/>
      <c r="H199" s="102">
        <v>194</v>
      </c>
      <c r="I199" s="103" t="str">
        <f t="shared" si="24"/>
        <v/>
      </c>
      <c r="J199" s="102">
        <f t="shared" si="25"/>
        <v>-2</v>
      </c>
      <c r="K199" s="102">
        <f t="shared" si="26"/>
        <v>-20</v>
      </c>
      <c r="L199" s="102"/>
      <c r="M199" s="104">
        <f t="shared" si="27"/>
        <v>0</v>
      </c>
      <c r="N199" s="104">
        <f t="shared" si="28"/>
        <v>0</v>
      </c>
      <c r="O199" s="83"/>
      <c r="P199" s="83"/>
      <c r="Q199" s="83"/>
      <c r="R199" s="83"/>
      <c r="S199" s="83"/>
    </row>
    <row r="200" spans="1:20" s="88" customFormat="1" x14ac:dyDescent="0.25">
      <c r="A200" s="97">
        <f t="shared" si="23"/>
        <v>0</v>
      </c>
      <c r="B200" s="33" t="str">
        <f t="shared" si="22"/>
        <v/>
      </c>
      <c r="C200" s="34"/>
      <c r="D200" s="34"/>
      <c r="E200" s="34"/>
      <c r="F200" s="34"/>
      <c r="G200" s="83"/>
      <c r="H200" s="98">
        <v>195</v>
      </c>
      <c r="I200" s="99" t="str">
        <f t="shared" si="24"/>
        <v/>
      </c>
      <c r="J200" s="98">
        <f t="shared" si="25"/>
        <v>-2</v>
      </c>
      <c r="K200" s="98">
        <f t="shared" si="26"/>
        <v>-20</v>
      </c>
      <c r="L200" s="98"/>
      <c r="M200" s="100">
        <f t="shared" si="27"/>
        <v>0</v>
      </c>
      <c r="N200" s="100">
        <f t="shared" si="28"/>
        <v>0</v>
      </c>
      <c r="O200" s="83"/>
      <c r="P200" s="83"/>
      <c r="Q200" s="83"/>
      <c r="R200" s="83"/>
      <c r="S200" s="112"/>
      <c r="T200" s="113"/>
    </row>
    <row r="201" spans="1:20" s="88" customFormat="1" x14ac:dyDescent="0.25">
      <c r="A201" s="101">
        <f t="shared" si="23"/>
        <v>0</v>
      </c>
      <c r="B201" s="39" t="str">
        <f t="shared" si="22"/>
        <v/>
      </c>
      <c r="C201" s="40"/>
      <c r="D201" s="40"/>
      <c r="E201" s="40"/>
      <c r="F201" s="40"/>
      <c r="G201" s="83"/>
      <c r="H201" s="102">
        <v>196</v>
      </c>
      <c r="I201" s="103" t="str">
        <f t="shared" si="24"/>
        <v/>
      </c>
      <c r="J201" s="102">
        <f t="shared" si="25"/>
        <v>-2</v>
      </c>
      <c r="K201" s="102">
        <f t="shared" si="26"/>
        <v>-20</v>
      </c>
      <c r="L201" s="102"/>
      <c r="M201" s="104">
        <f t="shared" si="27"/>
        <v>0</v>
      </c>
      <c r="N201" s="104">
        <f t="shared" si="28"/>
        <v>0</v>
      </c>
      <c r="O201" s="83"/>
      <c r="P201" s="83"/>
      <c r="Q201" s="83"/>
      <c r="R201" s="83"/>
      <c r="S201" s="83"/>
    </row>
    <row r="202" spans="1:20" s="88" customFormat="1" x14ac:dyDescent="0.25">
      <c r="A202" s="97">
        <f t="shared" si="23"/>
        <v>0</v>
      </c>
      <c r="B202" s="33" t="str">
        <f t="shared" ref="B202:B250" si="29">IF(H202&gt;$H$2,"",(ROW()-5))</f>
        <v/>
      </c>
      <c r="C202" s="34"/>
      <c r="D202" s="34"/>
      <c r="E202" s="34"/>
      <c r="F202" s="34"/>
      <c r="G202" s="83"/>
      <c r="H202" s="98">
        <v>197</v>
      </c>
      <c r="I202" s="99" t="str">
        <f t="shared" si="24"/>
        <v/>
      </c>
      <c r="J202" s="98">
        <f t="shared" si="25"/>
        <v>-2</v>
      </c>
      <c r="K202" s="98">
        <f t="shared" si="26"/>
        <v>-20</v>
      </c>
      <c r="L202" s="98"/>
      <c r="M202" s="100">
        <f t="shared" si="27"/>
        <v>0</v>
      </c>
      <c r="N202" s="100">
        <f t="shared" si="28"/>
        <v>0</v>
      </c>
      <c r="O202" s="83"/>
      <c r="P202" s="83"/>
      <c r="Q202" s="83"/>
      <c r="R202" s="83"/>
      <c r="S202" s="112"/>
      <c r="T202" s="113"/>
    </row>
    <row r="203" spans="1:20" s="88" customFormat="1" x14ac:dyDescent="0.25">
      <c r="A203" s="101">
        <f t="shared" si="23"/>
        <v>0</v>
      </c>
      <c r="B203" s="39" t="str">
        <f t="shared" si="29"/>
        <v/>
      </c>
      <c r="C203" s="40"/>
      <c r="D203" s="40"/>
      <c r="E203" s="40"/>
      <c r="F203" s="40"/>
      <c r="G203" s="83"/>
      <c r="H203" s="102">
        <v>198</v>
      </c>
      <c r="I203" s="103" t="str">
        <f t="shared" si="24"/>
        <v/>
      </c>
      <c r="J203" s="102">
        <f t="shared" si="25"/>
        <v>-2</v>
      </c>
      <c r="K203" s="102">
        <f t="shared" si="26"/>
        <v>-20</v>
      </c>
      <c r="L203" s="102"/>
      <c r="M203" s="104">
        <f t="shared" si="27"/>
        <v>0</v>
      </c>
      <c r="N203" s="104">
        <f t="shared" si="28"/>
        <v>0</v>
      </c>
      <c r="O203" s="83"/>
      <c r="P203" s="83"/>
      <c r="Q203" s="83"/>
      <c r="R203" s="83"/>
      <c r="S203" s="83"/>
    </row>
    <row r="204" spans="1:20" s="88" customFormat="1" x14ac:dyDescent="0.25">
      <c r="A204" s="97">
        <f t="shared" si="23"/>
        <v>0</v>
      </c>
      <c r="B204" s="33" t="str">
        <f t="shared" si="29"/>
        <v/>
      </c>
      <c r="C204" s="34"/>
      <c r="D204" s="34"/>
      <c r="E204" s="34"/>
      <c r="F204" s="34"/>
      <c r="G204" s="83"/>
      <c r="H204" s="98">
        <v>199</v>
      </c>
      <c r="I204" s="99" t="str">
        <f t="shared" si="24"/>
        <v/>
      </c>
      <c r="J204" s="98">
        <f t="shared" si="25"/>
        <v>-2</v>
      </c>
      <c r="K204" s="98">
        <f t="shared" si="26"/>
        <v>-20</v>
      </c>
      <c r="L204" s="98"/>
      <c r="M204" s="100">
        <f t="shared" si="27"/>
        <v>0</v>
      </c>
      <c r="N204" s="100">
        <f t="shared" si="28"/>
        <v>0</v>
      </c>
      <c r="O204" s="83"/>
      <c r="P204" s="83"/>
      <c r="Q204" s="83"/>
      <c r="R204" s="83"/>
      <c r="S204" s="112"/>
      <c r="T204" s="113"/>
    </row>
    <row r="205" spans="1:20" s="88" customFormat="1" x14ac:dyDescent="0.25">
      <c r="A205" s="101">
        <f t="shared" si="23"/>
        <v>0</v>
      </c>
      <c r="B205" s="39" t="str">
        <f t="shared" si="29"/>
        <v/>
      </c>
      <c r="C205" s="40"/>
      <c r="D205" s="40"/>
      <c r="E205" s="40"/>
      <c r="F205" s="40"/>
      <c r="G205" s="83"/>
      <c r="H205" s="102">
        <v>200</v>
      </c>
      <c r="I205" s="103" t="str">
        <f t="shared" si="24"/>
        <v/>
      </c>
      <c r="J205" s="102">
        <f t="shared" si="25"/>
        <v>-2</v>
      </c>
      <c r="K205" s="102">
        <f t="shared" si="26"/>
        <v>-20</v>
      </c>
      <c r="L205" s="102"/>
      <c r="M205" s="104">
        <f t="shared" si="27"/>
        <v>0</v>
      </c>
      <c r="N205" s="104">
        <f t="shared" si="28"/>
        <v>0</v>
      </c>
      <c r="O205" s="83"/>
      <c r="P205" s="83"/>
      <c r="Q205" s="83"/>
      <c r="R205" s="83"/>
      <c r="S205" s="83"/>
    </row>
    <row r="206" spans="1:20" s="88" customFormat="1" x14ac:dyDescent="0.25">
      <c r="A206" s="97">
        <f t="shared" si="23"/>
        <v>0</v>
      </c>
      <c r="B206" s="33" t="str">
        <f t="shared" si="29"/>
        <v/>
      </c>
      <c r="C206" s="34"/>
      <c r="D206" s="34"/>
      <c r="E206" s="34"/>
      <c r="F206" s="34"/>
      <c r="G206" s="83"/>
      <c r="H206" s="98">
        <v>201</v>
      </c>
      <c r="I206" s="99" t="str">
        <f t="shared" si="24"/>
        <v/>
      </c>
      <c r="J206" s="98">
        <f t="shared" si="25"/>
        <v>-2</v>
      </c>
      <c r="K206" s="98">
        <f t="shared" si="26"/>
        <v>-20</v>
      </c>
      <c r="L206" s="98"/>
      <c r="M206" s="100">
        <f t="shared" si="27"/>
        <v>0</v>
      </c>
      <c r="N206" s="100">
        <f t="shared" si="28"/>
        <v>0</v>
      </c>
      <c r="O206" s="83"/>
      <c r="P206" s="83"/>
      <c r="Q206" s="83"/>
      <c r="R206" s="83"/>
      <c r="S206" s="112"/>
      <c r="T206" s="113"/>
    </row>
    <row r="207" spans="1:20" s="88" customFormat="1" x14ac:dyDescent="0.25">
      <c r="A207" s="101">
        <f t="shared" si="23"/>
        <v>0</v>
      </c>
      <c r="B207" s="39" t="str">
        <f t="shared" si="29"/>
        <v/>
      </c>
      <c r="C207" s="40"/>
      <c r="D207" s="40"/>
      <c r="E207" s="40"/>
      <c r="F207" s="40"/>
      <c r="G207" s="83"/>
      <c r="H207" s="102">
        <v>202</v>
      </c>
      <c r="I207" s="103" t="str">
        <f t="shared" si="24"/>
        <v/>
      </c>
      <c r="J207" s="102">
        <f t="shared" si="25"/>
        <v>-2</v>
      </c>
      <c r="K207" s="102">
        <f t="shared" si="26"/>
        <v>-20</v>
      </c>
      <c r="L207" s="102"/>
      <c r="M207" s="104">
        <f t="shared" si="27"/>
        <v>0</v>
      </c>
      <c r="N207" s="104">
        <f t="shared" si="28"/>
        <v>0</v>
      </c>
      <c r="O207" s="83"/>
      <c r="P207" s="83"/>
      <c r="Q207" s="83"/>
      <c r="R207" s="83"/>
      <c r="S207" s="83"/>
    </row>
    <row r="208" spans="1:20" s="88" customFormat="1" x14ac:dyDescent="0.25">
      <c r="A208" s="97">
        <f t="shared" si="23"/>
        <v>0</v>
      </c>
      <c r="B208" s="33" t="str">
        <f t="shared" si="29"/>
        <v/>
      </c>
      <c r="C208" s="34"/>
      <c r="D208" s="34"/>
      <c r="E208" s="34"/>
      <c r="F208" s="34"/>
      <c r="G208" s="83"/>
      <c r="H208" s="98">
        <v>203</v>
      </c>
      <c r="I208" s="99" t="str">
        <f t="shared" si="24"/>
        <v/>
      </c>
      <c r="J208" s="98">
        <f t="shared" si="25"/>
        <v>-2</v>
      </c>
      <c r="K208" s="98">
        <f t="shared" si="26"/>
        <v>-20</v>
      </c>
      <c r="L208" s="98"/>
      <c r="M208" s="100">
        <f t="shared" si="27"/>
        <v>0</v>
      </c>
      <c r="N208" s="100">
        <f t="shared" si="28"/>
        <v>0</v>
      </c>
      <c r="O208" s="83"/>
      <c r="P208" s="83"/>
      <c r="Q208" s="83"/>
      <c r="R208" s="83"/>
      <c r="S208" s="112"/>
      <c r="T208" s="113"/>
    </row>
    <row r="209" spans="1:20" s="88" customFormat="1" x14ac:dyDescent="0.25">
      <c r="A209" s="101">
        <f t="shared" si="23"/>
        <v>0</v>
      </c>
      <c r="B209" s="39" t="str">
        <f t="shared" si="29"/>
        <v/>
      </c>
      <c r="C209" s="40"/>
      <c r="D209" s="40"/>
      <c r="E209" s="40"/>
      <c r="F209" s="40"/>
      <c r="G209" s="83"/>
      <c r="H209" s="102">
        <v>204</v>
      </c>
      <c r="I209" s="103" t="str">
        <f t="shared" si="24"/>
        <v/>
      </c>
      <c r="J209" s="102">
        <f t="shared" si="25"/>
        <v>-2</v>
      </c>
      <c r="K209" s="102">
        <f t="shared" si="26"/>
        <v>-20</v>
      </c>
      <c r="L209" s="102"/>
      <c r="M209" s="104">
        <f t="shared" si="27"/>
        <v>0</v>
      </c>
      <c r="N209" s="104">
        <f t="shared" si="28"/>
        <v>0</v>
      </c>
      <c r="O209" s="83"/>
      <c r="P209" s="83"/>
      <c r="Q209" s="83"/>
      <c r="R209" s="83"/>
      <c r="S209" s="83"/>
    </row>
    <row r="210" spans="1:20" s="88" customFormat="1" x14ac:dyDescent="0.25">
      <c r="A210" s="97">
        <f t="shared" si="23"/>
        <v>0</v>
      </c>
      <c r="B210" s="33" t="str">
        <f t="shared" si="29"/>
        <v/>
      </c>
      <c r="C210" s="34"/>
      <c r="D210" s="34"/>
      <c r="E210" s="34"/>
      <c r="F210" s="34"/>
      <c r="G210" s="83"/>
      <c r="H210" s="98">
        <v>205</v>
      </c>
      <c r="I210" s="99" t="str">
        <f t="shared" si="24"/>
        <v/>
      </c>
      <c r="J210" s="98">
        <f t="shared" si="25"/>
        <v>-2</v>
      </c>
      <c r="K210" s="98">
        <f t="shared" si="26"/>
        <v>-20</v>
      </c>
      <c r="L210" s="98"/>
      <c r="M210" s="100">
        <f t="shared" si="27"/>
        <v>0</v>
      </c>
      <c r="N210" s="100">
        <f t="shared" si="28"/>
        <v>0</v>
      </c>
      <c r="O210" s="83"/>
      <c r="P210" s="83"/>
      <c r="Q210" s="83"/>
      <c r="R210" s="83"/>
      <c r="S210" s="112"/>
      <c r="T210" s="113"/>
    </row>
    <row r="211" spans="1:20" s="88" customFormat="1" x14ac:dyDescent="0.25">
      <c r="A211" s="101">
        <f t="shared" si="23"/>
        <v>0</v>
      </c>
      <c r="B211" s="39" t="str">
        <f t="shared" si="29"/>
        <v/>
      </c>
      <c r="C211" s="40"/>
      <c r="D211" s="40"/>
      <c r="E211" s="40"/>
      <c r="F211" s="40"/>
      <c r="G211" s="83"/>
      <c r="H211" s="102">
        <v>206</v>
      </c>
      <c r="I211" s="103" t="str">
        <f t="shared" si="24"/>
        <v/>
      </c>
      <c r="J211" s="102">
        <f t="shared" si="25"/>
        <v>-2</v>
      </c>
      <c r="K211" s="102">
        <f t="shared" si="26"/>
        <v>-20</v>
      </c>
      <c r="L211" s="102"/>
      <c r="M211" s="104">
        <f t="shared" si="27"/>
        <v>0</v>
      </c>
      <c r="N211" s="104">
        <f t="shared" si="28"/>
        <v>0</v>
      </c>
      <c r="O211" s="83"/>
      <c r="P211" s="83"/>
      <c r="Q211" s="83"/>
      <c r="R211" s="83"/>
      <c r="S211" s="83"/>
    </row>
    <row r="212" spans="1:20" s="88" customFormat="1" x14ac:dyDescent="0.25">
      <c r="A212" s="97">
        <f t="shared" si="23"/>
        <v>0</v>
      </c>
      <c r="B212" s="33" t="str">
        <f t="shared" si="29"/>
        <v/>
      </c>
      <c r="C212" s="34"/>
      <c r="D212" s="34"/>
      <c r="E212" s="34"/>
      <c r="F212" s="34"/>
      <c r="G212" s="83"/>
      <c r="H212" s="98">
        <v>207</v>
      </c>
      <c r="I212" s="99" t="str">
        <f t="shared" si="24"/>
        <v/>
      </c>
      <c r="J212" s="98">
        <f t="shared" si="25"/>
        <v>-2</v>
      </c>
      <c r="K212" s="98">
        <f t="shared" si="26"/>
        <v>-20</v>
      </c>
      <c r="L212" s="98"/>
      <c r="M212" s="100">
        <f t="shared" si="27"/>
        <v>0</v>
      </c>
      <c r="N212" s="100">
        <f t="shared" si="28"/>
        <v>0</v>
      </c>
      <c r="O212" s="83"/>
      <c r="P212" s="83"/>
      <c r="Q212" s="83"/>
      <c r="R212" s="83"/>
      <c r="S212" s="112"/>
      <c r="T212" s="113"/>
    </row>
    <row r="213" spans="1:20" s="88" customFormat="1" x14ac:dyDescent="0.25">
      <c r="A213" s="101">
        <f t="shared" si="23"/>
        <v>0</v>
      </c>
      <c r="B213" s="39" t="str">
        <f t="shared" si="29"/>
        <v/>
      </c>
      <c r="C213" s="40"/>
      <c r="D213" s="40"/>
      <c r="E213" s="40"/>
      <c r="F213" s="40"/>
      <c r="G213" s="83"/>
      <c r="H213" s="102">
        <v>208</v>
      </c>
      <c r="I213" s="103" t="str">
        <f t="shared" si="24"/>
        <v/>
      </c>
      <c r="J213" s="102">
        <f t="shared" si="25"/>
        <v>-2</v>
      </c>
      <c r="K213" s="102">
        <f t="shared" si="26"/>
        <v>-20</v>
      </c>
      <c r="L213" s="102"/>
      <c r="M213" s="104">
        <f t="shared" si="27"/>
        <v>0</v>
      </c>
      <c r="N213" s="104">
        <f t="shared" si="28"/>
        <v>0</v>
      </c>
      <c r="O213" s="83"/>
      <c r="P213" s="83"/>
      <c r="Q213" s="83"/>
      <c r="R213" s="83"/>
      <c r="S213" s="83"/>
    </row>
    <row r="214" spans="1:20" s="88" customFormat="1" x14ac:dyDescent="0.25">
      <c r="A214" s="97">
        <f t="shared" si="23"/>
        <v>0</v>
      </c>
      <c r="B214" s="33" t="str">
        <f t="shared" si="29"/>
        <v/>
      </c>
      <c r="C214" s="34"/>
      <c r="D214" s="34"/>
      <c r="E214" s="34"/>
      <c r="F214" s="34"/>
      <c r="G214" s="83"/>
      <c r="H214" s="98">
        <v>209</v>
      </c>
      <c r="I214" s="99" t="str">
        <f t="shared" si="24"/>
        <v/>
      </c>
      <c r="J214" s="98">
        <f t="shared" si="25"/>
        <v>-2</v>
      </c>
      <c r="K214" s="98">
        <f t="shared" si="26"/>
        <v>-20</v>
      </c>
      <c r="L214" s="98"/>
      <c r="M214" s="100">
        <f t="shared" si="27"/>
        <v>0</v>
      </c>
      <c r="N214" s="100">
        <f t="shared" si="28"/>
        <v>0</v>
      </c>
      <c r="O214" s="83"/>
      <c r="P214" s="83"/>
      <c r="Q214" s="83"/>
      <c r="R214" s="83"/>
      <c r="S214" s="112"/>
      <c r="T214" s="113"/>
    </row>
    <row r="215" spans="1:20" s="88" customFormat="1" x14ac:dyDescent="0.25">
      <c r="A215" s="101">
        <f t="shared" si="23"/>
        <v>0</v>
      </c>
      <c r="B215" s="39" t="str">
        <f t="shared" si="29"/>
        <v/>
      </c>
      <c r="C215" s="40"/>
      <c r="D215" s="40"/>
      <c r="E215" s="40"/>
      <c r="F215" s="40"/>
      <c r="G215" s="83"/>
      <c r="H215" s="102">
        <v>210</v>
      </c>
      <c r="I215" s="103" t="str">
        <f t="shared" si="24"/>
        <v/>
      </c>
      <c r="J215" s="102">
        <f t="shared" si="25"/>
        <v>-2</v>
      </c>
      <c r="K215" s="102">
        <f t="shared" si="26"/>
        <v>-20</v>
      </c>
      <c r="L215" s="102"/>
      <c r="M215" s="104">
        <f t="shared" si="27"/>
        <v>0</v>
      </c>
      <c r="N215" s="104">
        <f t="shared" si="28"/>
        <v>0</v>
      </c>
      <c r="O215" s="83"/>
      <c r="P215" s="83"/>
      <c r="Q215" s="83"/>
      <c r="R215" s="83"/>
      <c r="S215" s="83"/>
    </row>
    <row r="216" spans="1:20" s="88" customFormat="1" x14ac:dyDescent="0.25">
      <c r="A216" s="97">
        <f t="shared" si="23"/>
        <v>0</v>
      </c>
      <c r="B216" s="33" t="str">
        <f t="shared" si="29"/>
        <v/>
      </c>
      <c r="C216" s="34"/>
      <c r="D216" s="34"/>
      <c r="E216" s="34"/>
      <c r="F216" s="34"/>
      <c r="G216" s="83"/>
      <c r="H216" s="98">
        <v>211</v>
      </c>
      <c r="I216" s="99" t="str">
        <f t="shared" si="24"/>
        <v/>
      </c>
      <c r="J216" s="98">
        <f t="shared" si="25"/>
        <v>-2</v>
      </c>
      <c r="K216" s="98">
        <f t="shared" si="26"/>
        <v>-20</v>
      </c>
      <c r="L216" s="98"/>
      <c r="M216" s="100">
        <f t="shared" si="27"/>
        <v>0</v>
      </c>
      <c r="N216" s="100">
        <f t="shared" si="28"/>
        <v>0</v>
      </c>
      <c r="O216" s="83"/>
      <c r="P216" s="83"/>
      <c r="Q216" s="83"/>
      <c r="R216" s="83"/>
      <c r="S216" s="112"/>
      <c r="T216" s="113"/>
    </row>
    <row r="217" spans="1:20" s="88" customFormat="1" x14ac:dyDescent="0.25">
      <c r="A217" s="101">
        <f t="shared" si="23"/>
        <v>0</v>
      </c>
      <c r="B217" s="39" t="str">
        <f t="shared" si="29"/>
        <v/>
      </c>
      <c r="C217" s="40"/>
      <c r="D217" s="40"/>
      <c r="E217" s="40"/>
      <c r="F217" s="40"/>
      <c r="G217" s="83"/>
      <c r="H217" s="102">
        <v>212</v>
      </c>
      <c r="I217" s="103" t="str">
        <f t="shared" si="24"/>
        <v/>
      </c>
      <c r="J217" s="102">
        <f t="shared" si="25"/>
        <v>-2</v>
      </c>
      <c r="K217" s="102">
        <f t="shared" si="26"/>
        <v>-20</v>
      </c>
      <c r="L217" s="102"/>
      <c r="M217" s="104">
        <f t="shared" si="27"/>
        <v>0</v>
      </c>
      <c r="N217" s="104">
        <f t="shared" si="28"/>
        <v>0</v>
      </c>
      <c r="O217" s="83"/>
      <c r="P217" s="83"/>
      <c r="Q217" s="83"/>
      <c r="R217" s="83"/>
      <c r="S217" s="83"/>
    </row>
    <row r="218" spans="1:20" s="88" customFormat="1" x14ac:dyDescent="0.25">
      <c r="A218" s="97">
        <f t="shared" si="23"/>
        <v>0</v>
      </c>
      <c r="B218" s="33" t="str">
        <f t="shared" si="29"/>
        <v/>
      </c>
      <c r="C218" s="34"/>
      <c r="D218" s="34"/>
      <c r="E218" s="34"/>
      <c r="F218" s="34"/>
      <c r="G218" s="83"/>
      <c r="H218" s="98">
        <v>213</v>
      </c>
      <c r="I218" s="99" t="str">
        <f t="shared" si="24"/>
        <v/>
      </c>
      <c r="J218" s="98">
        <f t="shared" si="25"/>
        <v>-2</v>
      </c>
      <c r="K218" s="98">
        <f t="shared" si="26"/>
        <v>-20</v>
      </c>
      <c r="L218" s="98"/>
      <c r="M218" s="100">
        <f t="shared" si="27"/>
        <v>0</v>
      </c>
      <c r="N218" s="100">
        <f t="shared" si="28"/>
        <v>0</v>
      </c>
      <c r="O218" s="83"/>
      <c r="P218" s="83"/>
      <c r="Q218" s="83"/>
      <c r="R218" s="83"/>
      <c r="S218" s="112"/>
      <c r="T218" s="113"/>
    </row>
    <row r="219" spans="1:20" s="88" customFormat="1" x14ac:dyDescent="0.25">
      <c r="A219" s="101">
        <f t="shared" si="23"/>
        <v>0</v>
      </c>
      <c r="B219" s="39" t="str">
        <f t="shared" si="29"/>
        <v/>
      </c>
      <c r="C219" s="40"/>
      <c r="D219" s="40"/>
      <c r="E219" s="40"/>
      <c r="F219" s="40"/>
      <c r="G219" s="83"/>
      <c r="H219" s="102">
        <v>214</v>
      </c>
      <c r="I219" s="103" t="str">
        <f t="shared" si="24"/>
        <v/>
      </c>
      <c r="J219" s="102">
        <f t="shared" si="25"/>
        <v>-2</v>
      </c>
      <c r="K219" s="102">
        <f t="shared" si="26"/>
        <v>-20</v>
      </c>
      <c r="L219" s="102"/>
      <c r="M219" s="104">
        <f t="shared" si="27"/>
        <v>0</v>
      </c>
      <c r="N219" s="104">
        <f t="shared" si="28"/>
        <v>0</v>
      </c>
      <c r="O219" s="83"/>
      <c r="P219" s="83"/>
      <c r="Q219" s="83"/>
      <c r="R219" s="83"/>
      <c r="S219" s="83"/>
    </row>
    <row r="220" spans="1:20" s="88" customFormat="1" x14ac:dyDescent="0.25">
      <c r="A220" s="97">
        <f t="shared" si="23"/>
        <v>0</v>
      </c>
      <c r="B220" s="33" t="str">
        <f t="shared" si="29"/>
        <v/>
      </c>
      <c r="C220" s="34"/>
      <c r="D220" s="34"/>
      <c r="E220" s="34"/>
      <c r="F220" s="34"/>
      <c r="G220" s="83"/>
      <c r="H220" s="98">
        <v>215</v>
      </c>
      <c r="I220" s="99" t="str">
        <f t="shared" si="24"/>
        <v/>
      </c>
      <c r="J220" s="98">
        <f t="shared" si="25"/>
        <v>-2</v>
      </c>
      <c r="K220" s="98">
        <f t="shared" si="26"/>
        <v>-20</v>
      </c>
      <c r="L220" s="98"/>
      <c r="M220" s="100">
        <f t="shared" si="27"/>
        <v>0</v>
      </c>
      <c r="N220" s="100">
        <f t="shared" si="28"/>
        <v>0</v>
      </c>
      <c r="O220" s="83"/>
      <c r="P220" s="83"/>
      <c r="Q220" s="83"/>
      <c r="R220" s="83"/>
      <c r="S220" s="112"/>
      <c r="T220" s="113"/>
    </row>
    <row r="221" spans="1:20" s="88" customFormat="1" x14ac:dyDescent="0.25">
      <c r="A221" s="101">
        <f t="shared" si="23"/>
        <v>0</v>
      </c>
      <c r="B221" s="39" t="str">
        <f t="shared" si="29"/>
        <v/>
      </c>
      <c r="C221" s="40"/>
      <c r="D221" s="40"/>
      <c r="E221" s="40"/>
      <c r="F221" s="40"/>
      <c r="G221" s="83"/>
      <c r="H221" s="102">
        <v>216</v>
      </c>
      <c r="I221" s="103" t="str">
        <f t="shared" si="24"/>
        <v/>
      </c>
      <c r="J221" s="102">
        <f t="shared" si="25"/>
        <v>-2</v>
      </c>
      <c r="K221" s="102">
        <f t="shared" si="26"/>
        <v>-20</v>
      </c>
      <c r="L221" s="102"/>
      <c r="M221" s="104">
        <f t="shared" si="27"/>
        <v>0</v>
      </c>
      <c r="N221" s="104">
        <f t="shared" si="28"/>
        <v>0</v>
      </c>
      <c r="O221" s="83"/>
      <c r="P221" s="83"/>
      <c r="Q221" s="83"/>
      <c r="R221" s="83"/>
      <c r="S221" s="83"/>
    </row>
    <row r="222" spans="1:20" s="88" customFormat="1" x14ac:dyDescent="0.25">
      <c r="A222" s="97">
        <f t="shared" si="23"/>
        <v>0</v>
      </c>
      <c r="B222" s="33" t="str">
        <f t="shared" si="29"/>
        <v/>
      </c>
      <c r="C222" s="34"/>
      <c r="D222" s="34"/>
      <c r="E222" s="34"/>
      <c r="F222" s="34"/>
      <c r="G222" s="83"/>
      <c r="H222" s="98">
        <v>217</v>
      </c>
      <c r="I222" s="99" t="str">
        <f t="shared" si="24"/>
        <v/>
      </c>
      <c r="J222" s="98">
        <f t="shared" si="25"/>
        <v>-2</v>
      </c>
      <c r="K222" s="98">
        <f t="shared" si="26"/>
        <v>-20</v>
      </c>
      <c r="L222" s="98"/>
      <c r="M222" s="100">
        <f t="shared" si="27"/>
        <v>0</v>
      </c>
      <c r="N222" s="100">
        <f t="shared" si="28"/>
        <v>0</v>
      </c>
      <c r="O222" s="83"/>
      <c r="P222" s="83"/>
      <c r="Q222" s="83"/>
      <c r="R222" s="83"/>
      <c r="S222" s="112"/>
      <c r="T222" s="113"/>
    </row>
    <row r="223" spans="1:20" s="88" customFormat="1" x14ac:dyDescent="0.25">
      <c r="A223" s="101">
        <f t="shared" si="23"/>
        <v>0</v>
      </c>
      <c r="B223" s="39" t="str">
        <f t="shared" si="29"/>
        <v/>
      </c>
      <c r="C223" s="40"/>
      <c r="D223" s="40"/>
      <c r="E223" s="40"/>
      <c r="F223" s="40"/>
      <c r="G223" s="83"/>
      <c r="H223" s="102">
        <v>218</v>
      </c>
      <c r="I223" s="103" t="str">
        <f t="shared" si="24"/>
        <v/>
      </c>
      <c r="J223" s="102">
        <f t="shared" si="25"/>
        <v>-2</v>
      </c>
      <c r="K223" s="102">
        <f t="shared" si="26"/>
        <v>-20</v>
      </c>
      <c r="L223" s="102"/>
      <c r="M223" s="104">
        <f t="shared" si="27"/>
        <v>0</v>
      </c>
      <c r="N223" s="104">
        <f t="shared" si="28"/>
        <v>0</v>
      </c>
      <c r="O223" s="83"/>
      <c r="P223" s="83"/>
      <c r="Q223" s="83"/>
      <c r="R223" s="83"/>
      <c r="S223" s="83"/>
    </row>
    <row r="224" spans="1:20" s="88" customFormat="1" x14ac:dyDescent="0.25">
      <c r="A224" s="97">
        <f t="shared" si="23"/>
        <v>0</v>
      </c>
      <c r="B224" s="33" t="str">
        <f t="shared" si="29"/>
        <v/>
      </c>
      <c r="C224" s="34"/>
      <c r="D224" s="34"/>
      <c r="E224" s="34"/>
      <c r="F224" s="34"/>
      <c r="G224" s="83"/>
      <c r="H224" s="98">
        <v>219</v>
      </c>
      <c r="I224" s="99" t="str">
        <f t="shared" si="24"/>
        <v/>
      </c>
      <c r="J224" s="98">
        <f t="shared" si="25"/>
        <v>-2</v>
      </c>
      <c r="K224" s="98">
        <f t="shared" si="26"/>
        <v>-20</v>
      </c>
      <c r="L224" s="98"/>
      <c r="M224" s="100">
        <f t="shared" si="27"/>
        <v>0</v>
      </c>
      <c r="N224" s="100">
        <f t="shared" si="28"/>
        <v>0</v>
      </c>
      <c r="O224" s="83"/>
      <c r="P224" s="83"/>
      <c r="Q224" s="83"/>
      <c r="R224" s="83"/>
      <c r="S224" s="112"/>
      <c r="T224" s="113"/>
    </row>
    <row r="225" spans="1:20" s="88" customFormat="1" x14ac:dyDescent="0.25">
      <c r="A225" s="101">
        <f t="shared" si="23"/>
        <v>0</v>
      </c>
      <c r="B225" s="39" t="str">
        <f t="shared" si="29"/>
        <v/>
      </c>
      <c r="C225" s="40"/>
      <c r="D225" s="40"/>
      <c r="E225" s="40"/>
      <c r="F225" s="40"/>
      <c r="G225" s="83"/>
      <c r="H225" s="102">
        <v>220</v>
      </c>
      <c r="I225" s="103" t="str">
        <f t="shared" si="24"/>
        <v/>
      </c>
      <c r="J225" s="102">
        <f t="shared" si="25"/>
        <v>-2</v>
      </c>
      <c r="K225" s="102">
        <f t="shared" si="26"/>
        <v>-20</v>
      </c>
      <c r="L225" s="102"/>
      <c r="M225" s="104">
        <f t="shared" si="27"/>
        <v>0</v>
      </c>
      <c r="N225" s="104">
        <f t="shared" si="28"/>
        <v>0</v>
      </c>
      <c r="O225" s="83"/>
      <c r="P225" s="83"/>
      <c r="Q225" s="83"/>
      <c r="R225" s="83"/>
      <c r="S225" s="83"/>
    </row>
    <row r="226" spans="1:20" s="88" customFormat="1" x14ac:dyDescent="0.25">
      <c r="A226" s="97">
        <f t="shared" si="23"/>
        <v>0</v>
      </c>
      <c r="B226" s="33" t="str">
        <f t="shared" si="29"/>
        <v/>
      </c>
      <c r="C226" s="34"/>
      <c r="D226" s="34"/>
      <c r="E226" s="34"/>
      <c r="F226" s="34"/>
      <c r="G226" s="83"/>
      <c r="H226" s="98">
        <v>221</v>
      </c>
      <c r="I226" s="99" t="str">
        <f t="shared" si="24"/>
        <v/>
      </c>
      <c r="J226" s="98">
        <f t="shared" si="25"/>
        <v>-2</v>
      </c>
      <c r="K226" s="98">
        <f t="shared" si="26"/>
        <v>-20</v>
      </c>
      <c r="L226" s="98"/>
      <c r="M226" s="100">
        <f t="shared" si="27"/>
        <v>0</v>
      </c>
      <c r="N226" s="100">
        <f t="shared" si="28"/>
        <v>0</v>
      </c>
      <c r="O226" s="83"/>
      <c r="P226" s="83"/>
      <c r="Q226" s="83"/>
      <c r="R226" s="83"/>
      <c r="S226" s="112"/>
      <c r="T226" s="113"/>
    </row>
    <row r="227" spans="1:20" s="88" customFormat="1" x14ac:dyDescent="0.25">
      <c r="A227" s="101">
        <f t="shared" si="23"/>
        <v>0</v>
      </c>
      <c r="B227" s="39" t="str">
        <f t="shared" si="29"/>
        <v/>
      </c>
      <c r="C227" s="40"/>
      <c r="D227" s="40"/>
      <c r="E227" s="40"/>
      <c r="F227" s="40"/>
      <c r="G227" s="83"/>
      <c r="H227" s="102">
        <v>222</v>
      </c>
      <c r="I227" s="103" t="str">
        <f t="shared" si="24"/>
        <v/>
      </c>
      <c r="J227" s="102">
        <f t="shared" si="25"/>
        <v>-2</v>
      </c>
      <c r="K227" s="102">
        <f t="shared" si="26"/>
        <v>-20</v>
      </c>
      <c r="L227" s="102"/>
      <c r="M227" s="104">
        <f t="shared" si="27"/>
        <v>0</v>
      </c>
      <c r="N227" s="104">
        <f t="shared" si="28"/>
        <v>0</v>
      </c>
      <c r="O227" s="83"/>
      <c r="P227" s="83"/>
      <c r="Q227" s="83"/>
      <c r="R227" s="83"/>
      <c r="S227" s="83"/>
    </row>
    <row r="228" spans="1:20" s="88" customFormat="1" x14ac:dyDescent="0.25">
      <c r="A228" s="97">
        <f t="shared" si="23"/>
        <v>0</v>
      </c>
      <c r="B228" s="33" t="str">
        <f t="shared" si="29"/>
        <v/>
      </c>
      <c r="C228" s="34"/>
      <c r="D228" s="34"/>
      <c r="E228" s="34"/>
      <c r="F228" s="34"/>
      <c r="G228" s="83"/>
      <c r="H228" s="98">
        <v>223</v>
      </c>
      <c r="I228" s="99" t="str">
        <f t="shared" si="24"/>
        <v/>
      </c>
      <c r="J228" s="98">
        <f t="shared" si="25"/>
        <v>-2</v>
      </c>
      <c r="K228" s="98">
        <f t="shared" si="26"/>
        <v>-20</v>
      </c>
      <c r="L228" s="98"/>
      <c r="M228" s="100">
        <f t="shared" si="27"/>
        <v>0</v>
      </c>
      <c r="N228" s="100">
        <f t="shared" si="28"/>
        <v>0</v>
      </c>
      <c r="O228" s="83"/>
      <c r="P228" s="83"/>
      <c r="Q228" s="83"/>
      <c r="R228" s="83"/>
      <c r="S228" s="112"/>
      <c r="T228" s="113"/>
    </row>
    <row r="229" spans="1:20" s="88" customFormat="1" x14ac:dyDescent="0.25">
      <c r="A229" s="101">
        <f t="shared" si="23"/>
        <v>0</v>
      </c>
      <c r="B229" s="39" t="str">
        <f t="shared" si="29"/>
        <v/>
      </c>
      <c r="C229" s="40"/>
      <c r="D229" s="40"/>
      <c r="E229" s="40"/>
      <c r="F229" s="40"/>
      <c r="G229" s="83"/>
      <c r="H229" s="102">
        <v>224</v>
      </c>
      <c r="I229" s="103" t="str">
        <f t="shared" si="24"/>
        <v/>
      </c>
      <c r="J229" s="102">
        <f t="shared" si="25"/>
        <v>-2</v>
      </c>
      <c r="K229" s="102">
        <f t="shared" si="26"/>
        <v>-20</v>
      </c>
      <c r="L229" s="102"/>
      <c r="M229" s="104">
        <f t="shared" si="27"/>
        <v>0</v>
      </c>
      <c r="N229" s="104">
        <f t="shared" si="28"/>
        <v>0</v>
      </c>
      <c r="O229" s="83"/>
      <c r="P229" s="83"/>
      <c r="Q229" s="83"/>
      <c r="R229" s="83"/>
      <c r="S229" s="83"/>
    </row>
    <row r="230" spans="1:20" s="88" customFormat="1" x14ac:dyDescent="0.25">
      <c r="A230" s="97">
        <f t="shared" si="23"/>
        <v>0</v>
      </c>
      <c r="B230" s="33" t="str">
        <f t="shared" si="29"/>
        <v/>
      </c>
      <c r="C230" s="34"/>
      <c r="D230" s="34"/>
      <c r="E230" s="34"/>
      <c r="F230" s="34"/>
      <c r="G230" s="83"/>
      <c r="H230" s="98">
        <v>225</v>
      </c>
      <c r="I230" s="99" t="str">
        <f t="shared" si="24"/>
        <v/>
      </c>
      <c r="J230" s="98">
        <f t="shared" si="25"/>
        <v>-2</v>
      </c>
      <c r="K230" s="98">
        <f t="shared" si="26"/>
        <v>-20</v>
      </c>
      <c r="L230" s="98"/>
      <c r="M230" s="100">
        <f t="shared" si="27"/>
        <v>0</v>
      </c>
      <c r="N230" s="100">
        <f t="shared" si="28"/>
        <v>0</v>
      </c>
      <c r="O230" s="83"/>
      <c r="P230" s="83"/>
      <c r="Q230" s="83"/>
      <c r="R230" s="83"/>
      <c r="S230" s="112"/>
      <c r="T230" s="113"/>
    </row>
    <row r="231" spans="1:20" s="88" customFormat="1" x14ac:dyDescent="0.25">
      <c r="A231" s="101">
        <f t="shared" si="23"/>
        <v>0</v>
      </c>
      <c r="B231" s="39" t="str">
        <f t="shared" si="29"/>
        <v/>
      </c>
      <c r="C231" s="40"/>
      <c r="D231" s="40"/>
      <c r="E231" s="40"/>
      <c r="F231" s="40"/>
      <c r="G231" s="83"/>
      <c r="H231" s="102">
        <v>226</v>
      </c>
      <c r="I231" s="103" t="str">
        <f t="shared" si="24"/>
        <v/>
      </c>
      <c r="J231" s="102">
        <f t="shared" si="25"/>
        <v>-2</v>
      </c>
      <c r="K231" s="102">
        <f t="shared" si="26"/>
        <v>-20</v>
      </c>
      <c r="L231" s="102"/>
      <c r="M231" s="104">
        <f t="shared" si="27"/>
        <v>0</v>
      </c>
      <c r="N231" s="104">
        <f t="shared" si="28"/>
        <v>0</v>
      </c>
      <c r="O231" s="83"/>
      <c r="P231" s="83"/>
      <c r="Q231" s="83"/>
      <c r="R231" s="83"/>
      <c r="S231" s="83"/>
    </row>
    <row r="232" spans="1:20" s="88" customFormat="1" x14ac:dyDescent="0.25">
      <c r="A232" s="97">
        <f t="shared" si="23"/>
        <v>0</v>
      </c>
      <c r="B232" s="33" t="str">
        <f t="shared" si="29"/>
        <v/>
      </c>
      <c r="C232" s="34"/>
      <c r="D232" s="34"/>
      <c r="E232" s="34"/>
      <c r="F232" s="34"/>
      <c r="G232" s="83"/>
      <c r="H232" s="98">
        <v>227</v>
      </c>
      <c r="I232" s="99" t="str">
        <f t="shared" si="24"/>
        <v/>
      </c>
      <c r="J232" s="98">
        <f t="shared" si="25"/>
        <v>-2</v>
      </c>
      <c r="K232" s="98">
        <f t="shared" si="26"/>
        <v>-20</v>
      </c>
      <c r="L232" s="98"/>
      <c r="M232" s="100">
        <f t="shared" si="27"/>
        <v>0</v>
      </c>
      <c r="N232" s="100">
        <f t="shared" si="28"/>
        <v>0</v>
      </c>
      <c r="O232" s="83"/>
      <c r="P232" s="83"/>
      <c r="Q232" s="83"/>
      <c r="R232" s="83"/>
      <c r="S232" s="112"/>
      <c r="T232" s="113"/>
    </row>
    <row r="233" spans="1:20" s="88" customFormat="1" x14ac:dyDescent="0.25">
      <c r="A233" s="101">
        <f t="shared" si="23"/>
        <v>0</v>
      </c>
      <c r="B233" s="39" t="str">
        <f t="shared" si="29"/>
        <v/>
      </c>
      <c r="C233" s="40"/>
      <c r="D233" s="40"/>
      <c r="E233" s="40"/>
      <c r="F233" s="40"/>
      <c r="G233" s="83"/>
      <c r="H233" s="102">
        <v>228</v>
      </c>
      <c r="I233" s="103" t="str">
        <f t="shared" si="24"/>
        <v/>
      </c>
      <c r="J233" s="102">
        <f t="shared" si="25"/>
        <v>-2</v>
      </c>
      <c r="K233" s="102">
        <f t="shared" si="26"/>
        <v>-20</v>
      </c>
      <c r="L233" s="102"/>
      <c r="M233" s="104">
        <f t="shared" si="27"/>
        <v>0</v>
      </c>
      <c r="N233" s="104">
        <f t="shared" si="28"/>
        <v>0</v>
      </c>
      <c r="O233" s="83"/>
      <c r="P233" s="83"/>
      <c r="Q233" s="83"/>
      <c r="R233" s="83"/>
      <c r="S233" s="83"/>
    </row>
    <row r="234" spans="1:20" s="88" customFormat="1" x14ac:dyDescent="0.25">
      <c r="A234" s="97">
        <f t="shared" si="23"/>
        <v>0</v>
      </c>
      <c r="B234" s="33" t="str">
        <f t="shared" si="29"/>
        <v/>
      </c>
      <c r="C234" s="34"/>
      <c r="D234" s="34"/>
      <c r="E234" s="34"/>
      <c r="F234" s="34"/>
      <c r="G234" s="83"/>
      <c r="H234" s="98">
        <v>229</v>
      </c>
      <c r="I234" s="99" t="str">
        <f t="shared" si="24"/>
        <v/>
      </c>
      <c r="J234" s="98">
        <f t="shared" si="25"/>
        <v>-2</v>
      </c>
      <c r="K234" s="98">
        <f t="shared" si="26"/>
        <v>-20</v>
      </c>
      <c r="L234" s="98"/>
      <c r="M234" s="100">
        <f t="shared" si="27"/>
        <v>0</v>
      </c>
      <c r="N234" s="100">
        <f t="shared" si="28"/>
        <v>0</v>
      </c>
      <c r="O234" s="83"/>
      <c r="P234" s="83"/>
      <c r="Q234" s="83"/>
      <c r="R234" s="83"/>
      <c r="S234" s="112"/>
      <c r="T234" s="113"/>
    </row>
    <row r="235" spans="1:20" s="88" customFormat="1" x14ac:dyDescent="0.25">
      <c r="A235" s="101">
        <f t="shared" si="23"/>
        <v>0</v>
      </c>
      <c r="B235" s="39" t="str">
        <f t="shared" si="29"/>
        <v/>
      </c>
      <c r="C235" s="40"/>
      <c r="D235" s="40"/>
      <c r="E235" s="40"/>
      <c r="F235" s="40"/>
      <c r="G235" s="83"/>
      <c r="H235" s="102">
        <v>230</v>
      </c>
      <c r="I235" s="103" t="str">
        <f t="shared" si="24"/>
        <v/>
      </c>
      <c r="J235" s="102">
        <f t="shared" si="25"/>
        <v>-2</v>
      </c>
      <c r="K235" s="102">
        <f t="shared" si="26"/>
        <v>-20</v>
      </c>
      <c r="L235" s="102"/>
      <c r="M235" s="104">
        <f t="shared" si="27"/>
        <v>0</v>
      </c>
      <c r="N235" s="104">
        <f t="shared" si="28"/>
        <v>0</v>
      </c>
      <c r="O235" s="83"/>
      <c r="P235" s="83"/>
      <c r="Q235" s="83"/>
      <c r="R235" s="83"/>
      <c r="S235" s="83"/>
    </row>
    <row r="236" spans="1:20" s="88" customFormat="1" x14ac:dyDescent="0.25">
      <c r="A236" s="97">
        <f t="shared" si="23"/>
        <v>0</v>
      </c>
      <c r="B236" s="33" t="str">
        <f t="shared" si="29"/>
        <v/>
      </c>
      <c r="C236" s="34"/>
      <c r="D236" s="34"/>
      <c r="E236" s="34"/>
      <c r="F236" s="34"/>
      <c r="G236" s="83"/>
      <c r="H236" s="98">
        <v>231</v>
      </c>
      <c r="I236" s="99" t="str">
        <f t="shared" si="24"/>
        <v/>
      </c>
      <c r="J236" s="98">
        <f t="shared" si="25"/>
        <v>-2</v>
      </c>
      <c r="K236" s="98">
        <f t="shared" si="26"/>
        <v>-20</v>
      </c>
      <c r="L236" s="98"/>
      <c r="M236" s="100">
        <f t="shared" si="27"/>
        <v>0</v>
      </c>
      <c r="N236" s="100">
        <f t="shared" si="28"/>
        <v>0</v>
      </c>
      <c r="O236" s="83"/>
      <c r="P236" s="83"/>
      <c r="Q236" s="83"/>
      <c r="R236" s="83"/>
      <c r="S236" s="112"/>
      <c r="T236" s="113"/>
    </row>
    <row r="237" spans="1:20" s="88" customFormat="1" x14ac:dyDescent="0.25">
      <c r="A237" s="101">
        <f t="shared" si="23"/>
        <v>0</v>
      </c>
      <c r="B237" s="39" t="str">
        <f t="shared" si="29"/>
        <v/>
      </c>
      <c r="C237" s="40"/>
      <c r="D237" s="40"/>
      <c r="E237" s="40"/>
      <c r="F237" s="40"/>
      <c r="G237" s="83"/>
      <c r="H237" s="102">
        <v>232</v>
      </c>
      <c r="I237" s="103" t="str">
        <f t="shared" si="24"/>
        <v/>
      </c>
      <c r="J237" s="102">
        <f t="shared" si="25"/>
        <v>-2</v>
      </c>
      <c r="K237" s="102">
        <f t="shared" si="26"/>
        <v>-20</v>
      </c>
      <c r="L237" s="102"/>
      <c r="M237" s="104">
        <f t="shared" si="27"/>
        <v>0</v>
      </c>
      <c r="N237" s="104">
        <f t="shared" si="28"/>
        <v>0</v>
      </c>
      <c r="O237" s="83"/>
      <c r="P237" s="83"/>
      <c r="Q237" s="83"/>
      <c r="R237" s="83"/>
      <c r="S237" s="83"/>
    </row>
    <row r="238" spans="1:20" s="88" customFormat="1" x14ac:dyDescent="0.25">
      <c r="A238" s="97">
        <f t="shared" si="23"/>
        <v>0</v>
      </c>
      <c r="B238" s="33" t="str">
        <f t="shared" si="29"/>
        <v/>
      </c>
      <c r="C238" s="34"/>
      <c r="D238" s="34"/>
      <c r="E238" s="34"/>
      <c r="F238" s="34"/>
      <c r="G238" s="83"/>
      <c r="H238" s="98">
        <v>233</v>
      </c>
      <c r="I238" s="99" t="str">
        <f t="shared" si="24"/>
        <v/>
      </c>
      <c r="J238" s="98">
        <f t="shared" si="25"/>
        <v>-2</v>
      </c>
      <c r="K238" s="98">
        <f t="shared" si="26"/>
        <v>-20</v>
      </c>
      <c r="L238" s="98"/>
      <c r="M238" s="100">
        <f t="shared" si="27"/>
        <v>0</v>
      </c>
      <c r="N238" s="100">
        <f t="shared" si="28"/>
        <v>0</v>
      </c>
      <c r="O238" s="83"/>
      <c r="P238" s="83"/>
      <c r="Q238" s="83"/>
      <c r="R238" s="83"/>
      <c r="S238" s="112"/>
      <c r="T238" s="113"/>
    </row>
    <row r="239" spans="1:20" s="88" customFormat="1" x14ac:dyDescent="0.25">
      <c r="A239" s="101">
        <f t="shared" si="23"/>
        <v>0</v>
      </c>
      <c r="B239" s="39" t="str">
        <f t="shared" si="29"/>
        <v/>
      </c>
      <c r="C239" s="40"/>
      <c r="D239" s="40"/>
      <c r="E239" s="40"/>
      <c r="F239" s="40"/>
      <c r="G239" s="83"/>
      <c r="H239" s="102">
        <v>234</v>
      </c>
      <c r="I239" s="103" t="str">
        <f t="shared" si="24"/>
        <v/>
      </c>
      <c r="J239" s="102">
        <f t="shared" si="25"/>
        <v>-2</v>
      </c>
      <c r="K239" s="102">
        <f t="shared" si="26"/>
        <v>-20</v>
      </c>
      <c r="L239" s="102"/>
      <c r="M239" s="104">
        <f t="shared" si="27"/>
        <v>0</v>
      </c>
      <c r="N239" s="104">
        <f t="shared" si="28"/>
        <v>0</v>
      </c>
      <c r="O239" s="83"/>
      <c r="P239" s="83"/>
      <c r="Q239" s="83"/>
      <c r="R239" s="83"/>
      <c r="S239" s="83"/>
    </row>
    <row r="240" spans="1:20" s="88" customFormat="1" x14ac:dyDescent="0.25">
      <c r="A240" s="97">
        <f t="shared" si="23"/>
        <v>0</v>
      </c>
      <c r="B240" s="33" t="str">
        <f t="shared" si="29"/>
        <v/>
      </c>
      <c r="C240" s="34"/>
      <c r="D240" s="34"/>
      <c r="E240" s="34"/>
      <c r="F240" s="34"/>
      <c r="G240" s="83"/>
      <c r="H240" s="98">
        <v>235</v>
      </c>
      <c r="I240" s="99" t="str">
        <f t="shared" si="24"/>
        <v/>
      </c>
      <c r="J240" s="98">
        <f t="shared" si="25"/>
        <v>-2</v>
      </c>
      <c r="K240" s="98">
        <f t="shared" si="26"/>
        <v>-20</v>
      </c>
      <c r="L240" s="98"/>
      <c r="M240" s="100">
        <f t="shared" si="27"/>
        <v>0</v>
      </c>
      <c r="N240" s="100">
        <f t="shared" si="28"/>
        <v>0</v>
      </c>
      <c r="O240" s="83"/>
      <c r="P240" s="83"/>
      <c r="Q240" s="83"/>
      <c r="R240" s="83"/>
      <c r="S240" s="112"/>
      <c r="T240" s="113"/>
    </row>
    <row r="241" spans="1:20" s="88" customFormat="1" x14ac:dyDescent="0.25">
      <c r="A241" s="101">
        <f t="shared" si="23"/>
        <v>0</v>
      </c>
      <c r="B241" s="39" t="str">
        <f t="shared" si="29"/>
        <v/>
      </c>
      <c r="C241" s="40"/>
      <c r="D241" s="40"/>
      <c r="E241" s="40"/>
      <c r="F241" s="40"/>
      <c r="G241" s="83"/>
      <c r="H241" s="102">
        <v>236</v>
      </c>
      <c r="I241" s="103" t="str">
        <f t="shared" si="24"/>
        <v/>
      </c>
      <c r="J241" s="102">
        <f t="shared" si="25"/>
        <v>-2</v>
      </c>
      <c r="K241" s="102">
        <f t="shared" si="26"/>
        <v>-20</v>
      </c>
      <c r="L241" s="102"/>
      <c r="M241" s="104">
        <f t="shared" si="27"/>
        <v>0</v>
      </c>
      <c r="N241" s="104">
        <f t="shared" si="28"/>
        <v>0</v>
      </c>
      <c r="O241" s="83"/>
      <c r="P241" s="83"/>
      <c r="Q241" s="83"/>
      <c r="R241" s="83"/>
      <c r="S241" s="83"/>
    </row>
    <row r="242" spans="1:20" s="88" customFormat="1" x14ac:dyDescent="0.25">
      <c r="A242" s="97">
        <f t="shared" si="23"/>
        <v>0</v>
      </c>
      <c r="B242" s="33" t="str">
        <f t="shared" si="29"/>
        <v/>
      </c>
      <c r="C242" s="34"/>
      <c r="D242" s="34"/>
      <c r="E242" s="34"/>
      <c r="F242" s="34"/>
      <c r="G242" s="83"/>
      <c r="H242" s="98">
        <v>237</v>
      </c>
      <c r="I242" s="99" t="str">
        <f t="shared" si="24"/>
        <v/>
      </c>
      <c r="J242" s="98">
        <f t="shared" si="25"/>
        <v>-2</v>
      </c>
      <c r="K242" s="98">
        <f t="shared" si="26"/>
        <v>-20</v>
      </c>
      <c r="L242" s="98"/>
      <c r="M242" s="100">
        <f t="shared" si="27"/>
        <v>0</v>
      </c>
      <c r="N242" s="100">
        <f t="shared" si="28"/>
        <v>0</v>
      </c>
      <c r="O242" s="83"/>
      <c r="P242" s="83"/>
      <c r="Q242" s="83"/>
      <c r="R242" s="83"/>
      <c r="S242" s="112"/>
      <c r="T242" s="113"/>
    </row>
    <row r="243" spans="1:20" s="88" customFormat="1" x14ac:dyDescent="0.25">
      <c r="A243" s="101">
        <f t="shared" si="23"/>
        <v>0</v>
      </c>
      <c r="B243" s="39" t="str">
        <f t="shared" si="29"/>
        <v/>
      </c>
      <c r="C243" s="40"/>
      <c r="D243" s="40"/>
      <c r="E243" s="40"/>
      <c r="F243" s="40"/>
      <c r="G243" s="83"/>
      <c r="H243" s="102">
        <v>238</v>
      </c>
      <c r="I243" s="103" t="str">
        <f t="shared" si="24"/>
        <v/>
      </c>
      <c r="J243" s="102">
        <f t="shared" si="25"/>
        <v>-2</v>
      </c>
      <c r="K243" s="102">
        <f t="shared" si="26"/>
        <v>-20</v>
      </c>
      <c r="L243" s="102"/>
      <c r="M243" s="104">
        <f t="shared" si="27"/>
        <v>0</v>
      </c>
      <c r="N243" s="104">
        <f t="shared" si="28"/>
        <v>0</v>
      </c>
      <c r="O243" s="83"/>
      <c r="P243" s="83"/>
      <c r="Q243" s="83"/>
      <c r="R243" s="83"/>
      <c r="S243" s="83"/>
    </row>
    <row r="244" spans="1:20" s="88" customFormat="1" x14ac:dyDescent="0.25">
      <c r="A244" s="97">
        <f t="shared" si="23"/>
        <v>0</v>
      </c>
      <c r="B244" s="33" t="str">
        <f t="shared" si="29"/>
        <v/>
      </c>
      <c r="C244" s="34"/>
      <c r="D244" s="34"/>
      <c r="E244" s="34"/>
      <c r="F244" s="34"/>
      <c r="G244" s="83"/>
      <c r="H244" s="98">
        <v>239</v>
      </c>
      <c r="I244" s="99" t="str">
        <f t="shared" si="24"/>
        <v/>
      </c>
      <c r="J244" s="98">
        <f t="shared" si="25"/>
        <v>-2</v>
      </c>
      <c r="K244" s="98">
        <f t="shared" si="26"/>
        <v>-20</v>
      </c>
      <c r="L244" s="98"/>
      <c r="M244" s="100">
        <f t="shared" si="27"/>
        <v>0</v>
      </c>
      <c r="N244" s="100">
        <f t="shared" si="28"/>
        <v>0</v>
      </c>
      <c r="O244" s="83"/>
      <c r="P244" s="83"/>
      <c r="Q244" s="83"/>
      <c r="R244" s="83"/>
      <c r="S244" s="112"/>
      <c r="T244" s="113"/>
    </row>
    <row r="245" spans="1:20" s="88" customFormat="1" x14ac:dyDescent="0.25">
      <c r="A245" s="101">
        <f t="shared" si="23"/>
        <v>0</v>
      </c>
      <c r="B245" s="39" t="str">
        <f t="shared" si="29"/>
        <v/>
      </c>
      <c r="C245" s="40"/>
      <c r="D245" s="40"/>
      <c r="E245" s="40"/>
      <c r="F245" s="40"/>
      <c r="G245" s="83"/>
      <c r="H245" s="102">
        <v>240</v>
      </c>
      <c r="I245" s="103" t="str">
        <f t="shared" si="24"/>
        <v/>
      </c>
      <c r="J245" s="102">
        <f t="shared" si="25"/>
        <v>-2</v>
      </c>
      <c r="K245" s="102">
        <f t="shared" si="26"/>
        <v>-20</v>
      </c>
      <c r="L245" s="102"/>
      <c r="M245" s="104">
        <f t="shared" si="27"/>
        <v>0</v>
      </c>
      <c r="N245" s="104">
        <f t="shared" si="28"/>
        <v>0</v>
      </c>
      <c r="O245" s="83"/>
      <c r="P245" s="83"/>
      <c r="Q245" s="83"/>
      <c r="R245" s="83"/>
      <c r="S245" s="83"/>
    </row>
    <row r="246" spans="1:20" s="88" customFormat="1" x14ac:dyDescent="0.25">
      <c r="A246" s="97">
        <f t="shared" si="23"/>
        <v>0</v>
      </c>
      <c r="B246" s="33" t="str">
        <f t="shared" si="29"/>
        <v/>
      </c>
      <c r="C246" s="34"/>
      <c r="D246" s="34"/>
      <c r="E246" s="34"/>
      <c r="F246" s="34"/>
      <c r="G246" s="83"/>
      <c r="H246" s="98">
        <v>241</v>
      </c>
      <c r="I246" s="99" t="str">
        <f t="shared" si="24"/>
        <v/>
      </c>
      <c r="J246" s="98">
        <f t="shared" si="25"/>
        <v>-2</v>
      </c>
      <c r="K246" s="98">
        <f t="shared" si="26"/>
        <v>-20</v>
      </c>
      <c r="L246" s="98"/>
      <c r="M246" s="100">
        <f t="shared" si="27"/>
        <v>0</v>
      </c>
      <c r="N246" s="100">
        <f t="shared" si="28"/>
        <v>0</v>
      </c>
      <c r="O246" s="83"/>
      <c r="P246" s="83"/>
      <c r="Q246" s="83"/>
      <c r="R246" s="83"/>
      <c r="S246" s="112"/>
      <c r="T246" s="113"/>
    </row>
    <row r="247" spans="1:20" s="88" customFormat="1" x14ac:dyDescent="0.25">
      <c r="A247" s="101">
        <f t="shared" si="23"/>
        <v>0</v>
      </c>
      <c r="B247" s="39" t="str">
        <f t="shared" si="29"/>
        <v/>
      </c>
      <c r="C247" s="40"/>
      <c r="D247" s="40"/>
      <c r="E247" s="40"/>
      <c r="F247" s="40"/>
      <c r="G247" s="83"/>
      <c r="H247" s="102">
        <v>242</v>
      </c>
      <c r="I247" s="103" t="str">
        <f t="shared" si="24"/>
        <v/>
      </c>
      <c r="J247" s="102">
        <f t="shared" si="25"/>
        <v>-2</v>
      </c>
      <c r="K247" s="102">
        <f t="shared" si="26"/>
        <v>-20</v>
      </c>
      <c r="L247" s="102"/>
      <c r="M247" s="104">
        <f t="shared" si="27"/>
        <v>0</v>
      </c>
      <c r="N247" s="104">
        <f t="shared" si="28"/>
        <v>0</v>
      </c>
      <c r="O247" s="83"/>
      <c r="P247" s="83"/>
      <c r="Q247" s="83"/>
      <c r="R247" s="83"/>
      <c r="S247" s="83"/>
    </row>
    <row r="248" spans="1:20" s="88" customFormat="1" x14ac:dyDescent="0.25">
      <c r="A248" s="97">
        <f t="shared" si="23"/>
        <v>0</v>
      </c>
      <c r="B248" s="33" t="str">
        <f t="shared" si="29"/>
        <v/>
      </c>
      <c r="C248" s="34"/>
      <c r="D248" s="34"/>
      <c r="E248" s="34"/>
      <c r="F248" s="34"/>
      <c r="G248" s="83"/>
      <c r="H248" s="98">
        <v>243</v>
      </c>
      <c r="I248" s="99" t="str">
        <f t="shared" si="24"/>
        <v/>
      </c>
      <c r="J248" s="98">
        <f t="shared" si="25"/>
        <v>-2</v>
      </c>
      <c r="K248" s="98">
        <f t="shared" si="26"/>
        <v>-20</v>
      </c>
      <c r="L248" s="98"/>
      <c r="M248" s="100">
        <f t="shared" si="27"/>
        <v>0</v>
      </c>
      <c r="N248" s="100">
        <f t="shared" si="28"/>
        <v>0</v>
      </c>
      <c r="O248" s="83"/>
      <c r="P248" s="83"/>
      <c r="Q248" s="83"/>
      <c r="R248" s="83"/>
      <c r="S248" s="112"/>
      <c r="T248" s="113"/>
    </row>
    <row r="249" spans="1:20" s="88" customFormat="1" x14ac:dyDescent="0.25">
      <c r="A249" s="101">
        <f t="shared" si="23"/>
        <v>0</v>
      </c>
      <c r="B249" s="39" t="str">
        <f t="shared" si="29"/>
        <v/>
      </c>
      <c r="C249" s="40"/>
      <c r="D249" s="40"/>
      <c r="E249" s="40"/>
      <c r="F249" s="40"/>
      <c r="G249" s="83"/>
      <c r="H249" s="102">
        <v>244</v>
      </c>
      <c r="I249" s="103" t="str">
        <f t="shared" si="24"/>
        <v/>
      </c>
      <c r="J249" s="102">
        <f t="shared" si="25"/>
        <v>-2</v>
      </c>
      <c r="K249" s="102">
        <f t="shared" si="26"/>
        <v>-20</v>
      </c>
      <c r="L249" s="102"/>
      <c r="M249" s="104">
        <f t="shared" si="27"/>
        <v>0</v>
      </c>
      <c r="N249" s="104">
        <f t="shared" si="28"/>
        <v>0</v>
      </c>
      <c r="O249" s="83"/>
      <c r="P249" s="83"/>
      <c r="Q249" s="83"/>
      <c r="R249" s="83"/>
      <c r="S249" s="83"/>
    </row>
    <row r="250" spans="1:20" s="88" customFormat="1" x14ac:dyDescent="0.25">
      <c r="A250" s="97">
        <f t="shared" si="23"/>
        <v>0</v>
      </c>
      <c r="B250" s="33" t="str">
        <f t="shared" si="29"/>
        <v/>
      </c>
      <c r="C250" s="34"/>
      <c r="D250" s="34"/>
      <c r="E250" s="34"/>
      <c r="F250" s="34"/>
      <c r="G250" s="83"/>
      <c r="H250" s="98">
        <v>245</v>
      </c>
      <c r="I250" s="99" t="str">
        <f t="shared" si="24"/>
        <v/>
      </c>
      <c r="J250" s="98">
        <f t="shared" si="25"/>
        <v>-2</v>
      </c>
      <c r="K250" s="98">
        <f t="shared" si="26"/>
        <v>-20</v>
      </c>
      <c r="L250" s="98"/>
      <c r="M250" s="100">
        <f t="shared" si="27"/>
        <v>0</v>
      </c>
      <c r="N250" s="100">
        <f t="shared" si="28"/>
        <v>0</v>
      </c>
      <c r="O250" s="83"/>
      <c r="P250" s="83"/>
      <c r="Q250" s="83"/>
      <c r="R250" s="83"/>
      <c r="S250" s="112"/>
      <c r="T250" s="113"/>
    </row>
    <row r="251" spans="1:20" s="88" customFormat="1" x14ac:dyDescent="0.25">
      <c r="A251" s="101">
        <f t="shared" si="23"/>
        <v>0</v>
      </c>
      <c r="B251" s="118"/>
      <c r="C251" s="118"/>
      <c r="D251" s="118"/>
      <c r="E251" s="118"/>
      <c r="F251" s="118"/>
      <c r="G251" s="83"/>
      <c r="H251" s="98">
        <v>246</v>
      </c>
      <c r="I251" s="99" t="str">
        <f t="shared" si="24"/>
        <v/>
      </c>
      <c r="J251" s="98">
        <f t="shared" si="25"/>
        <v>-2</v>
      </c>
      <c r="K251" s="98">
        <f t="shared" si="26"/>
        <v>-20</v>
      </c>
      <c r="L251" s="98"/>
      <c r="M251" s="100">
        <f t="shared" si="27"/>
        <v>0</v>
      </c>
      <c r="N251" s="100">
        <f t="shared" si="28"/>
        <v>0</v>
      </c>
      <c r="O251" s="83"/>
      <c r="P251" s="83"/>
      <c r="Q251" s="83"/>
      <c r="R251" s="83"/>
      <c r="S251" s="83"/>
    </row>
    <row r="252" spans="1:20" s="88" customFormat="1" x14ac:dyDescent="0.25">
      <c r="A252" s="97">
        <f t="shared" si="23"/>
        <v>0</v>
      </c>
      <c r="B252" s="118"/>
      <c r="C252" s="118"/>
      <c r="D252" s="118"/>
      <c r="E252" s="118"/>
      <c r="F252" s="118"/>
      <c r="G252" s="83"/>
      <c r="H252" s="98">
        <v>247</v>
      </c>
      <c r="I252" s="99" t="str">
        <f t="shared" si="24"/>
        <v/>
      </c>
      <c r="J252" s="98">
        <f t="shared" si="25"/>
        <v>-2</v>
      </c>
      <c r="K252" s="98">
        <f t="shared" si="26"/>
        <v>-20</v>
      </c>
      <c r="L252" s="98"/>
      <c r="M252" s="100">
        <f t="shared" si="27"/>
        <v>0</v>
      </c>
      <c r="N252" s="100">
        <f t="shared" si="28"/>
        <v>0</v>
      </c>
      <c r="O252" s="83"/>
      <c r="P252" s="83"/>
      <c r="Q252" s="83"/>
      <c r="R252" s="83"/>
      <c r="S252" s="83"/>
    </row>
    <row r="253" spans="1:20" s="88" customFormat="1" x14ac:dyDescent="0.25">
      <c r="A253" s="101">
        <f t="shared" si="23"/>
        <v>0</v>
      </c>
      <c r="B253" s="118"/>
      <c r="C253" s="118"/>
      <c r="D253" s="118"/>
      <c r="E253" s="118"/>
      <c r="F253" s="118"/>
      <c r="G253" s="83"/>
      <c r="H253" s="98">
        <v>248</v>
      </c>
      <c r="I253" s="99" t="str">
        <f t="shared" si="24"/>
        <v/>
      </c>
      <c r="J253" s="98">
        <f t="shared" si="25"/>
        <v>-2</v>
      </c>
      <c r="K253" s="98">
        <f t="shared" si="26"/>
        <v>-20</v>
      </c>
      <c r="L253" s="98"/>
      <c r="M253" s="100">
        <f t="shared" si="27"/>
        <v>0</v>
      </c>
      <c r="N253" s="100">
        <f t="shared" si="28"/>
        <v>0</v>
      </c>
      <c r="O253" s="83"/>
      <c r="P253" s="83"/>
      <c r="Q253" s="83"/>
      <c r="R253" s="83"/>
      <c r="S253" s="83"/>
    </row>
    <row r="254" spans="1:20" s="88" customFormat="1" x14ac:dyDescent="0.25">
      <c r="A254" s="97">
        <f t="shared" si="23"/>
        <v>0</v>
      </c>
      <c r="B254" s="118"/>
      <c r="C254" s="118"/>
      <c r="D254" s="118"/>
      <c r="E254" s="118"/>
      <c r="F254" s="118"/>
      <c r="G254" s="83"/>
      <c r="H254" s="98">
        <v>249</v>
      </c>
      <c r="I254" s="99" t="str">
        <f t="shared" si="24"/>
        <v/>
      </c>
      <c r="J254" s="98">
        <f t="shared" si="25"/>
        <v>-2</v>
      </c>
      <c r="K254" s="98">
        <f t="shared" si="26"/>
        <v>-20</v>
      </c>
      <c r="L254" s="98"/>
      <c r="M254" s="100">
        <f t="shared" si="27"/>
        <v>0</v>
      </c>
      <c r="N254" s="100">
        <f t="shared" si="28"/>
        <v>0</v>
      </c>
      <c r="O254" s="83"/>
      <c r="P254" s="83"/>
      <c r="Q254" s="83"/>
      <c r="R254" s="83"/>
      <c r="S254" s="83"/>
    </row>
    <row r="255" spans="1:20" s="88" customFormat="1" x14ac:dyDescent="0.25">
      <c r="A255" s="101">
        <f t="shared" si="23"/>
        <v>0</v>
      </c>
      <c r="B255" s="118"/>
      <c r="C255" s="118"/>
      <c r="D255" s="118"/>
      <c r="E255" s="118"/>
      <c r="F255" s="118"/>
      <c r="G255" s="83"/>
      <c r="H255" s="98">
        <v>250</v>
      </c>
      <c r="I255" s="99" t="str">
        <f t="shared" si="24"/>
        <v/>
      </c>
      <c r="J255" s="98">
        <f t="shared" si="25"/>
        <v>-2</v>
      </c>
      <c r="K255" s="98">
        <f t="shared" si="26"/>
        <v>-20</v>
      </c>
      <c r="L255" s="98"/>
      <c r="M255" s="100">
        <f t="shared" si="27"/>
        <v>0</v>
      </c>
      <c r="N255" s="100">
        <f t="shared" si="28"/>
        <v>0</v>
      </c>
      <c r="O255" s="83"/>
      <c r="P255" s="83"/>
      <c r="Q255" s="83"/>
      <c r="R255" s="83"/>
      <c r="S255" s="83"/>
    </row>
    <row r="256" spans="1:20" s="88" customFormat="1" x14ac:dyDescent="0.25">
      <c r="A256" s="97">
        <f t="shared" si="23"/>
        <v>0</v>
      </c>
      <c r="B256" s="118"/>
      <c r="C256" s="118"/>
      <c r="D256" s="118"/>
      <c r="E256" s="118"/>
      <c r="F256" s="118"/>
      <c r="G256" s="83"/>
      <c r="H256" s="98">
        <v>251</v>
      </c>
      <c r="I256" s="99" t="str">
        <f t="shared" si="24"/>
        <v/>
      </c>
      <c r="J256" s="98">
        <f t="shared" si="25"/>
        <v>-2</v>
      </c>
      <c r="K256" s="98">
        <f t="shared" si="26"/>
        <v>-20</v>
      </c>
      <c r="L256" s="98"/>
      <c r="M256" s="100">
        <f t="shared" si="27"/>
        <v>0</v>
      </c>
      <c r="N256" s="100">
        <f t="shared" si="28"/>
        <v>0</v>
      </c>
      <c r="O256" s="83"/>
      <c r="P256" s="83"/>
      <c r="Q256" s="83"/>
      <c r="R256" s="83"/>
      <c r="S256" s="83"/>
    </row>
    <row r="257" spans="1:39" s="83" customFormat="1" x14ac:dyDescent="0.25">
      <c r="A257" s="101">
        <f t="shared" si="23"/>
        <v>0</v>
      </c>
      <c r="B257" s="118"/>
      <c r="C257" s="118"/>
      <c r="D257" s="118"/>
      <c r="E257" s="118"/>
      <c r="F257" s="118"/>
      <c r="H257" s="98">
        <v>252</v>
      </c>
      <c r="I257" s="99" t="str">
        <f t="shared" si="24"/>
        <v/>
      </c>
      <c r="J257" s="98">
        <f t="shared" si="25"/>
        <v>-2</v>
      </c>
      <c r="K257" s="98">
        <f t="shared" si="26"/>
        <v>-20</v>
      </c>
      <c r="L257" s="98"/>
      <c r="M257" s="100">
        <f t="shared" si="27"/>
        <v>0</v>
      </c>
      <c r="N257" s="100">
        <f t="shared" si="28"/>
        <v>0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</row>
    <row r="258" spans="1:39" s="83" customFormat="1" x14ac:dyDescent="0.25">
      <c r="A258" s="97">
        <f t="shared" si="23"/>
        <v>0</v>
      </c>
      <c r="B258" s="118"/>
      <c r="C258" s="118"/>
      <c r="D258" s="118"/>
      <c r="E258" s="118"/>
      <c r="F258" s="118"/>
      <c r="H258" s="98">
        <v>253</v>
      </c>
      <c r="I258" s="99" t="str">
        <f t="shared" si="24"/>
        <v/>
      </c>
      <c r="J258" s="98">
        <f t="shared" si="25"/>
        <v>-2</v>
      </c>
      <c r="K258" s="98">
        <f t="shared" si="26"/>
        <v>-20</v>
      </c>
      <c r="L258" s="98"/>
      <c r="M258" s="100">
        <f t="shared" si="27"/>
        <v>0</v>
      </c>
      <c r="N258" s="100">
        <f t="shared" si="28"/>
        <v>0</v>
      </c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</row>
    <row r="259" spans="1:39" s="83" customFormat="1" x14ac:dyDescent="0.25">
      <c r="A259" s="101">
        <f t="shared" si="23"/>
        <v>0</v>
      </c>
      <c r="B259" s="118"/>
      <c r="C259" s="118"/>
      <c r="D259" s="118"/>
      <c r="E259" s="118"/>
      <c r="F259" s="118"/>
      <c r="H259" s="98">
        <v>254</v>
      </c>
      <c r="I259" s="99" t="str">
        <f t="shared" si="24"/>
        <v/>
      </c>
      <c r="J259" s="98">
        <f t="shared" si="25"/>
        <v>-2</v>
      </c>
      <c r="K259" s="98">
        <f t="shared" si="26"/>
        <v>-20</v>
      </c>
      <c r="L259" s="98"/>
      <c r="M259" s="100">
        <f t="shared" si="27"/>
        <v>0</v>
      </c>
      <c r="N259" s="100">
        <f t="shared" si="28"/>
        <v>0</v>
      </c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</row>
    <row r="260" spans="1:39" s="83" customFormat="1" x14ac:dyDescent="0.25">
      <c r="A260" s="97">
        <f t="shared" si="23"/>
        <v>0</v>
      </c>
      <c r="B260" s="118"/>
      <c r="C260" s="118"/>
      <c r="D260" s="118"/>
      <c r="E260" s="118"/>
      <c r="F260" s="118"/>
      <c r="H260" s="98">
        <v>255</v>
      </c>
      <c r="I260" s="99" t="str">
        <f t="shared" si="24"/>
        <v/>
      </c>
      <c r="J260" s="98">
        <f t="shared" si="25"/>
        <v>-2</v>
      </c>
      <c r="K260" s="98">
        <f t="shared" si="26"/>
        <v>-20</v>
      </c>
      <c r="L260" s="98"/>
      <c r="M260" s="100">
        <f t="shared" si="27"/>
        <v>0</v>
      </c>
      <c r="N260" s="100">
        <f t="shared" si="28"/>
        <v>0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</row>
    <row r="261" spans="1:39" s="83" customFormat="1" x14ac:dyDescent="0.25">
      <c r="A261" s="101">
        <f t="shared" si="23"/>
        <v>0</v>
      </c>
      <c r="B261" s="118"/>
      <c r="C261" s="118"/>
      <c r="D261" s="118"/>
      <c r="E261" s="118"/>
      <c r="F261" s="118"/>
      <c r="H261" s="98">
        <v>256</v>
      </c>
      <c r="I261" s="99" t="str">
        <f t="shared" si="24"/>
        <v/>
      </c>
      <c r="J261" s="98">
        <f t="shared" si="25"/>
        <v>-2</v>
      </c>
      <c r="K261" s="98">
        <f t="shared" si="26"/>
        <v>-20</v>
      </c>
      <c r="L261" s="98"/>
      <c r="M261" s="100">
        <f t="shared" si="27"/>
        <v>0</v>
      </c>
      <c r="N261" s="100">
        <f t="shared" si="28"/>
        <v>0</v>
      </c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</row>
    <row r="262" spans="1:39" s="83" customFormat="1" x14ac:dyDescent="0.25">
      <c r="A262" s="97">
        <f t="shared" ref="A262:A305" si="30">N262</f>
        <v>0</v>
      </c>
      <c r="B262" s="118"/>
      <c r="C262" s="118"/>
      <c r="D262" s="118"/>
      <c r="E262" s="118"/>
      <c r="F262" s="118"/>
      <c r="H262" s="98">
        <v>257</v>
      </c>
      <c r="I262" s="99" t="str">
        <f t="shared" ref="I262:I305" si="31">IF(H262&lt;$H$2+1,($I$2-($I$2-1)*(LOG(H262)/LOG($H$2))),"")</f>
        <v/>
      </c>
      <c r="J262" s="98">
        <f t="shared" ref="J262:J305" si="32">INT(LOG($H$2,2))-ROUNDUP(LOG(H262,2),0)+IF(OR($H$2=1,$H$2=2,$H$2=4,$H$2=8,$H$2=16,$H$2=32,$H$2=64,$H$2=128,$H$2=256),0,1)</f>
        <v>-3</v>
      </c>
      <c r="K262" s="98">
        <f t="shared" ref="K262:K305" si="33">J262*$J$2</f>
        <v>-30</v>
      </c>
      <c r="L262" s="98"/>
      <c r="M262" s="100">
        <f t="shared" ref="M262:M305" si="34">IF(I262&lt;&gt;"",K262+I262+L262,0)</f>
        <v>0</v>
      </c>
      <c r="N262" s="100">
        <f t="shared" ref="N262:N305" si="35">IF(I262&lt;&gt;"",M262*L$2,0)</f>
        <v>0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</row>
    <row r="263" spans="1:39" s="83" customFormat="1" x14ac:dyDescent="0.25">
      <c r="A263" s="101">
        <f t="shared" si="30"/>
        <v>0</v>
      </c>
      <c r="B263" s="118"/>
      <c r="C263" s="118"/>
      <c r="D263" s="118"/>
      <c r="E263" s="118"/>
      <c r="F263" s="118"/>
      <c r="H263" s="98">
        <v>258</v>
      </c>
      <c r="I263" s="99" t="str">
        <f t="shared" si="31"/>
        <v/>
      </c>
      <c r="J263" s="98">
        <f t="shared" si="32"/>
        <v>-3</v>
      </c>
      <c r="K263" s="98">
        <f t="shared" si="33"/>
        <v>-30</v>
      </c>
      <c r="L263" s="98"/>
      <c r="M263" s="100">
        <f t="shared" si="34"/>
        <v>0</v>
      </c>
      <c r="N263" s="100">
        <f t="shared" si="35"/>
        <v>0</v>
      </c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</row>
    <row r="264" spans="1:39" s="83" customFormat="1" x14ac:dyDescent="0.25">
      <c r="A264" s="97">
        <f t="shared" si="30"/>
        <v>0</v>
      </c>
      <c r="B264" s="118"/>
      <c r="C264" s="118"/>
      <c r="D264" s="118"/>
      <c r="E264" s="118"/>
      <c r="F264" s="118"/>
      <c r="H264" s="98">
        <v>259</v>
      </c>
      <c r="I264" s="99" t="str">
        <f t="shared" si="31"/>
        <v/>
      </c>
      <c r="J264" s="98">
        <f t="shared" si="32"/>
        <v>-3</v>
      </c>
      <c r="K264" s="98">
        <f t="shared" si="33"/>
        <v>-30</v>
      </c>
      <c r="L264" s="98"/>
      <c r="M264" s="100">
        <f t="shared" si="34"/>
        <v>0</v>
      </c>
      <c r="N264" s="100">
        <f t="shared" si="35"/>
        <v>0</v>
      </c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</row>
    <row r="265" spans="1:39" s="83" customFormat="1" x14ac:dyDescent="0.25">
      <c r="A265" s="101">
        <f t="shared" si="30"/>
        <v>0</v>
      </c>
      <c r="B265" s="118"/>
      <c r="C265" s="118"/>
      <c r="D265" s="118"/>
      <c r="E265" s="118"/>
      <c r="F265" s="118"/>
      <c r="H265" s="98">
        <v>260</v>
      </c>
      <c r="I265" s="99" t="str">
        <f t="shared" si="31"/>
        <v/>
      </c>
      <c r="J265" s="98">
        <f t="shared" si="32"/>
        <v>-3</v>
      </c>
      <c r="K265" s="98">
        <f t="shared" si="33"/>
        <v>-30</v>
      </c>
      <c r="L265" s="98"/>
      <c r="M265" s="100">
        <f t="shared" si="34"/>
        <v>0</v>
      </c>
      <c r="N265" s="100">
        <f t="shared" si="35"/>
        <v>0</v>
      </c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</row>
    <row r="266" spans="1:39" s="83" customFormat="1" x14ac:dyDescent="0.25">
      <c r="A266" s="97">
        <f t="shared" si="30"/>
        <v>0</v>
      </c>
      <c r="B266" s="118"/>
      <c r="C266" s="118"/>
      <c r="D266" s="118"/>
      <c r="E266" s="118"/>
      <c r="F266" s="118"/>
      <c r="H266" s="98">
        <v>261</v>
      </c>
      <c r="I266" s="99" t="str">
        <f t="shared" si="31"/>
        <v/>
      </c>
      <c r="J266" s="98">
        <f t="shared" si="32"/>
        <v>-3</v>
      </c>
      <c r="K266" s="98">
        <f t="shared" si="33"/>
        <v>-30</v>
      </c>
      <c r="L266" s="98"/>
      <c r="M266" s="100">
        <f t="shared" si="34"/>
        <v>0</v>
      </c>
      <c r="N266" s="100">
        <f t="shared" si="35"/>
        <v>0</v>
      </c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</row>
    <row r="267" spans="1:39" s="83" customFormat="1" x14ac:dyDescent="0.25">
      <c r="A267" s="101">
        <f t="shared" si="30"/>
        <v>0</v>
      </c>
      <c r="B267" s="118"/>
      <c r="C267" s="118"/>
      <c r="D267" s="118"/>
      <c r="E267" s="118"/>
      <c r="F267" s="118"/>
      <c r="H267" s="98">
        <v>262</v>
      </c>
      <c r="I267" s="99" t="str">
        <f t="shared" si="31"/>
        <v/>
      </c>
      <c r="J267" s="98">
        <f t="shared" si="32"/>
        <v>-3</v>
      </c>
      <c r="K267" s="98">
        <f t="shared" si="33"/>
        <v>-30</v>
      </c>
      <c r="L267" s="98"/>
      <c r="M267" s="100">
        <f t="shared" si="34"/>
        <v>0</v>
      </c>
      <c r="N267" s="100">
        <f t="shared" si="35"/>
        <v>0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</row>
    <row r="268" spans="1:39" s="83" customFormat="1" x14ac:dyDescent="0.25">
      <c r="A268" s="97">
        <f t="shared" si="30"/>
        <v>0</v>
      </c>
      <c r="B268" s="118"/>
      <c r="C268" s="118"/>
      <c r="D268" s="118"/>
      <c r="E268" s="118"/>
      <c r="F268" s="118"/>
      <c r="H268" s="98">
        <v>263</v>
      </c>
      <c r="I268" s="99" t="str">
        <f t="shared" si="31"/>
        <v/>
      </c>
      <c r="J268" s="98">
        <f t="shared" si="32"/>
        <v>-3</v>
      </c>
      <c r="K268" s="98">
        <f t="shared" si="33"/>
        <v>-30</v>
      </c>
      <c r="L268" s="98"/>
      <c r="M268" s="100">
        <f t="shared" si="34"/>
        <v>0</v>
      </c>
      <c r="N268" s="100">
        <f t="shared" si="35"/>
        <v>0</v>
      </c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</row>
    <row r="269" spans="1:39" s="83" customFormat="1" x14ac:dyDescent="0.25">
      <c r="A269" s="101">
        <f t="shared" si="30"/>
        <v>0</v>
      </c>
      <c r="B269" s="118"/>
      <c r="C269" s="118"/>
      <c r="D269" s="118"/>
      <c r="E269" s="118"/>
      <c r="F269" s="118"/>
      <c r="H269" s="98">
        <v>264</v>
      </c>
      <c r="I269" s="99" t="str">
        <f t="shared" si="31"/>
        <v/>
      </c>
      <c r="J269" s="98">
        <f t="shared" si="32"/>
        <v>-3</v>
      </c>
      <c r="K269" s="98">
        <f t="shared" si="33"/>
        <v>-30</v>
      </c>
      <c r="L269" s="98"/>
      <c r="M269" s="100">
        <f t="shared" si="34"/>
        <v>0</v>
      </c>
      <c r="N269" s="100">
        <f t="shared" si="35"/>
        <v>0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</row>
    <row r="270" spans="1:39" s="83" customFormat="1" x14ac:dyDescent="0.25">
      <c r="A270" s="97">
        <f t="shared" si="30"/>
        <v>0</v>
      </c>
      <c r="B270" s="118"/>
      <c r="C270" s="118"/>
      <c r="D270" s="118"/>
      <c r="E270" s="118"/>
      <c r="F270" s="118"/>
      <c r="H270" s="98">
        <v>265</v>
      </c>
      <c r="I270" s="99" t="str">
        <f t="shared" si="31"/>
        <v/>
      </c>
      <c r="J270" s="98">
        <f t="shared" si="32"/>
        <v>-3</v>
      </c>
      <c r="K270" s="98">
        <f t="shared" si="33"/>
        <v>-30</v>
      </c>
      <c r="L270" s="98"/>
      <c r="M270" s="100">
        <f t="shared" si="34"/>
        <v>0</v>
      </c>
      <c r="N270" s="100">
        <f t="shared" si="35"/>
        <v>0</v>
      </c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</row>
    <row r="271" spans="1:39" s="83" customFormat="1" x14ac:dyDescent="0.25">
      <c r="A271" s="101">
        <f t="shared" si="30"/>
        <v>0</v>
      </c>
      <c r="B271" s="118"/>
      <c r="C271" s="118"/>
      <c r="D271" s="118"/>
      <c r="E271" s="118"/>
      <c r="F271" s="118"/>
      <c r="H271" s="98">
        <v>266</v>
      </c>
      <c r="I271" s="99" t="str">
        <f t="shared" si="31"/>
        <v/>
      </c>
      <c r="J271" s="98">
        <f t="shared" si="32"/>
        <v>-3</v>
      </c>
      <c r="K271" s="98">
        <f t="shared" si="33"/>
        <v>-30</v>
      </c>
      <c r="L271" s="98"/>
      <c r="M271" s="100">
        <f t="shared" si="34"/>
        <v>0</v>
      </c>
      <c r="N271" s="100">
        <f t="shared" si="35"/>
        <v>0</v>
      </c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</row>
    <row r="272" spans="1:39" s="83" customFormat="1" x14ac:dyDescent="0.25">
      <c r="A272" s="97">
        <f t="shared" si="30"/>
        <v>0</v>
      </c>
      <c r="B272" s="118"/>
      <c r="C272" s="118"/>
      <c r="D272" s="118"/>
      <c r="E272" s="118"/>
      <c r="F272" s="118"/>
      <c r="H272" s="98">
        <v>267</v>
      </c>
      <c r="I272" s="99" t="str">
        <f t="shared" si="31"/>
        <v/>
      </c>
      <c r="J272" s="98">
        <f t="shared" si="32"/>
        <v>-3</v>
      </c>
      <c r="K272" s="98">
        <f t="shared" si="33"/>
        <v>-30</v>
      </c>
      <c r="L272" s="98"/>
      <c r="M272" s="100">
        <f t="shared" si="34"/>
        <v>0</v>
      </c>
      <c r="N272" s="100">
        <f t="shared" si="35"/>
        <v>0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</row>
    <row r="273" spans="1:39" s="83" customFormat="1" x14ac:dyDescent="0.25">
      <c r="A273" s="101">
        <f t="shared" si="30"/>
        <v>0</v>
      </c>
      <c r="B273" s="118"/>
      <c r="C273" s="118"/>
      <c r="D273" s="118"/>
      <c r="E273" s="118"/>
      <c r="F273" s="118"/>
      <c r="H273" s="98">
        <v>268</v>
      </c>
      <c r="I273" s="99" t="str">
        <f t="shared" si="31"/>
        <v/>
      </c>
      <c r="J273" s="98">
        <f t="shared" si="32"/>
        <v>-3</v>
      </c>
      <c r="K273" s="98">
        <f t="shared" si="33"/>
        <v>-30</v>
      </c>
      <c r="L273" s="98"/>
      <c r="M273" s="100">
        <f t="shared" si="34"/>
        <v>0</v>
      </c>
      <c r="N273" s="100">
        <f t="shared" si="35"/>
        <v>0</v>
      </c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</row>
    <row r="274" spans="1:39" s="83" customFormat="1" x14ac:dyDescent="0.25">
      <c r="A274" s="97">
        <f t="shared" si="30"/>
        <v>0</v>
      </c>
      <c r="B274" s="118"/>
      <c r="C274" s="118"/>
      <c r="D274" s="118"/>
      <c r="E274" s="118"/>
      <c r="F274" s="118"/>
      <c r="H274" s="98">
        <v>269</v>
      </c>
      <c r="I274" s="99" t="str">
        <f t="shared" si="31"/>
        <v/>
      </c>
      <c r="J274" s="98">
        <f t="shared" si="32"/>
        <v>-3</v>
      </c>
      <c r="K274" s="98">
        <f t="shared" si="33"/>
        <v>-30</v>
      </c>
      <c r="L274" s="98"/>
      <c r="M274" s="100">
        <f t="shared" si="34"/>
        <v>0</v>
      </c>
      <c r="N274" s="100">
        <f t="shared" si="35"/>
        <v>0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</row>
    <row r="275" spans="1:39" s="83" customFormat="1" x14ac:dyDescent="0.25">
      <c r="A275" s="101">
        <f t="shared" si="30"/>
        <v>0</v>
      </c>
      <c r="B275" s="118"/>
      <c r="C275" s="118"/>
      <c r="D275" s="118"/>
      <c r="E275" s="118"/>
      <c r="F275" s="118"/>
      <c r="H275" s="98">
        <v>270</v>
      </c>
      <c r="I275" s="99" t="str">
        <f t="shared" si="31"/>
        <v/>
      </c>
      <c r="J275" s="98">
        <f t="shared" si="32"/>
        <v>-3</v>
      </c>
      <c r="K275" s="98">
        <f t="shared" si="33"/>
        <v>-30</v>
      </c>
      <c r="L275" s="98"/>
      <c r="M275" s="100">
        <f t="shared" si="34"/>
        <v>0</v>
      </c>
      <c r="N275" s="100">
        <f t="shared" si="35"/>
        <v>0</v>
      </c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</row>
    <row r="276" spans="1:39" s="83" customFormat="1" x14ac:dyDescent="0.25">
      <c r="A276" s="97">
        <f t="shared" si="30"/>
        <v>0</v>
      </c>
      <c r="B276" s="118"/>
      <c r="C276" s="118"/>
      <c r="D276" s="118"/>
      <c r="E276" s="118"/>
      <c r="F276" s="118"/>
      <c r="H276" s="98">
        <v>271</v>
      </c>
      <c r="I276" s="99" t="str">
        <f t="shared" si="31"/>
        <v/>
      </c>
      <c r="J276" s="98">
        <f t="shared" si="32"/>
        <v>-3</v>
      </c>
      <c r="K276" s="98">
        <f t="shared" si="33"/>
        <v>-30</v>
      </c>
      <c r="L276" s="98"/>
      <c r="M276" s="100">
        <f t="shared" si="34"/>
        <v>0</v>
      </c>
      <c r="N276" s="100">
        <f t="shared" si="35"/>
        <v>0</v>
      </c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</row>
    <row r="277" spans="1:39" s="83" customFormat="1" x14ac:dyDescent="0.25">
      <c r="A277" s="101">
        <f t="shared" si="30"/>
        <v>0</v>
      </c>
      <c r="B277" s="118"/>
      <c r="C277" s="118"/>
      <c r="D277" s="118"/>
      <c r="E277" s="118"/>
      <c r="F277" s="118"/>
      <c r="H277" s="98">
        <v>272</v>
      </c>
      <c r="I277" s="99" t="str">
        <f t="shared" si="31"/>
        <v/>
      </c>
      <c r="J277" s="98">
        <f t="shared" si="32"/>
        <v>-3</v>
      </c>
      <c r="K277" s="98">
        <f t="shared" si="33"/>
        <v>-30</v>
      </c>
      <c r="L277" s="98"/>
      <c r="M277" s="100">
        <f t="shared" si="34"/>
        <v>0</v>
      </c>
      <c r="N277" s="100">
        <f t="shared" si="35"/>
        <v>0</v>
      </c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</row>
    <row r="278" spans="1:39" s="83" customFormat="1" x14ac:dyDescent="0.25">
      <c r="A278" s="97">
        <f t="shared" si="30"/>
        <v>0</v>
      </c>
      <c r="B278" s="118"/>
      <c r="C278" s="118"/>
      <c r="D278" s="118"/>
      <c r="E278" s="118"/>
      <c r="F278" s="118"/>
      <c r="H278" s="98">
        <v>273</v>
      </c>
      <c r="I278" s="99" t="str">
        <f t="shared" si="31"/>
        <v/>
      </c>
      <c r="J278" s="98">
        <f t="shared" si="32"/>
        <v>-3</v>
      </c>
      <c r="K278" s="98">
        <f t="shared" si="33"/>
        <v>-30</v>
      </c>
      <c r="L278" s="98"/>
      <c r="M278" s="100">
        <f t="shared" si="34"/>
        <v>0</v>
      </c>
      <c r="N278" s="100">
        <f t="shared" si="35"/>
        <v>0</v>
      </c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</row>
    <row r="279" spans="1:39" s="83" customFormat="1" x14ac:dyDescent="0.25">
      <c r="A279" s="101">
        <f t="shared" si="30"/>
        <v>0</v>
      </c>
      <c r="B279" s="118"/>
      <c r="C279" s="118"/>
      <c r="D279" s="118"/>
      <c r="E279" s="118"/>
      <c r="F279" s="118"/>
      <c r="H279" s="98">
        <v>274</v>
      </c>
      <c r="I279" s="99" t="str">
        <f t="shared" si="31"/>
        <v/>
      </c>
      <c r="J279" s="98">
        <f t="shared" si="32"/>
        <v>-3</v>
      </c>
      <c r="K279" s="98">
        <f t="shared" si="33"/>
        <v>-30</v>
      </c>
      <c r="L279" s="98"/>
      <c r="M279" s="100">
        <f t="shared" si="34"/>
        <v>0</v>
      </c>
      <c r="N279" s="100">
        <f t="shared" si="35"/>
        <v>0</v>
      </c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</row>
    <row r="280" spans="1:39" s="83" customFormat="1" x14ac:dyDescent="0.25">
      <c r="A280" s="97">
        <f t="shared" si="30"/>
        <v>0</v>
      </c>
      <c r="B280" s="118"/>
      <c r="C280" s="118"/>
      <c r="D280" s="118"/>
      <c r="E280" s="118"/>
      <c r="F280" s="118"/>
      <c r="H280" s="98">
        <v>275</v>
      </c>
      <c r="I280" s="99" t="str">
        <f t="shared" si="31"/>
        <v/>
      </c>
      <c r="J280" s="98">
        <f t="shared" si="32"/>
        <v>-3</v>
      </c>
      <c r="K280" s="98">
        <f t="shared" si="33"/>
        <v>-30</v>
      </c>
      <c r="L280" s="98"/>
      <c r="M280" s="100">
        <f t="shared" si="34"/>
        <v>0</v>
      </c>
      <c r="N280" s="100">
        <f t="shared" si="35"/>
        <v>0</v>
      </c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</row>
    <row r="281" spans="1:39" s="83" customFormat="1" x14ac:dyDescent="0.25">
      <c r="A281" s="101">
        <f t="shared" si="30"/>
        <v>0</v>
      </c>
      <c r="B281" s="118"/>
      <c r="C281" s="118"/>
      <c r="D281" s="118"/>
      <c r="E281" s="118"/>
      <c r="F281" s="118"/>
      <c r="H281" s="98">
        <v>276</v>
      </c>
      <c r="I281" s="99" t="str">
        <f t="shared" si="31"/>
        <v/>
      </c>
      <c r="J281" s="98">
        <f t="shared" si="32"/>
        <v>-3</v>
      </c>
      <c r="K281" s="98">
        <f t="shared" si="33"/>
        <v>-30</v>
      </c>
      <c r="L281" s="98"/>
      <c r="M281" s="100">
        <f t="shared" si="34"/>
        <v>0</v>
      </c>
      <c r="N281" s="100">
        <f t="shared" si="35"/>
        <v>0</v>
      </c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</row>
    <row r="282" spans="1:39" s="83" customFormat="1" x14ac:dyDescent="0.25">
      <c r="A282" s="97">
        <f t="shared" si="30"/>
        <v>0</v>
      </c>
      <c r="B282" s="118"/>
      <c r="C282" s="118"/>
      <c r="D282" s="118"/>
      <c r="E282" s="118"/>
      <c r="F282" s="118"/>
      <c r="H282" s="98">
        <v>277</v>
      </c>
      <c r="I282" s="99" t="str">
        <f t="shared" si="31"/>
        <v/>
      </c>
      <c r="J282" s="98">
        <f t="shared" si="32"/>
        <v>-3</v>
      </c>
      <c r="K282" s="98">
        <f t="shared" si="33"/>
        <v>-30</v>
      </c>
      <c r="L282" s="98"/>
      <c r="M282" s="100">
        <f t="shared" si="34"/>
        <v>0</v>
      </c>
      <c r="N282" s="100">
        <f t="shared" si="35"/>
        <v>0</v>
      </c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</row>
    <row r="283" spans="1:39" s="83" customFormat="1" x14ac:dyDescent="0.25">
      <c r="A283" s="101">
        <f t="shared" si="30"/>
        <v>0</v>
      </c>
      <c r="B283" s="118"/>
      <c r="C283" s="118"/>
      <c r="D283" s="118"/>
      <c r="E283" s="118"/>
      <c r="F283" s="118"/>
      <c r="H283" s="98">
        <v>278</v>
      </c>
      <c r="I283" s="99" t="str">
        <f t="shared" si="31"/>
        <v/>
      </c>
      <c r="J283" s="98">
        <f t="shared" si="32"/>
        <v>-3</v>
      </c>
      <c r="K283" s="98">
        <f t="shared" si="33"/>
        <v>-30</v>
      </c>
      <c r="L283" s="98"/>
      <c r="M283" s="100">
        <f t="shared" si="34"/>
        <v>0</v>
      </c>
      <c r="N283" s="100">
        <f t="shared" si="35"/>
        <v>0</v>
      </c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</row>
    <row r="284" spans="1:39" s="83" customFormat="1" x14ac:dyDescent="0.25">
      <c r="A284" s="97">
        <f t="shared" si="30"/>
        <v>0</v>
      </c>
      <c r="B284" s="118"/>
      <c r="C284" s="118"/>
      <c r="D284" s="118"/>
      <c r="E284" s="118"/>
      <c r="F284" s="118"/>
      <c r="H284" s="98">
        <v>279</v>
      </c>
      <c r="I284" s="99" t="str">
        <f t="shared" si="31"/>
        <v/>
      </c>
      <c r="J284" s="98">
        <f t="shared" si="32"/>
        <v>-3</v>
      </c>
      <c r="K284" s="98">
        <f t="shared" si="33"/>
        <v>-30</v>
      </c>
      <c r="L284" s="98"/>
      <c r="M284" s="100">
        <f t="shared" si="34"/>
        <v>0</v>
      </c>
      <c r="N284" s="100">
        <f t="shared" si="35"/>
        <v>0</v>
      </c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</row>
    <row r="285" spans="1:39" s="83" customFormat="1" x14ac:dyDescent="0.25">
      <c r="A285" s="101">
        <f t="shared" si="30"/>
        <v>0</v>
      </c>
      <c r="B285" s="118"/>
      <c r="C285" s="118"/>
      <c r="D285" s="118"/>
      <c r="E285" s="118"/>
      <c r="F285" s="118"/>
      <c r="H285" s="98">
        <v>280</v>
      </c>
      <c r="I285" s="99" t="str">
        <f t="shared" si="31"/>
        <v/>
      </c>
      <c r="J285" s="98">
        <f t="shared" si="32"/>
        <v>-3</v>
      </c>
      <c r="K285" s="98">
        <f t="shared" si="33"/>
        <v>-30</v>
      </c>
      <c r="L285" s="98"/>
      <c r="M285" s="100">
        <f t="shared" si="34"/>
        <v>0</v>
      </c>
      <c r="N285" s="100">
        <f t="shared" si="35"/>
        <v>0</v>
      </c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</row>
    <row r="286" spans="1:39" s="83" customFormat="1" x14ac:dyDescent="0.25">
      <c r="A286" s="97">
        <f t="shared" si="30"/>
        <v>0</v>
      </c>
      <c r="B286" s="118"/>
      <c r="C286" s="118"/>
      <c r="D286" s="118"/>
      <c r="E286" s="118"/>
      <c r="F286" s="118"/>
      <c r="H286" s="98">
        <v>281</v>
      </c>
      <c r="I286" s="99" t="str">
        <f t="shared" si="31"/>
        <v/>
      </c>
      <c r="J286" s="98">
        <f t="shared" si="32"/>
        <v>-3</v>
      </c>
      <c r="K286" s="98">
        <f t="shared" si="33"/>
        <v>-30</v>
      </c>
      <c r="L286" s="98"/>
      <c r="M286" s="100">
        <f t="shared" si="34"/>
        <v>0</v>
      </c>
      <c r="N286" s="100">
        <f t="shared" si="35"/>
        <v>0</v>
      </c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</row>
    <row r="287" spans="1:39" s="83" customFormat="1" x14ac:dyDescent="0.25">
      <c r="A287" s="101">
        <f t="shared" si="30"/>
        <v>0</v>
      </c>
      <c r="B287" s="118"/>
      <c r="C287" s="118"/>
      <c r="D287" s="118"/>
      <c r="E287" s="118"/>
      <c r="F287" s="118"/>
      <c r="H287" s="98">
        <v>282</v>
      </c>
      <c r="I287" s="99" t="str">
        <f t="shared" si="31"/>
        <v/>
      </c>
      <c r="J287" s="98">
        <f t="shared" si="32"/>
        <v>-3</v>
      </c>
      <c r="K287" s="98">
        <f t="shared" si="33"/>
        <v>-30</v>
      </c>
      <c r="L287" s="98"/>
      <c r="M287" s="100">
        <f t="shared" si="34"/>
        <v>0</v>
      </c>
      <c r="N287" s="100">
        <f t="shared" si="35"/>
        <v>0</v>
      </c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</row>
    <row r="288" spans="1:39" s="83" customFormat="1" x14ac:dyDescent="0.25">
      <c r="A288" s="97">
        <f t="shared" si="30"/>
        <v>0</v>
      </c>
      <c r="B288" s="118"/>
      <c r="C288" s="118"/>
      <c r="D288" s="118"/>
      <c r="E288" s="118"/>
      <c r="F288" s="118"/>
      <c r="H288" s="98">
        <v>283</v>
      </c>
      <c r="I288" s="99" t="str">
        <f t="shared" si="31"/>
        <v/>
      </c>
      <c r="J288" s="98">
        <f t="shared" si="32"/>
        <v>-3</v>
      </c>
      <c r="K288" s="98">
        <f t="shared" si="33"/>
        <v>-30</v>
      </c>
      <c r="L288" s="98"/>
      <c r="M288" s="100">
        <f t="shared" si="34"/>
        <v>0</v>
      </c>
      <c r="N288" s="100">
        <f t="shared" si="35"/>
        <v>0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</row>
    <row r="289" spans="1:39" s="83" customFormat="1" x14ac:dyDescent="0.25">
      <c r="A289" s="101">
        <f t="shared" si="30"/>
        <v>0</v>
      </c>
      <c r="B289" s="118"/>
      <c r="C289" s="118"/>
      <c r="D289" s="118"/>
      <c r="E289" s="118"/>
      <c r="F289" s="118"/>
      <c r="H289" s="98">
        <v>284</v>
      </c>
      <c r="I289" s="99" t="str">
        <f t="shared" si="31"/>
        <v/>
      </c>
      <c r="J289" s="98">
        <f t="shared" si="32"/>
        <v>-3</v>
      </c>
      <c r="K289" s="98">
        <f t="shared" si="33"/>
        <v>-30</v>
      </c>
      <c r="L289" s="98"/>
      <c r="M289" s="100">
        <f t="shared" si="34"/>
        <v>0</v>
      </c>
      <c r="N289" s="100">
        <f t="shared" si="35"/>
        <v>0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</row>
    <row r="290" spans="1:39" s="83" customFormat="1" x14ac:dyDescent="0.25">
      <c r="A290" s="97">
        <f t="shared" si="30"/>
        <v>0</v>
      </c>
      <c r="B290" s="118"/>
      <c r="C290" s="118"/>
      <c r="D290" s="118"/>
      <c r="E290" s="118"/>
      <c r="F290" s="118"/>
      <c r="H290" s="98">
        <v>285</v>
      </c>
      <c r="I290" s="99" t="str">
        <f t="shared" si="31"/>
        <v/>
      </c>
      <c r="J290" s="98">
        <f t="shared" si="32"/>
        <v>-3</v>
      </c>
      <c r="K290" s="98">
        <f t="shared" si="33"/>
        <v>-30</v>
      </c>
      <c r="L290" s="98"/>
      <c r="M290" s="100">
        <f t="shared" si="34"/>
        <v>0</v>
      </c>
      <c r="N290" s="100">
        <f t="shared" si="35"/>
        <v>0</v>
      </c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</row>
    <row r="291" spans="1:39" s="83" customFormat="1" x14ac:dyDescent="0.25">
      <c r="A291" s="101">
        <f t="shared" si="30"/>
        <v>0</v>
      </c>
      <c r="B291" s="118"/>
      <c r="C291" s="118"/>
      <c r="D291" s="118"/>
      <c r="E291" s="118"/>
      <c r="F291" s="118"/>
      <c r="H291" s="98">
        <v>286</v>
      </c>
      <c r="I291" s="99" t="str">
        <f t="shared" si="31"/>
        <v/>
      </c>
      <c r="J291" s="98">
        <f t="shared" si="32"/>
        <v>-3</v>
      </c>
      <c r="K291" s="98">
        <f t="shared" si="33"/>
        <v>-30</v>
      </c>
      <c r="L291" s="98"/>
      <c r="M291" s="100">
        <f t="shared" si="34"/>
        <v>0</v>
      </c>
      <c r="N291" s="100">
        <f t="shared" si="35"/>
        <v>0</v>
      </c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</row>
    <row r="292" spans="1:39" s="83" customFormat="1" x14ac:dyDescent="0.25">
      <c r="A292" s="97">
        <f t="shared" si="30"/>
        <v>0</v>
      </c>
      <c r="B292" s="118"/>
      <c r="C292" s="118"/>
      <c r="D292" s="118"/>
      <c r="E292" s="118"/>
      <c r="F292" s="118"/>
      <c r="H292" s="98">
        <v>287</v>
      </c>
      <c r="I292" s="99" t="str">
        <f t="shared" si="31"/>
        <v/>
      </c>
      <c r="J292" s="98">
        <f t="shared" si="32"/>
        <v>-3</v>
      </c>
      <c r="K292" s="98">
        <f t="shared" si="33"/>
        <v>-30</v>
      </c>
      <c r="L292" s="98"/>
      <c r="M292" s="100">
        <f t="shared" si="34"/>
        <v>0</v>
      </c>
      <c r="N292" s="100">
        <f t="shared" si="35"/>
        <v>0</v>
      </c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</row>
    <row r="293" spans="1:39" s="83" customFormat="1" x14ac:dyDescent="0.25">
      <c r="A293" s="101">
        <f t="shared" si="30"/>
        <v>0</v>
      </c>
      <c r="B293" s="118"/>
      <c r="C293" s="118"/>
      <c r="D293" s="118"/>
      <c r="E293" s="118"/>
      <c r="F293" s="118"/>
      <c r="H293" s="98">
        <v>288</v>
      </c>
      <c r="I293" s="99" t="str">
        <f t="shared" si="31"/>
        <v/>
      </c>
      <c r="J293" s="98">
        <f t="shared" si="32"/>
        <v>-3</v>
      </c>
      <c r="K293" s="98">
        <f t="shared" si="33"/>
        <v>-30</v>
      </c>
      <c r="L293" s="98"/>
      <c r="M293" s="100">
        <f t="shared" si="34"/>
        <v>0</v>
      </c>
      <c r="N293" s="100">
        <f t="shared" si="35"/>
        <v>0</v>
      </c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</row>
    <row r="294" spans="1:39" s="83" customFormat="1" x14ac:dyDescent="0.25">
      <c r="A294" s="97">
        <f t="shared" si="30"/>
        <v>0</v>
      </c>
      <c r="B294" s="118"/>
      <c r="C294" s="118"/>
      <c r="D294" s="118"/>
      <c r="E294" s="118"/>
      <c r="F294" s="118"/>
      <c r="H294" s="98">
        <v>289</v>
      </c>
      <c r="I294" s="99" t="str">
        <f t="shared" si="31"/>
        <v/>
      </c>
      <c r="J294" s="98">
        <f t="shared" si="32"/>
        <v>-3</v>
      </c>
      <c r="K294" s="98">
        <f t="shared" si="33"/>
        <v>-30</v>
      </c>
      <c r="L294" s="98"/>
      <c r="M294" s="100">
        <f t="shared" si="34"/>
        <v>0</v>
      </c>
      <c r="N294" s="100">
        <f t="shared" si="35"/>
        <v>0</v>
      </c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</row>
    <row r="295" spans="1:39" s="83" customFormat="1" x14ac:dyDescent="0.25">
      <c r="A295" s="101">
        <f t="shared" si="30"/>
        <v>0</v>
      </c>
      <c r="B295" s="118"/>
      <c r="C295" s="118"/>
      <c r="D295" s="118"/>
      <c r="E295" s="118"/>
      <c r="F295" s="118"/>
      <c r="H295" s="98">
        <v>290</v>
      </c>
      <c r="I295" s="99" t="str">
        <f t="shared" si="31"/>
        <v/>
      </c>
      <c r="J295" s="98">
        <f t="shared" si="32"/>
        <v>-3</v>
      </c>
      <c r="K295" s="98">
        <f t="shared" si="33"/>
        <v>-30</v>
      </c>
      <c r="L295" s="98"/>
      <c r="M295" s="100">
        <f t="shared" si="34"/>
        <v>0</v>
      </c>
      <c r="N295" s="100">
        <f t="shared" si="35"/>
        <v>0</v>
      </c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</row>
    <row r="296" spans="1:39" s="83" customFormat="1" x14ac:dyDescent="0.25">
      <c r="A296" s="97">
        <f t="shared" si="30"/>
        <v>0</v>
      </c>
      <c r="B296" s="118"/>
      <c r="C296" s="118"/>
      <c r="D296" s="118"/>
      <c r="E296" s="118"/>
      <c r="F296" s="118"/>
      <c r="H296" s="98">
        <v>291</v>
      </c>
      <c r="I296" s="99" t="str">
        <f t="shared" si="31"/>
        <v/>
      </c>
      <c r="J296" s="98">
        <f t="shared" si="32"/>
        <v>-3</v>
      </c>
      <c r="K296" s="98">
        <f t="shared" si="33"/>
        <v>-30</v>
      </c>
      <c r="L296" s="98"/>
      <c r="M296" s="100">
        <f t="shared" si="34"/>
        <v>0</v>
      </c>
      <c r="N296" s="100">
        <f t="shared" si="35"/>
        <v>0</v>
      </c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</row>
    <row r="297" spans="1:39" s="83" customFormat="1" x14ac:dyDescent="0.25">
      <c r="A297" s="101">
        <f t="shared" si="30"/>
        <v>0</v>
      </c>
      <c r="B297" s="118"/>
      <c r="C297" s="118"/>
      <c r="D297" s="118"/>
      <c r="E297" s="118"/>
      <c r="F297" s="118"/>
      <c r="H297" s="98">
        <v>292</v>
      </c>
      <c r="I297" s="99" t="str">
        <f t="shared" si="31"/>
        <v/>
      </c>
      <c r="J297" s="98">
        <f t="shared" si="32"/>
        <v>-3</v>
      </c>
      <c r="K297" s="98">
        <f t="shared" si="33"/>
        <v>-30</v>
      </c>
      <c r="L297" s="98"/>
      <c r="M297" s="100">
        <f t="shared" si="34"/>
        <v>0</v>
      </c>
      <c r="N297" s="100">
        <f t="shared" si="35"/>
        <v>0</v>
      </c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</row>
    <row r="298" spans="1:39" s="83" customFormat="1" x14ac:dyDescent="0.25">
      <c r="A298" s="97">
        <f t="shared" si="30"/>
        <v>0</v>
      </c>
      <c r="B298" s="118"/>
      <c r="C298" s="118"/>
      <c r="D298" s="118"/>
      <c r="E298" s="118"/>
      <c r="F298" s="118"/>
      <c r="H298" s="98">
        <v>293</v>
      </c>
      <c r="I298" s="99" t="str">
        <f t="shared" si="31"/>
        <v/>
      </c>
      <c r="J298" s="98">
        <f t="shared" si="32"/>
        <v>-3</v>
      </c>
      <c r="K298" s="98">
        <f t="shared" si="33"/>
        <v>-30</v>
      </c>
      <c r="L298" s="98"/>
      <c r="M298" s="100">
        <f t="shared" si="34"/>
        <v>0</v>
      </c>
      <c r="N298" s="100">
        <f t="shared" si="35"/>
        <v>0</v>
      </c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</row>
    <row r="299" spans="1:39" s="83" customFormat="1" x14ac:dyDescent="0.25">
      <c r="A299" s="101">
        <f t="shared" si="30"/>
        <v>0</v>
      </c>
      <c r="B299" s="118"/>
      <c r="C299" s="118"/>
      <c r="D299" s="118"/>
      <c r="E299" s="118"/>
      <c r="F299" s="118"/>
      <c r="H299" s="98">
        <v>294</v>
      </c>
      <c r="I299" s="99" t="str">
        <f t="shared" si="31"/>
        <v/>
      </c>
      <c r="J299" s="98">
        <f t="shared" si="32"/>
        <v>-3</v>
      </c>
      <c r="K299" s="98">
        <f t="shared" si="33"/>
        <v>-30</v>
      </c>
      <c r="L299" s="98"/>
      <c r="M299" s="100">
        <f t="shared" si="34"/>
        <v>0</v>
      </c>
      <c r="N299" s="100">
        <f t="shared" si="35"/>
        <v>0</v>
      </c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</row>
    <row r="300" spans="1:39" s="83" customFormat="1" x14ac:dyDescent="0.25">
      <c r="A300" s="97">
        <f t="shared" si="30"/>
        <v>0</v>
      </c>
      <c r="B300" s="118"/>
      <c r="C300" s="118"/>
      <c r="D300" s="118"/>
      <c r="E300" s="118"/>
      <c r="F300" s="118"/>
      <c r="H300" s="98">
        <v>295</v>
      </c>
      <c r="I300" s="99" t="str">
        <f t="shared" si="31"/>
        <v/>
      </c>
      <c r="J300" s="98">
        <f t="shared" si="32"/>
        <v>-3</v>
      </c>
      <c r="K300" s="98">
        <f t="shared" si="33"/>
        <v>-30</v>
      </c>
      <c r="L300" s="98"/>
      <c r="M300" s="100">
        <f t="shared" si="34"/>
        <v>0</v>
      </c>
      <c r="N300" s="100">
        <f t="shared" si="35"/>
        <v>0</v>
      </c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</row>
    <row r="301" spans="1:39" s="83" customFormat="1" x14ac:dyDescent="0.25">
      <c r="A301" s="101">
        <f t="shared" si="30"/>
        <v>0</v>
      </c>
      <c r="B301" s="118"/>
      <c r="C301" s="118"/>
      <c r="D301" s="118"/>
      <c r="E301" s="118"/>
      <c r="F301" s="118"/>
      <c r="H301" s="98">
        <v>296</v>
      </c>
      <c r="I301" s="99" t="str">
        <f t="shared" si="31"/>
        <v/>
      </c>
      <c r="J301" s="98">
        <f t="shared" si="32"/>
        <v>-3</v>
      </c>
      <c r="K301" s="98">
        <f t="shared" si="33"/>
        <v>-30</v>
      </c>
      <c r="L301" s="98"/>
      <c r="M301" s="100">
        <f t="shared" si="34"/>
        <v>0</v>
      </c>
      <c r="N301" s="100">
        <f t="shared" si="35"/>
        <v>0</v>
      </c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</row>
    <row r="302" spans="1:39" s="83" customFormat="1" x14ac:dyDescent="0.25">
      <c r="A302" s="97">
        <f t="shared" si="30"/>
        <v>0</v>
      </c>
      <c r="B302" s="118"/>
      <c r="C302" s="118"/>
      <c r="D302" s="118"/>
      <c r="E302" s="118"/>
      <c r="F302" s="118"/>
      <c r="H302" s="98">
        <v>297</v>
      </c>
      <c r="I302" s="99" t="str">
        <f t="shared" si="31"/>
        <v/>
      </c>
      <c r="J302" s="98">
        <f t="shared" si="32"/>
        <v>-3</v>
      </c>
      <c r="K302" s="98">
        <f t="shared" si="33"/>
        <v>-30</v>
      </c>
      <c r="L302" s="98"/>
      <c r="M302" s="100">
        <f t="shared" si="34"/>
        <v>0</v>
      </c>
      <c r="N302" s="100">
        <f t="shared" si="35"/>
        <v>0</v>
      </c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</row>
    <row r="303" spans="1:39" s="83" customFormat="1" x14ac:dyDescent="0.25">
      <c r="A303" s="101">
        <f t="shared" si="30"/>
        <v>0</v>
      </c>
      <c r="B303" s="118"/>
      <c r="C303" s="118"/>
      <c r="D303" s="118"/>
      <c r="E303" s="118"/>
      <c r="F303" s="118"/>
      <c r="H303" s="98">
        <v>298</v>
      </c>
      <c r="I303" s="99" t="str">
        <f t="shared" si="31"/>
        <v/>
      </c>
      <c r="J303" s="98">
        <f t="shared" si="32"/>
        <v>-3</v>
      </c>
      <c r="K303" s="98">
        <f t="shared" si="33"/>
        <v>-30</v>
      </c>
      <c r="L303" s="98"/>
      <c r="M303" s="100">
        <f t="shared" si="34"/>
        <v>0</v>
      </c>
      <c r="N303" s="100">
        <f t="shared" si="35"/>
        <v>0</v>
      </c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</row>
    <row r="304" spans="1:39" s="83" customFormat="1" x14ac:dyDescent="0.25">
      <c r="A304" s="97">
        <f t="shared" si="30"/>
        <v>0</v>
      </c>
      <c r="B304" s="118"/>
      <c r="C304" s="118"/>
      <c r="D304" s="118"/>
      <c r="E304" s="118"/>
      <c r="F304" s="118"/>
      <c r="H304" s="98">
        <v>299</v>
      </c>
      <c r="I304" s="99" t="str">
        <f t="shared" si="31"/>
        <v/>
      </c>
      <c r="J304" s="98">
        <f t="shared" si="32"/>
        <v>-3</v>
      </c>
      <c r="K304" s="98">
        <f t="shared" si="33"/>
        <v>-30</v>
      </c>
      <c r="L304" s="98"/>
      <c r="M304" s="100">
        <f t="shared" si="34"/>
        <v>0</v>
      </c>
      <c r="N304" s="100">
        <f t="shared" si="35"/>
        <v>0</v>
      </c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</row>
    <row r="305" spans="1:39" s="83" customFormat="1" x14ac:dyDescent="0.25">
      <c r="A305" s="101">
        <f t="shared" si="30"/>
        <v>0</v>
      </c>
      <c r="B305" s="118"/>
      <c r="C305" s="118"/>
      <c r="D305" s="118"/>
      <c r="E305" s="118"/>
      <c r="F305" s="118"/>
      <c r="H305" s="98">
        <v>300</v>
      </c>
      <c r="I305" s="99" t="str">
        <f t="shared" si="31"/>
        <v/>
      </c>
      <c r="J305" s="98">
        <f t="shared" si="32"/>
        <v>-3</v>
      </c>
      <c r="K305" s="98">
        <f t="shared" si="33"/>
        <v>-30</v>
      </c>
      <c r="L305" s="98"/>
      <c r="M305" s="100">
        <f t="shared" si="34"/>
        <v>0</v>
      </c>
      <c r="N305" s="100">
        <f t="shared" si="35"/>
        <v>0</v>
      </c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</row>
    <row r="306" spans="1:39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1"/>
      <c r="N306" s="122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</row>
    <row r="314" spans="1:39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3"/>
      <c r="N314" s="122"/>
      <c r="Q314" s="110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</row>
    <row r="315" spans="1:39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3"/>
      <c r="N315" s="122"/>
      <c r="Q315" s="110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</row>
    <row r="316" spans="1:39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3"/>
      <c r="N316" s="122"/>
      <c r="Q316" s="110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</row>
    <row r="317" spans="1:39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3"/>
      <c r="N317" s="122"/>
      <c r="Q317" s="110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B2C94A20-8245-466F-936B-6BDA1B039554}"/>
    <hyperlink ref="C2:D2" r:id="rId2" display="Thionville" xr:uid="{E287E00E-8DF7-4D79-8E85-5B936A752805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2024-06-26T11:15:17Z</dcterms:modified>
  <cp:category/>
  <cp:contentStatus/>
</cp:coreProperties>
</file>